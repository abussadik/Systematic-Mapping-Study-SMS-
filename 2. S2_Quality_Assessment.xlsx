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New Publications\Systematic Mapping Study\Database Search\"/>
    </mc:Choice>
  </mc:AlternateContent>
  <xr:revisionPtr revIDLastSave="0" documentId="13_ncr:1_{80DDC51E-086F-44EA-BEF1-67281C0CE6D5}" xr6:coauthVersionLast="47" xr6:coauthVersionMax="47" xr10:uidLastSave="{00000000-0000-0000-0000-000000000000}"/>
  <bookViews>
    <workbookView xWindow="-120" yWindow="-120" windowWidth="29040" windowHeight="15720" activeTab="3" xr2:uid="{00000000-000D-0000-FFFF-FFFF00000000}"/>
  </bookViews>
  <sheets>
    <sheet name="S2_Guidance" sheetId="1" r:id="rId1"/>
    <sheet name="Batch1_R1_Assessment" sheetId="2" r:id="rId2"/>
    <sheet name="Evidence_Log" sheetId="3" r:id="rId3"/>
    <sheet name="Reviewer2_Form"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7" i="2" l="1"/>
  <c r="Q97" i="2" s="1"/>
  <c r="R97" i="2" s="1"/>
  <c r="O97" i="2"/>
  <c r="P96" i="2"/>
  <c r="Q96" i="2" s="1"/>
  <c r="O96" i="2"/>
  <c r="P95" i="2"/>
  <c r="O95" i="2"/>
  <c r="R94" i="2"/>
  <c r="Q94" i="2"/>
  <c r="P94" i="2"/>
  <c r="O94" i="2"/>
  <c r="P93" i="2"/>
  <c r="O93" i="2"/>
  <c r="P92" i="2"/>
  <c r="Q92" i="2" s="1"/>
  <c r="O92" i="2"/>
  <c r="P91" i="2"/>
  <c r="O91" i="2"/>
  <c r="P90" i="2"/>
  <c r="Q90" i="2" s="1"/>
  <c r="O90" i="2"/>
  <c r="P89" i="2"/>
  <c r="Q89" i="2" s="1"/>
  <c r="R89" i="2" s="1"/>
  <c r="O89" i="2"/>
  <c r="P88" i="2"/>
  <c r="Q88" i="2" s="1"/>
  <c r="O88" i="2"/>
  <c r="P87" i="2"/>
  <c r="Q87" i="2" s="1"/>
  <c r="R87" i="2" s="1"/>
  <c r="O87" i="2"/>
  <c r="P86" i="2"/>
  <c r="Q86" i="2" s="1"/>
  <c r="O86" i="2"/>
  <c r="P85" i="2"/>
  <c r="Q85" i="2" s="1"/>
  <c r="R85" i="2" s="1"/>
  <c r="O85" i="2"/>
  <c r="P84" i="2"/>
  <c r="Q84" i="2" s="1"/>
  <c r="O84" i="2"/>
  <c r="P83" i="2"/>
  <c r="Q83" i="2" s="1"/>
  <c r="O83" i="2"/>
  <c r="P82" i="2"/>
  <c r="Q82" i="2" s="1"/>
  <c r="O82" i="2"/>
  <c r="P81" i="2"/>
  <c r="Q81" i="2" s="1"/>
  <c r="R81" i="2" s="1"/>
  <c r="O81" i="2"/>
  <c r="P80" i="2"/>
  <c r="Q80" i="2" s="1"/>
  <c r="O80" i="2"/>
  <c r="P79" i="2"/>
  <c r="Q79" i="2" s="1"/>
  <c r="R79" i="2" s="1"/>
  <c r="O79" i="2"/>
  <c r="P78" i="2"/>
  <c r="Q78" i="2" s="1"/>
  <c r="O78" i="2"/>
  <c r="P77" i="2"/>
  <c r="Q77" i="2" s="1"/>
  <c r="R77" i="2" s="1"/>
  <c r="O77" i="2"/>
  <c r="P76" i="2"/>
  <c r="Q76" i="2" s="1"/>
  <c r="O76" i="2"/>
  <c r="P75" i="2"/>
  <c r="Q75" i="2" s="1"/>
  <c r="O75" i="2"/>
  <c r="P74" i="2"/>
  <c r="Q74" i="2" s="1"/>
  <c r="O74" i="2"/>
  <c r="P73" i="2"/>
  <c r="Q73" i="2" s="1"/>
  <c r="R73" i="2" s="1"/>
  <c r="O73" i="2"/>
  <c r="P72" i="2"/>
  <c r="Q72" i="2" s="1"/>
  <c r="O72" i="2"/>
  <c r="P71" i="2"/>
  <c r="Q71" i="2" s="1"/>
  <c r="R71" i="2" s="1"/>
  <c r="O71" i="2"/>
  <c r="P70" i="2"/>
  <c r="Q70" i="2" s="1"/>
  <c r="O70" i="2"/>
  <c r="P69" i="2"/>
  <c r="Q69" i="2" s="1"/>
  <c r="R69" i="2" s="1"/>
  <c r="O69" i="2"/>
  <c r="P68" i="2"/>
  <c r="Q68" i="2" s="1"/>
  <c r="O68" i="2"/>
  <c r="P67" i="2"/>
  <c r="Q67" i="2" s="1"/>
  <c r="O67" i="2"/>
  <c r="P66" i="2"/>
  <c r="Q66" i="2" s="1"/>
  <c r="O66" i="2"/>
  <c r="P65" i="2"/>
  <c r="Q65" i="2" s="1"/>
  <c r="R65" i="2" s="1"/>
  <c r="O65" i="2"/>
  <c r="P64" i="2"/>
  <c r="Q64" i="2" s="1"/>
  <c r="O64" i="2"/>
  <c r="P63" i="2"/>
  <c r="O63" i="2"/>
  <c r="Q63" i="2" s="1"/>
  <c r="P62" i="2"/>
  <c r="O62" i="2"/>
  <c r="Q62" i="2" s="1"/>
  <c r="P61" i="2"/>
  <c r="Q61" i="2" s="1"/>
  <c r="O61" i="2"/>
  <c r="P60" i="2"/>
  <c r="Q60" i="2" s="1"/>
  <c r="O60" i="2"/>
  <c r="P59" i="2"/>
  <c r="O59" i="2"/>
  <c r="Q59" i="2" s="1"/>
  <c r="Q58" i="2"/>
  <c r="P58" i="2"/>
  <c r="O58" i="2"/>
  <c r="P57" i="2"/>
  <c r="Q57" i="2" s="1"/>
  <c r="O57" i="2"/>
  <c r="P56" i="2"/>
  <c r="Q56" i="2" s="1"/>
  <c r="O56" i="2"/>
  <c r="P55" i="2"/>
  <c r="O55" i="2"/>
  <c r="Q55" i="2" s="1"/>
  <c r="P54" i="2"/>
  <c r="O54" i="2"/>
  <c r="Q54" i="2" s="1"/>
  <c r="P53" i="2"/>
  <c r="Q53" i="2" s="1"/>
  <c r="O53" i="2"/>
  <c r="P52" i="2"/>
  <c r="Q52" i="2" s="1"/>
  <c r="O52" i="2"/>
  <c r="Q51" i="2"/>
  <c r="P51" i="2"/>
  <c r="O51" i="2"/>
  <c r="P50" i="2"/>
  <c r="O50" i="2"/>
  <c r="Q50" i="2" s="1"/>
  <c r="P49" i="2"/>
  <c r="Q49" i="2" s="1"/>
  <c r="O49" i="2"/>
  <c r="P48" i="2"/>
  <c r="Q48" i="2" s="1"/>
  <c r="O48" i="2"/>
  <c r="P47" i="2"/>
  <c r="O47" i="2"/>
  <c r="Q47" i="2" s="1"/>
  <c r="P46" i="2"/>
  <c r="O46" i="2"/>
  <c r="Q46" i="2" s="1"/>
  <c r="P45" i="2"/>
  <c r="Q45" i="2" s="1"/>
  <c r="O45" i="2"/>
  <c r="P44" i="2"/>
  <c r="Q44" i="2" s="1"/>
  <c r="O44" i="2"/>
  <c r="Q43" i="2"/>
  <c r="P43" i="2"/>
  <c r="O43" i="2"/>
  <c r="Q42" i="2"/>
  <c r="P42" i="2"/>
  <c r="O42" i="2"/>
  <c r="P41" i="2"/>
  <c r="Q41" i="2" s="1"/>
  <c r="O41" i="2"/>
  <c r="P40" i="2"/>
  <c r="Q40" i="2" s="1"/>
  <c r="O40" i="2"/>
  <c r="P39" i="2"/>
  <c r="O39" i="2"/>
  <c r="Q39" i="2" s="1"/>
  <c r="P38" i="2"/>
  <c r="O38" i="2"/>
  <c r="Q38" i="2" s="1"/>
  <c r="P37" i="2"/>
  <c r="Q37" i="2" s="1"/>
  <c r="O37" i="2"/>
  <c r="P36" i="2"/>
  <c r="Q36" i="2" s="1"/>
  <c r="O36" i="2"/>
  <c r="Q35" i="2"/>
  <c r="P35" i="2"/>
  <c r="O35" i="2"/>
  <c r="Q34" i="2"/>
  <c r="P34" i="2"/>
  <c r="O34" i="2"/>
  <c r="P33" i="2"/>
  <c r="Q33" i="2" s="1"/>
  <c r="O33" i="2"/>
  <c r="P32" i="2"/>
  <c r="Q32" i="2" s="1"/>
  <c r="O32" i="2"/>
  <c r="P31" i="2"/>
  <c r="O31" i="2"/>
  <c r="Q31" i="2" s="1"/>
  <c r="P30" i="2"/>
  <c r="O30" i="2"/>
  <c r="Q30" i="2" s="1"/>
  <c r="P29" i="2"/>
  <c r="Q29" i="2" s="1"/>
  <c r="O29" i="2"/>
  <c r="P28" i="2"/>
  <c r="Q28" i="2" s="1"/>
  <c r="O28" i="2"/>
  <c r="P27" i="2"/>
  <c r="O27" i="2"/>
  <c r="Q27" i="2" s="1"/>
  <c r="Q26" i="2"/>
  <c r="P26" i="2"/>
  <c r="O26" i="2"/>
  <c r="P25" i="2"/>
  <c r="Q25" i="2" s="1"/>
  <c r="O25" i="2"/>
  <c r="P24" i="2"/>
  <c r="Q24" i="2" s="1"/>
  <c r="O24" i="2"/>
  <c r="P23" i="2"/>
  <c r="O23" i="2"/>
  <c r="Q23" i="2" s="1"/>
  <c r="P22" i="2"/>
  <c r="O22" i="2"/>
  <c r="Q22" i="2" s="1"/>
  <c r="P21" i="2"/>
  <c r="Q21" i="2" s="1"/>
  <c r="O21" i="2"/>
  <c r="P20" i="2"/>
  <c r="Q20" i="2" s="1"/>
  <c r="O20" i="2"/>
  <c r="Q19" i="2"/>
  <c r="P19" i="2"/>
  <c r="O19" i="2"/>
  <c r="Q18" i="2"/>
  <c r="P18" i="2"/>
  <c r="O18" i="2"/>
  <c r="P17" i="2"/>
  <c r="Q17" i="2" s="1"/>
  <c r="O17" i="2"/>
  <c r="P16" i="2"/>
  <c r="Q16" i="2" s="1"/>
  <c r="O16" i="2"/>
  <c r="P15" i="2"/>
  <c r="O15" i="2"/>
  <c r="Q15" i="2" s="1"/>
  <c r="P14" i="2"/>
  <c r="O14" i="2"/>
  <c r="Q14" i="2" s="1"/>
  <c r="P13" i="2"/>
  <c r="Q13" i="2" s="1"/>
  <c r="O13" i="2"/>
  <c r="P12" i="2"/>
  <c r="Q12" i="2" s="1"/>
  <c r="O12" i="2"/>
  <c r="Q11" i="2"/>
  <c r="P11" i="2"/>
  <c r="O11" i="2"/>
  <c r="Q10" i="2"/>
  <c r="P10" i="2"/>
  <c r="O10" i="2"/>
  <c r="P9" i="2"/>
  <c r="Q9" i="2" s="1"/>
  <c r="O9" i="2"/>
  <c r="P8" i="2"/>
  <c r="Q8" i="2" s="1"/>
  <c r="O8" i="2"/>
  <c r="P7" i="2"/>
  <c r="O7" i="2"/>
  <c r="Q7" i="2" s="1"/>
  <c r="P6" i="2"/>
  <c r="O6" i="2"/>
  <c r="Q6" i="2" s="1"/>
  <c r="P5" i="2"/>
  <c r="Q5" i="2" s="1"/>
  <c r="O5" i="2"/>
  <c r="P4" i="2"/>
  <c r="Q4" i="2" s="1"/>
  <c r="O4" i="2"/>
  <c r="R4" i="2" l="1"/>
  <c r="R8" i="2"/>
  <c r="R30" i="2"/>
  <c r="R59" i="2"/>
  <c r="R63" i="2"/>
  <c r="R23" i="2"/>
  <c r="R37" i="2"/>
  <c r="R41" i="2"/>
  <c r="R44" i="2"/>
  <c r="R48" i="2"/>
  <c r="R5" i="2"/>
  <c r="R9" i="2"/>
  <c r="R12" i="2"/>
  <c r="R16" i="2"/>
  <c r="R27" i="2"/>
  <c r="R31" i="2"/>
  <c r="R38" i="2"/>
  <c r="R52" i="2"/>
  <c r="R56" i="2"/>
  <c r="R49" i="2"/>
  <c r="R72" i="2"/>
  <c r="R92" i="2"/>
  <c r="R13" i="2"/>
  <c r="R24" i="2"/>
  <c r="R57" i="2"/>
  <c r="R28" i="2"/>
  <c r="R54" i="2"/>
  <c r="R96" i="2"/>
  <c r="R6" i="2"/>
  <c r="R60" i="2"/>
  <c r="R80" i="2"/>
  <c r="R17" i="2"/>
  <c r="R39" i="2"/>
  <c r="R50" i="2"/>
  <c r="R32" i="2"/>
  <c r="R61" i="2"/>
  <c r="R21" i="2"/>
  <c r="R25" i="2"/>
  <c r="R47" i="2"/>
  <c r="R62" i="2"/>
  <c r="R45" i="2"/>
  <c r="R64" i="2"/>
  <c r="R68" i="2"/>
  <c r="R76" i="2"/>
  <c r="R84" i="2"/>
  <c r="R88" i="2"/>
  <c r="R20" i="2"/>
  <c r="R46" i="2"/>
  <c r="R53" i="2"/>
  <c r="R7" i="2"/>
  <c r="R14" i="2"/>
  <c r="R15" i="2"/>
  <c r="R22" i="2"/>
  <c r="R29" i="2"/>
  <c r="R33" i="2"/>
  <c r="R36" i="2"/>
  <c r="R40" i="2"/>
  <c r="R55" i="2"/>
  <c r="R66" i="2"/>
  <c r="R70" i="2"/>
  <c r="R74" i="2"/>
  <c r="R78" i="2"/>
  <c r="R82" i="2"/>
  <c r="R86" i="2"/>
  <c r="R90" i="2"/>
  <c r="R35" i="2"/>
  <c r="R51" i="2"/>
  <c r="R10" i="2"/>
  <c r="R26" i="2"/>
  <c r="R42" i="2"/>
  <c r="R58" i="2"/>
  <c r="Q95" i="2"/>
  <c r="R19" i="2"/>
  <c r="Q93" i="2"/>
  <c r="R18" i="2"/>
  <c r="R34" i="2"/>
  <c r="R11" i="2"/>
  <c r="R43" i="2"/>
  <c r="Q91" i="2"/>
  <c r="R67" i="2"/>
  <c r="R75" i="2"/>
  <c r="R83" i="2"/>
  <c r="R95" i="2" l="1"/>
  <c r="R91" i="2"/>
  <c r="R93" i="2"/>
</calcChain>
</file>

<file path=xl/sharedStrings.xml><?xml version="1.0" encoding="utf-8"?>
<sst xmlns="http://schemas.openxmlformats.org/spreadsheetml/2006/main" count="7844" uniqueCount="2710">
  <si>
    <t>Supplementary File S2 — Quality-Assessment Checklist and Scoring Guidance (PS001–PS094)</t>
  </si>
  <si>
    <t>Purpose</t>
  </si>
  <si>
    <t>To distinguish reporting/evaluation quality from evidence maturity when comparing included primary studies.</t>
  </si>
  <si>
    <t>Scoring</t>
  </si>
  <si>
    <t>1.0 = fully satisfied; 0.5 = partially satisfied; 0.0 = not satisfied; N/A = genuinely not applicable and excluded from the denominator.</t>
  </si>
  <si>
    <t>Normalized score</t>
  </si>
  <si>
    <t>Q_i = (sum of applicable q_ij) / n_i. The workbook displays Q_i as a percentage.</t>
  </si>
  <si>
    <t>Sensitivity rule</t>
  </si>
  <si>
    <t>Studies with final consensus Q_i &lt; 50% are treated as lower-reporting-quality studies for sensitivity analysis; they are not automatically excluded.</t>
  </si>
  <si>
    <t>Reviewer procedure</t>
  </si>
  <si>
    <t>Code</t>
  </si>
  <si>
    <t>Quality criterion</t>
  </si>
  <si>
    <t>Operational scoring rule</t>
  </si>
  <si>
    <t>QA1</t>
  </si>
  <si>
    <t>Are the research objective and problem context clearly stated?</t>
  </si>
  <si>
    <t>1.0 = objective and context are explicit; 0.5 = partly stated or mostly implicit; 0.0 = unclear/absent; N/A = genuinely not applicable.</t>
  </si>
  <si>
    <t>QA2</t>
  </si>
  <si>
    <t>Is the blockchain-based system or technical contribution described sufficiently?</t>
  </si>
  <si>
    <t>1.0 = architecture/algorithm/contribution is sufficiently described to understand its operation; 0.5 = key details are missing; 0.0 = contribution is vague; N/A = not applicable.</t>
  </si>
  <si>
    <t>QA3</t>
  </si>
  <si>
    <t>Is the research or evaluation method appropriate and reproducible?</t>
  </si>
  <si>
    <t>1.0 = method, procedure, algorithms and important parameters are sufficiently specified; 0.5 = method is appropriate but important replication details are missing; 0.0 = method is unclear/inappropriate; N/A = not applicable.</t>
  </si>
  <si>
    <t>QA4</t>
  </si>
  <si>
    <t>Are the dataset, workload, case, participants, or experimental environment adequately described?</t>
  </si>
  <si>
    <t>1.0 = evaluation inputs/environment and relevant sizes/configurations are clearly reported; 0.5 = partial reporting; 0.0 = inadequate reporting; N/A = no empirical evaluation for which this criterion is applicable.</t>
  </si>
  <si>
    <t>QA5</t>
  </si>
  <si>
    <t>Are evaluation metrics and comparative baselines justified?</t>
  </si>
  <si>
    <t>1.0 = relevant metrics are defined and a meaningful baseline/comparator is used or the absence of one is justified; 0.5 = metrics are clear but comparison/justification is limited; 0.0 = inadequate metrics/baseline; N/A = comparison genuinely not applicable.</t>
  </si>
  <si>
    <t>QA6</t>
  </si>
  <si>
    <t>Are the results reported clearly and supported by the presented evidence?</t>
  </si>
  <si>
    <t>1.0 = results are traceable to tables/figures/analysis and support the conclusions; 0.5 = partial support or incomplete reporting; 0.0 = conclusions are not adequately supported; N/A = not applicable.</t>
  </si>
  <si>
    <t>QA7</t>
  </si>
  <si>
    <t>Are limitations or threats to validity discussed?</t>
  </si>
  <si>
    <t>1.0 = study limitations/threats and implications are explicitly discussed; 0.5 = assumptions, constraints, caveats, or future-work limitations are partially acknowledged; 0.0 = no meaningful limitation discussion; N/A = not applicable.</t>
  </si>
  <si>
    <t>QA8</t>
  </si>
  <si>
    <t>Is the relationship between the evidence and the claimed practical applicability reasonable?</t>
  </si>
  <si>
    <t>1.0 = practical claims are proportionate to the demonstrated evidence and scope; 0.5 = claims are plausible but broader than the evaluation or based on limited realism; 0.0 = practical/operational claims are unsupported; N/A = practical applicability is not claimed.</t>
  </si>
  <si>
    <t>QA9</t>
  </si>
  <si>
    <t>Are the software artifact, dataset, configuration, or implementation details available or sufficiently documented?</t>
  </si>
  <si>
    <t>1.0 = a public artifact/data/configuration is available or implementation detail is sufficiently complete for strong reproducibility; 0.5 = partial implementation/configuration details are reported but no complete study artifact is available; 0.0 = insufficient artifact/configuration information; N/A = genuinely not applicable.</t>
  </si>
  <si>
    <t>Reviewer 1 Quality Assessment — PS001–PS094</t>
  </si>
  <si>
    <t>Study ID</t>
  </si>
  <si>
    <t>Year</t>
  </si>
  <si>
    <t>Title</t>
  </si>
  <si>
    <t>Eligibility status</t>
  </si>
  <si>
    <t>Eligibility note</t>
  </si>
  <si>
    <t>Total points</t>
  </si>
  <si>
    <t>Applicable n</t>
  </si>
  <si>
    <t>Normalized quality</t>
  </si>
  <si>
    <t>Quality band</t>
  </si>
  <si>
    <t>Reviewer 1 overall rationale</t>
  </si>
  <si>
    <t>PS001</t>
  </si>
  <si>
    <t>BLOCKBENCH: A Framework for Analyzing Private Blockchains</t>
  </si>
  <si>
    <t>Eligible primary study</t>
  </si>
  <si>
    <t>Primary empirical blockchain benchmarking study.</t>
  </si>
  <si>
    <t>Comprehensive benchmark with public code, multiple workloads/platforms, and clear metrics; validity limitations are discussed only partially.</t>
  </si>
  <si>
    <t>PS002</t>
  </si>
  <si>
    <t>Hyperledger Fabric: A Distributed Operating System for Permissioned Blockchains</t>
  </si>
  <si>
    <t>Primary architecture and performance-evaluation study of a permissioned blockchain platform.</t>
  </si>
  <si>
    <t>Very strong architectural and implementation reporting with large-scale evaluation and open-source availability; comparative benchmarking and explicit validity discussion are more limited.</t>
  </si>
  <si>
    <t>PS003</t>
  </si>
  <si>
    <t>FastFabric: Scaling Hyperledger Fabric to 20,000 Transactions per Second</t>
  </si>
  <si>
    <t>Primary system re-engineering and performance-evaluation study.</t>
  </si>
  <si>
    <t>Detailed implementation and controlled comparative evaluation against base Fabric; experimental scope constraints are disclosed, but no study-specific public artifact is identified in the paper.</t>
  </si>
  <si>
    <t>PS004</t>
  </si>
  <si>
    <t>Reputation-Based Coalition Formation for Secure Self-Organized and Scalable Sharding in IoT Blockchains With Mobile-Edge Computing</t>
  </si>
  <si>
    <t>Primary analytical and simulation-based blockchain sharding study.</t>
  </si>
  <si>
    <t>Strong formal modeling and detailed OPNET simulation with relevant comparators; practical claims remain simulation-based and artifact availability is partial.</t>
  </si>
  <si>
    <t>PS005</t>
  </si>
  <si>
    <t>A Performance-Optimized Consensus Mechanism for Consortium Blockchains Consisting of Trust-Varying Nodes</t>
  </si>
  <si>
    <t>Primary consortium-blockchain consensus and experimental evaluation study.</t>
  </si>
  <si>
    <t>Clear algorithms, metrics, parameters and comparative experiments; operational applicability is not demonstrated and the authors identify important scalability/vulnerability work as future research.</t>
  </si>
  <si>
    <t>PS006</t>
  </si>
  <si>
    <t>High-Performance Smart Contracts Concurrent Execution for Permissioned Blockchain Using SGX</t>
  </si>
  <si>
    <t>Primary smart-contract execution framework with prototype evaluation.</t>
  </si>
  <si>
    <t>Well-specified prototype and benchmark evaluation; SGX is evaluated in debug simulation mode and no study-specific public implementation artifact is reported.</t>
  </si>
  <si>
    <t>PS007</t>
  </si>
  <si>
    <t>Blockchain Assisted Decentralized Federated Learning (BLADE-FL): Performance Analysis and Resource Allocation</t>
  </si>
  <si>
    <t>Primary blockchain-assisted federated-learning framework with analytical and empirical evaluation.</t>
  </si>
  <si>
    <t>Rigorous analytical development and multi-dataset experiments with comparative evaluation; evidence is not an operational blockchain deployment and artifact availability is limited.</t>
  </si>
  <si>
    <t>PS008</t>
  </si>
  <si>
    <t>A Flexible Sharding Blockchain Protocol Based on Cross-Shard Byzantine Fault Tolerance</t>
  </si>
  <si>
    <t>Primary sharding-protocol study with formal analysis and simulation.</t>
  </si>
  <si>
    <t>Strong protocol specification, formal security analysis, realistic network simulation, and Omniledger comparison; external validity and artifact availability are only partially addressed.</t>
  </si>
  <si>
    <t>PS009</t>
  </si>
  <si>
    <t>HyperMaze: Towards Privacy-Preserving and Scalable Permissioned Blockchain</t>
  </si>
  <si>
    <t>Primary permissioned-blockchain design with formal security proof and prototype evaluation.</t>
  </si>
  <si>
    <t>Detailed security model, implementation and experiments up to 2,600 nodes; practical applicability is inferred from prototype experiments rather than operational deployment, and no public HyperMaze artifact is identified.</t>
  </si>
  <si>
    <t>PS010</t>
  </si>
  <si>
    <t>A Vehicular Trust Blockchain Framework With Scalable Byzantine Consensus</t>
  </si>
  <si>
    <t>Primary blockchain framework with local/cloud testbed evaluation.</t>
  </si>
  <si>
    <t>Strong system specification and real testbed evaluation with deployment discussion; mobility and configuration challenges remain future work and the study-specific artifact is not publicly documented.</t>
  </si>
  <si>
    <t>PS011</t>
  </si>
  <si>
    <t>CHERUBIM: A Secure and Highly Parallel Cross-Shard Consensus Using Quadruple Pipelined Two-Phase Commit for Sharding Blockchains</t>
  </si>
  <si>
    <t>Primary cross-shard consensus study with formal and simulation-based evaluation.</t>
  </si>
  <si>
    <t>Well-defined metrics, formal analysis, parameterized simulation and Omniledger comparison; operational validity and public artifact availability remain limited.</t>
  </si>
  <si>
    <t>PS012</t>
  </si>
  <si>
    <t>ICOE: A Lightweight Group-Consensus-Based Off-Chain Execution Model for Smart Contract-Based Industrial Applications</t>
  </si>
  <si>
    <t>Primary off-chain smart-contract execution model with physical-server implementation.</t>
  </si>
  <si>
    <t>Detailed physical-server setup, workload construction, baseline comparison and practical smart-contract cases; important security assumptions are acknowledged, but no complete public study artifact is reported.</t>
  </si>
  <si>
    <t>PS013</t>
  </si>
  <si>
    <t>Lightweight, geo-scalable deterministic blockchain design for 5G networks sliced applications with hierarchical CFT/BFT consensus groups, IPFS and novel hardware design</t>
  </si>
  <si>
    <t>Primary blockchain system/proof-of-concept with 5G testbed evaluation.</t>
  </si>
  <si>
    <t>Extensive 5G testbed and multi-platform performance evaluation with repeated experiments; the paper makes relatively broad practical claims from a proof-of-concept and provides no complete public artifact/data package.</t>
  </si>
  <si>
    <t>PS014</t>
  </si>
  <si>
    <t>Mobile Smart Contracts: Exploring Scalability Challenges and Consensus Mechanisms</t>
  </si>
  <si>
    <t>Exclude from primary-study QA</t>
  </si>
  <si>
    <t>The paper explicitly reports a systematic literature review/survey; under the SMS eligibility rules it is a secondary study (EC5) and should be retained only for snowballing/context.</t>
  </si>
  <si>
    <t>Not quality-scored with QA1–QA9 because the instrument is intended for included primary studies.</t>
  </si>
  <si>
    <t>PS015</t>
  </si>
  <si>
    <t>RaftOptima: An Optimised Raft With Enhanced Fault Tolerance, and Increased Scalability With Low Latency</t>
  </si>
  <si>
    <t>Eligibility adjudication required</t>
  </si>
  <si>
    <t>The contribution modifies generic Raft and evaluates it in a Java simulator/key-value setting. Blockchain is presented mainly as a potential application; adjudicate against IC4 before treating it as a blockchain primary study.</t>
  </si>
  <si>
    <t>QA scoring withheld pending eligibility adjudication to avoid quality-assessing a potentially out-of-scope record.</t>
  </si>
  <si>
    <t>PS016</t>
  </si>
  <si>
    <t>Scaling Byzantine Fault-Tolerant Consensus With Optimized Shading Scheme</t>
  </si>
  <si>
    <t>Primary blockchain sharding/BFT study with an implemented SharBFT testbed and cloud-based performance evaluation.</t>
  </si>
  <si>
    <t>Strong protocol specification, optimization model, real cloud testbed and state-of-the-art baselines; explicit validity discussion and public study-specific artifacts are limited, and industrial integration remains future work.</t>
  </si>
  <si>
    <t>PS017</t>
  </si>
  <si>
    <t>Secure and Scalable Cross-Domain Data Sharing in Zero-Trust Cloud-Edge-End Environment Based on Sharding Blockchain</t>
  </si>
  <si>
    <t>Primary sharding-blockchain data-sharing study combining formal security analysis with practical performance testing.</t>
  </si>
  <si>
    <t>Strong formal protocol/security treatment and well-parameterized performance evaluation; external/operational validation and study-specific artifact availability remain limited.</t>
  </si>
  <si>
    <t>PS018</t>
  </si>
  <si>
    <t>X-Shard: Optimistic Cross-Shard Transaction Processing for Sharding-Based Blockchains</t>
  </si>
  <si>
    <t>Primary sharding-blockchain system study with an EC2 prototype, real Ethereum transaction data, comparative evaluation, and public code.</t>
  </si>
  <si>
    <t>Highly reproducible prototype study with public code, real transaction traces, EC2 deployment, clear metrics and comprehensive experiments; the main weakness is the absence of a formal threats-to-validity section.</t>
  </si>
  <si>
    <t>PS019</t>
  </si>
  <si>
    <t>JUMBO: Fully Asynchronous BFT Consensus Made Truly Scalable</t>
  </si>
  <si>
    <t>Primary blockchain-consensus study with formal protocol analysis, open-source implementations, and large-scale AWS experiments.</t>
  </si>
  <si>
    <t>Exceptionally well reported: formal design, matched baseline implementations, large-scale AWS experiments, open-source code, supplementary experiments, and explicit remaining limitations.</t>
  </si>
  <si>
    <t>PS020</t>
  </si>
  <si>
    <t>A Robust Shard Inspection Framework With Efficient Throughput and Energy Consumption for Secure Geolocation-Based Sharded Blockchains</t>
  </si>
  <si>
    <t>Primary blockchain security/scalability study with analytical optimization and extensive simulation-based validation.</t>
  </si>
  <si>
    <t>Extensive security/performance analysis with realistic communication models and comparative simulation; evidence remains simulation-based and no complete study-specific implementation artifact is identified.</t>
  </si>
  <si>
    <t>PS021</t>
  </si>
  <si>
    <t>EZchain: A Secure Scalable Blockchain Protocol via Passive Sharding</t>
  </si>
  <si>
    <t>Primary scalable-blockchain protocol study with theoretical analysis and repeated large-scale prototype/simulation experiments.</t>
  </si>
  <si>
    <t>Strong large-scale protocol evaluation and explicit acknowledgement of experimental limitations; practical evidence is still a lightweight prototype/simulation and a public study-specific implementation is not identified.</t>
  </si>
  <si>
    <t>PS022</t>
  </si>
  <si>
    <t>LiteChain: A Lightweight Blockchain for Verifiable and Scalable Federated Learning in Massive Edge Networks</t>
  </si>
  <si>
    <t>Primary blockchain-enabled federated-learning framework with Hyperledger Fabric implementation and security/performance experiments.</t>
  </si>
  <si>
    <t>Strong implementation, benchmark comparison, attack evaluation and explicit limitations; the large edge network is simulated on server/container infrastructure and no study-specific public code repository is identified.</t>
  </si>
  <si>
    <t>PS023</t>
  </si>
  <si>
    <t>Performance Modeling of Relay Chain</t>
  </si>
  <si>
    <t>Primary cross-chain performance-modeling study validated experimentally on a Cosmos/Tendermint relay-chain deployment.</t>
  </si>
  <si>
    <t>Excellent analytical–experimental triangulation with real relay-chain software and explicit limitations; reproducibility is slightly reduced by the absence of a study-specific public code package.</t>
  </si>
  <si>
    <t>PS024</t>
  </si>
  <si>
    <t>SPARROW: Expediting Smart Contract Execution for Blockchain Sharding via Inter-Shard Caching</t>
  </si>
  <si>
    <t>Primary smart-contract sharding study with a Geth-based benchmark prototype and real Ethereum transaction traces.</t>
  </si>
  <si>
    <t>Detailed design and realistic trace-driven benchmark with clear performance gains; the benchmark abstracts parts of the real sharding/consensus environment and a public prototype artifact is not identified.</t>
  </si>
  <si>
    <t>PS025</t>
  </si>
  <si>
    <t>A Novel Dual-Layer Multi-Shard Blockchain Architecture for Vehicle Data Sharing</t>
  </si>
  <si>
    <t>Primary IoV blockchain architecture study evaluated using Veins and MATLAB simulations with repeated comparative experiments.</t>
  </si>
  <si>
    <t>Strong simulation design, sensitivity analysis, multiple comparative baselines and explicit future-work limitations; practical readiness is still simulation-level rather than a real vehicular deployment.</t>
  </si>
  <si>
    <t>PS026</t>
  </si>
  <si>
    <t>Atomic Cross-Chain Swaps</t>
  </si>
  <si>
    <t>Primary theoretical interoperability study presenting and proving an atomic cross-chain swap protocol; empirical evaluation criteria are genuinely not applicable.</t>
  </si>
  <si>
    <t>N/A</t>
  </si>
  <si>
    <t>Foundational formal study with precise protocol guarantees, impossibility results, complexity analysis and explicit assumptions/open problems. Empirical QA criteria are N/A and excluded from the denominator rather than scored as deficiencies.</t>
  </si>
  <si>
    <t>PS027</t>
  </si>
  <si>
    <t>HyperService: Interoperability and Programmability Across Heterogeneous Blockchains</t>
  </si>
  <si>
    <t>Primary cross-chain platform study combining a programming framework, formal security protocol, full-stack prototype, and empirical evaluation.</t>
  </si>
  <si>
    <t>Strong formal and empirical study with a substantial multi-chain prototype, multiple application cases and public source code; limitations are discussed but not organized as a formal validity analysis.</t>
  </si>
  <si>
    <t>PS028</t>
  </si>
  <si>
    <t>XCLAIM: Trustless, Interoperable, Cryptocurrency-Backed Assets</t>
  </si>
  <si>
    <t>Primary cross-chain interoperability protocol with formal security reasoning and a Bitcoin–Ethereum implementation/evaluation.</t>
  </si>
  <si>
    <t>Very strong protocol/security treatment and realistic cross-chain implementation with direct cost/time comparison to HTLC swaps; study-specific public artifact availability is only partial.</t>
  </si>
  <si>
    <t>PS029</t>
  </si>
  <si>
    <t>Model-driven approach for the design of multi-chain smart contracts</t>
  </si>
  <si>
    <t>Peer-reviewed primary methodological contribution proposing an original multi-chain model-driven engineering framework; empirical evaluation is not reported and the contribution is early-stage.</t>
  </si>
  <si>
    <t>Valid but early-stage methodological primary study. The model-driven framework and limitations are explicit, but code generation is unfinished and no empirical effectiveness evaluation is reported; empirical QA criteria are N/A.</t>
  </si>
  <si>
    <t>PS030</t>
  </si>
  <si>
    <t>Towards Cross-Blockchain Smart Contracts</t>
  </si>
  <si>
    <t>Primary interoperability framework with open-source Solidity implementation and live Ethereum testnet cost/time evaluation.</t>
  </si>
  <si>
    <t>Highly transparent proof-of-concept study with public code, Rinkeby testnet evaluation, explicit high cost/time overheads, and substantial discussion of adversarial behavior and current limitations.</t>
  </si>
  <si>
    <t>PS031</t>
  </si>
  <si>
    <t>Quantitative Cooperation Analysis among Cross-Chain Smart Contracts</t>
  </si>
  <si>
    <t>Version replacement required</t>
  </si>
  <si>
    <t>The attached PS031.pdf is the 14 May 2021 TechRxiv preprint and explicitly states that it has not been peer reviewed. The master study record represents the later peer-reviewed 2022 version. QA is withheld until the final peer-reviewed full text is supplied.</t>
  </si>
  <si>
    <t>Not quality-scored. Replace the attached preprint with the final peer-reviewed version before applying QA1–QA9.</t>
  </si>
  <si>
    <t>PS032</t>
  </si>
  <si>
    <t>SynergyChain: A Multichain-Based Data-Sharing Framework With Hierarchical Access Control</t>
  </si>
  <si>
    <t>Primary multichain interoperability framework with an Ethereum-based prototype and controlled performance evaluation.</t>
  </si>
  <si>
    <t>Clear architecture, workload and performance metrics with an implemented Ethereum-based prototype. The study lacks a formal validity discussion, uses a local experimental setup rather than operational multiorganization deployment, and does not identify a public study-specific artifact.</t>
  </si>
  <si>
    <t>PS033</t>
  </si>
  <si>
    <t>Fedidchain: An Innovative Blockchain-Enabled Framework for Cross-Border Interoperability and Trust Management in Identity Federation Systems</t>
  </si>
  <si>
    <t>Full-text replacement required</t>
  </si>
  <si>
    <t>The attached PS033.pdf contains only the first page/abstract. The complete peer-reviewed article is required to assess methodology, experimental setup, limitations, and reproducibility.</t>
  </si>
  <si>
    <t>Not quality-scored because the uploaded document is incomplete. Replace it with the complete article.</t>
  </si>
  <si>
    <t>PS034</t>
  </si>
  <si>
    <t>Subscription-Based State Access for Cross-Chain Smart Contracts</t>
  </si>
  <si>
    <t>Primary heterogeneous cross-chain smart-contract access study with a published prototype and comparative performance evaluation.</t>
  </si>
  <si>
    <t>Strong prototype-based evaluation with heterogeneous chains, explicit workload parameters, multiple access-mode baselines, and a published implementation. Limitations are acknowledged through future work, while practical evidence remains prototype/testbed-level.</t>
  </si>
  <si>
    <t>PS035</t>
  </si>
  <si>
    <t>Automated Gateways: A Smart Contract-Powered Solution for Interoperability Across Blockchains</t>
  </si>
  <si>
    <t>Primary interoperability framework implemented on two production-mode Hyperledger Fabric networks and evaluated with Hyperledger Caliper.</t>
  </si>
  <si>
    <t>Strong implementation and production-mode cloud testbed with explicit infrastructure, Caliper benchmarking, and public GitHub code. The main quality weakness is the absence of a structured limitations/threats-to-validity discussion.</t>
  </si>
  <si>
    <t>PS036</t>
  </si>
  <si>
    <t>Towards Efficient Consistency Auditing of Dynamic Data in Cross-Chain Interaction</t>
  </si>
  <si>
    <t>Primary cross-chain consistency-auditing study combining formal security proofs with Hyperledger Fabric prototype evaluation.</t>
  </si>
  <si>
    <t>Strong formal security treatment and comparative efficiency evaluation. Practical readiness is constrained by the permissioned prototype setting, and the paper identifies broader public-chain validation as future work; no complete public implementation artifact is identified.</t>
  </si>
  <si>
    <t>PS037</t>
  </si>
  <si>
    <t>A Verifiable Privacy-Preserving Cross-Chain Protocol for Trusted Vehicle Edge Computing</t>
  </si>
  <si>
    <t>Primary cross-chain VEC protocol with theoretical analysis and heterogeneous blockchain testbed experiments.</t>
  </si>
  <si>
    <t>Detailed cryptographic/protocol design and heterogeneous FISCO BCOS–Hyperledger Fabric evaluation with scalability measurements. The study does not provide a structured validity discussion, and claims about real-world vehicular deployment exceed the controlled testbed evidence.</t>
  </si>
  <si>
    <t>PS038</t>
  </si>
  <si>
    <t>EquiLink Bridge: A Semi-Custodial Approach to Cross-Chain Transactions via TEE</t>
  </si>
  <si>
    <t>Primary TEE-enabled cross-chain bridge study with public code, cloud/SGX evaluation, attack experiments, and an explicit limitations section.</t>
  </si>
  <si>
    <t>Exceptionally complete system study: implemented bridge, public source code, explicit cloud/SGX setup, cost/latency/resource evaluation, replay and physical attack experiments, and a dedicated limitations section.</t>
  </si>
  <si>
    <t>PS039</t>
  </si>
  <si>
    <t>Hybrid Relay Architecture: A Decentralized and Semantically-Agnostic Interoperability Framework for Blockchain</t>
  </si>
  <si>
    <t>The uploaded file is named PS040.pdf, but its title/DOI/content match master-record PS039 (Celestial). It is therefore reconciled and assessed as PS039. The actual PS040 ShiftHub study is not present in the batch.</t>
  </si>
  <si>
    <t>Large-scale multi-continent heterogeneous-cloud evaluation with 90+ nodes, substantial implementation detail, state-of-the-art baselines, stress/fault/adversarial tests, and strong performance evidence. A formal limitations/threats section and a study-specific public code repository are not identified.</t>
  </si>
  <si>
    <t>PS040</t>
  </si>
  <si>
    <t>ShiftHub: Enabling Atomic, Unlinkable, and Practical m~1 Cross-Chain Transfer</t>
  </si>
  <si>
    <t>Full-text file missing</t>
  </si>
  <si>
    <t>The master study record identifies PS040 as ShiftHub (IEEE TIFS 2026), but no ShiftHub full-text PDF was supplied. The uploaded file named PS040.pdf contains PS039 Celestial instead.</t>
  </si>
  <si>
    <t>Not quality-scored because the actual PS040 full text is missing.</t>
  </si>
  <si>
    <t>PS041</t>
  </si>
  <si>
    <t>VeCroToken: An Efficient, Verifiable, and Privacy-Preserving Cross-Chain Model for Consortium Blockchains Based on zk-SNARKs</t>
  </si>
  <si>
    <t>Primary privacy-preserving cross-chain consortium-blockchain model with formal analysis and Hyperledger Fabric prototype evaluation.</t>
  </si>
  <si>
    <t>Very strong formal and empirical study with explicit Hyperledger Fabric/jsnark/libsnark setup, state-of-the-art privacy baselines, throughput/latency testing, and a substantive discussion of deployment limitations. Reproducibility is reduced by the absence of a study-specific public source-code package.</t>
  </si>
  <si>
    <t>PS042</t>
  </si>
  <si>
    <t>Blockchain-Oriented Software Engineering: Challenges and New Directions</t>
  </si>
  <si>
    <t>Primary exploratory blockchain-software-engineering study using a curated corpus of open-source blockchain repositories to motivate engineering challenges and research directions.</t>
  </si>
  <si>
    <t>Useful foundational exploratory study with a documented 1,184-repository sampling process and descriptive analysis. Metric/baseline justification is limited, no formal threats-to-validity discussion is provided, and broad BOSE research directions are inferred from a relatively narrow GitHub snapshot.</t>
  </si>
  <si>
    <t>PS043</t>
  </si>
  <si>
    <t>Understanding the Motivations, Challenges and Needs of Blockchain Software Developers: A Survey</t>
  </si>
  <si>
    <t>Peer-reviewed empirical developer survey; the uploaded manuscript corresponds to the published Empirical Software Engineering study.</t>
  </si>
  <si>
    <t>Strong empirical software-engineering study with systematic participant identification, 156 usable responses, qualitative coding, inter-rater reliability, comparative analysis, and explicit threats to validity. No complete public study dataset/package is identified.</t>
  </si>
  <si>
    <t>PS044</t>
  </si>
  <si>
    <t>ABCDE—Agile Block Chain DApp Engineering</t>
  </si>
  <si>
    <t>Primary software-engineering method study with a detailed DApp lifecycle process, real-project usage, a 14-developer early evaluation survey, and explicit threats to validity.</t>
  </si>
  <si>
    <t>Well-documented engineering method supported by real DApp use, a 14-developer survey, a worked example, and a dedicated validity analysis. The evaluation is still small and non-comparative, and broader claims beyond Ethereum/Solidity remain limited.</t>
  </si>
  <si>
    <t>PS045</t>
  </si>
  <si>
    <t>ChainIDE 2.0: Facilitating Smart Contract Development for Consortium Blockchain</t>
  </si>
  <si>
    <t>Primary blockchain development-tool study reporting an operational cloud IDE, architecture, supported platforms, and large-scale usage statistics.</t>
  </si>
  <si>
    <t>Operational evidence is valuable: ChainIDE 2.0 reports 11 supported blockchains, 100+ countries, and about 990k compiled smart contracts. However, the evaluation relies mainly on service statistics rather than a controlled developer study, lacks formal validity analysis, and provides limited reproducibility artifacts.</t>
  </si>
  <si>
    <t>PS046</t>
  </si>
  <si>
    <t>The Importance of Testing in the Early Stages of Smart Contract Development Life Cycle</t>
  </si>
  <si>
    <t>Peer-reviewed methodological/conceptual study proposing a preliminary model-based early-testing approach for smart-contract development. The authors explicitly position the work as preliminary and identify industrial validation as future work.</t>
  </si>
  <si>
    <t>Foundational methodological contribution with a clear smart-contract lifecycle/testing rationale and explicit acknowledgement that the approach is preliminary. No implemented end-to-end method or empirical evaluation is reported; industrial validation is future work.</t>
  </si>
  <si>
    <t>PS047</t>
  </si>
  <si>
    <t>Blockchain-Based Software Architecture Development for Service Requirements With Smart Contracts</t>
  </si>
  <si>
    <t>Peer-reviewed IEEE Computer article introducing an original contract-oriented software-architecture framework and illustrating it through an online car-rental smart-contract application.</t>
  </si>
  <si>
    <t>Clear architecture and development framework with an illustrative service scenario, but it is primarily conceptual. There is no empirical validation, comparative evaluation, formal limitations section, or study-specific artifact package.</t>
  </si>
  <si>
    <t>PS048</t>
  </si>
  <si>
    <t>Integrated Model-Driven Engineering of Blockchain Applications for Business Processes and Asset Management</t>
  </si>
  <si>
    <t>Peer-reviewed original MDE study implementing the Lorikeet tool and evaluating feasibility, functional correctness and gas cost using four industry/government-derived use cases.</t>
  </si>
  <si>
    <t>Very strong model-driven engineering study with four industrially motivated case studies, functional-correctness tests, gas-cost analysis against 292M+ Ethereum transactions, and reproducibility material. Limitations are acknowledged, although not organized as a dedicated threats-to-validity analysis.</t>
  </si>
  <si>
    <t>PS049</t>
  </si>
  <si>
    <t>What Do Programmers Discuss About Blockchain? A Case Study on the Use of Balanced LDA and the Reference Architecture of a Domain to Capture Online Discussions About Blockchain Platforms Across Stack Exchange Communities</t>
  </si>
  <si>
    <t>Peer-reviewed large-scale empirical software-engineering study analysing blockchain developer discussions using balanced LDA and an empirically derived reference architecture.</t>
  </si>
  <si>
    <t>Rigorous large-scale empirical study with transparent data collection, balanced topic modelling, architectural mapping, manual validation and explicit threats to validity. Stack Exchange data and detailed collection procedures are available, but no complete study-specific replication package is identified in the supplied paper.</t>
  </si>
  <si>
    <t>PS050</t>
  </si>
  <si>
    <t>Solidity Code Generation From UML State Machines in Model-Driven Smart Contract Development</t>
  </si>
  <si>
    <t>Peer-reviewed model-driven smart-contract code-generation study implementing PIM-to-PSM and model-to-text transformations and evaluating generated Solidity contracts against original examples.</t>
  </si>
  <si>
    <t>Strong implemented MDA study with explicit transformation algorithms, three generated Solidity contracts, compilation/deployment, code metrics, similarity and execution-cost comparisons, plus public generated artifacts. External validity is limited by the small documentation-derived example set.</t>
  </si>
  <si>
    <t>PS051</t>
  </si>
  <si>
    <t>A Reuse-Oriented Visual Smart Contract Code Generator for Efficient Development of Complex Multi-Party Interaction Scenarios</t>
  </si>
  <si>
    <t>Peer-reviewed smart-contract development-tool study combining BPMN, Blockly, reusable code libraries, security checking and deployment, evaluated with five representative multi-party contracts.</t>
  </si>
  <si>
    <t>Well-specified visual/reuse-oriented generator with five-case reusability evaluation and comparison with related tools. Evidence is limited by a single developer performing the manual/tool-assisted comparison and by the absence of a complete public replication package or controlled time/quality study.</t>
  </si>
  <si>
    <t>PS052</t>
  </si>
  <si>
    <t>A Smart Contracts Repository For Top Trending Contracts</t>
  </si>
  <si>
    <t>Peer-reviewed dataset contribution constructing and categorising an Ethereum smart-contract repository from more than 100,000 contracts using seeded LDA.</t>
  </si>
  <si>
    <t>Useful and reproducible dataset study with explicit source repositories, cleaning steps, seeded-LDA categorisation and a public Top-Trending-Contracts repository. Validation of category accuracy is comparatively limited and the authors acknowledge temporal coverage gaps.</t>
  </si>
  <si>
    <t>PS053</t>
  </si>
  <si>
    <t>MDA-Based Approach for Blockchain Smart Contract Development</t>
  </si>
  <si>
    <t>Peer-reviewed full-lifecycle MDA smart-contract development study supporting Ethereum/Solidity and Hyperledger Fabric/Go, demonstrated through the HackChain workflow.</t>
  </si>
  <si>
    <t>Highly reproducible multi-platform MDA study with public generated code, explicit transformations, deployment on Ethereum and Hyperledger Fabric, and a substantive limitations discussion. Practical generalizability remains constrained by a single demonstration workflow and limited cross-platform analysis tooling.</t>
  </si>
  <si>
    <t>PS054</t>
  </si>
  <si>
    <t>TABS: Transforming Automatically BPMN Models into Blockchain Smart Contracts</t>
  </si>
  <si>
    <t>Peer-reviewed model-driven smart-contract generation study with a proof-of-concept TABS tool, three trade-oriented use cases, and Ethereum/Hyperledger/Quorum cost and latency evaluation.</t>
  </si>
  <si>
    <t>Detailed proof-of-concept with formalised transformations, multiple use cases and blockchain cost/latency measurements, plus explicit limitations and open scalability/transaction-support issues. Tool access is available only on request and the authors explicitly state that the implementation remains a PoC.</t>
  </si>
  <si>
    <t>PS055</t>
  </si>
  <si>
    <t>A Large-Scale Exploratory Study on the Proxy Pattern in Ethereum</t>
  </si>
  <si>
    <t>The supplied author manuscript corresponds to the peer-reviewed Empirical Software Engineering article, 29:81 (2024), DOI 10.1007/s10664-024-10485-1. Assessment is based on the supplied manuscript; publication status was externally verified at https://doi.org/10.1007/s10664-024-10485-1.</t>
  </si>
  <si>
    <t>Exceptional large-scale empirical study covering approximately 50.8M contracts and 1.69B transactions, validated proxy detection, multiple quantitative/qualitative analyses, explicit threats to validity and a public replication package.</t>
  </si>
  <si>
    <t>PS056</t>
  </si>
  <si>
    <t>Benchmarking Large Language Models for Ethereum Smart Contract Development</t>
  </si>
  <si>
    <t>Peer-reviewed benchmark study introducing an open-source TDD-inspired Solidity smart-contract generation benchmark and evaluating multiple open-source LLMs.</t>
  </si>
  <si>
    <t>Strong benchmark contribution with 15 curated use cases, functional tests, Solidity compilation, Slither analysis, pass@k metrics, explicit hardware/model setup, and an open-source pipeline. Generalizability is limited by the small use-case set and the tested 7–8B parameter models.</t>
  </si>
  <si>
    <t>PS057</t>
  </si>
  <si>
    <t>Broken Agreement: The Evolution of Solidity Error Handling</t>
  </si>
  <si>
    <t>Peer-reviewed large-scale empirical software-engineering study analysing Solidity error-handling evolution and misuse across 283,000 unique open-source smart contracts.</t>
  </si>
  <si>
    <t>Excellent empirical study with a large real-world corpus, explicit heuristic validation, manual false-positive checks, detailed threats to validity, and the public SolBench dataset/tool package.</t>
  </si>
  <si>
    <t>PS058</t>
  </si>
  <si>
    <t>SCEditor: A Graphical Editor Prototype for Smart Contract Design and Development</t>
  </si>
  <si>
    <t>Peer-reviewed prototype study introducing an Eclipse Sirius-based platform-independent graphical smart-contract editor and validating its metamodel with a Solidity/Vyper voting contract.</t>
  </si>
  <si>
    <t>Clear prototype and metamodel contribution with a concrete voting case and quantitative structural/behavioral coverage analysis. Validation is narrow, only about 68% of total components were represented, and no public study-specific tool package or user study is provided.</t>
  </si>
  <si>
    <t>PS059</t>
  </si>
  <si>
    <t>Characterizing Smart Contract Evolution</t>
  </si>
  <si>
    <t>Peer-reviewed ACM TOSEM empirical study combining large-scale on-chain/open-source datasets, an evaluated evolution-detection algorithm, vulnerability/gas analyses and a developer survey.</t>
  </si>
  <si>
    <t>Exceptional empirical software-engineering study with multiple constructed datasets, validated evolution detection, large-scale Ethereum analysis, a developer survey, explicit threats to validity, and public source code/data.</t>
  </si>
  <si>
    <t>PS060</t>
  </si>
  <si>
    <t>Code Cloning in Solidity Smart Contracts: Prevalence, Evolution, and Impact on Development</t>
  </si>
  <si>
    <t>Peer-reviewed ICSE empirical study analysing clone prevalence, co-evolution, bug-proneness and causal factors across 26,294 Solidity smart contracts and 97,877 functions.</t>
  </si>
  <si>
    <t>Strong and transparent empirical study with explicit project-selection rules, NiCad configuration, multi-version analyses, qualitative validation with Cohen’s kappa, a dedicated threats-to-validity section and a public study dataset.</t>
  </si>
  <si>
    <t>PS061</t>
  </si>
  <si>
    <t>Emphasizing the Early Phases of the Software Development Process Before Deploying Smart Contracts</t>
  </si>
  <si>
    <t>Peer-reviewed IEEE Access case-based software-engineering study examining the consequences of incomplete early-phase smart-contract design through a digital-identity system implemented with a microservice architecture.</t>
  </si>
  <si>
    <t>Clear and relevant case-based evidence on smart-contract upgrading and its on-chain/off-chain consequences. The study provides a concrete digital-identity/microservice case and explicit delimitations, but its methodological generalizability, comparative baseline, and reproducibility artifacts are limited.</t>
  </si>
  <si>
    <t>PS062</t>
  </si>
  <si>
    <t>EvoChain: A Framework for Tracking and Visualizing Smart Contract Evolution</t>
  </si>
  <si>
    <t>Peer-reviewed MSR tool/dataset paper introducing EvoChain, a Neo4j-backed framework and public dataset for tracing upgradeable smart-contract versions, proxy relationships and vulnerabilities.</t>
  </si>
  <si>
    <t>Useful public tool and large evolution dataset with approximately 1.3 million upgradeable proxies and nearly 15,000 historical versions. The architecture, data sources and limitations are clear, but the paper provides limited formal evaluation of usability, accuracy, scalability or comparative effectiveness.</t>
  </si>
  <si>
    <t>PS063</t>
  </si>
  <si>
    <t>SmartUpdater: Enabling Transparent, Automated, and Secure Maintenance of Stateful Smart Contracts</t>
  </si>
  <si>
    <t>Peer-reviewed IEEE Transactions on Software Engineering study introducing SmartUpdater and evaluating transparent stateful smart-contract maintenance using 1,355 real-world maintenance cases, developer-oriented evaluation, gas analysis and verifiable state migration.</t>
  </si>
  <si>
    <t>Exceptionally strong tool and empirical evaluation. SmartUpdater is evaluated on 1,355 real-world maintenance cases, includes developer-effort and gas-cost evidence, explicitly discusses limitations, and releases source code, giving strong support for reproducibility and practical relevance.</t>
  </si>
  <si>
    <t>PS064</t>
  </si>
  <si>
    <t>Model-Driven Full Life-Cycle Support Reference Framework for Blockchain-Based Application Development</t>
  </si>
  <si>
    <t>Source-version verification pending</t>
  </si>
  <si>
    <t>The uploaded PS064.pdf is explicitly labelled a preprint that has not been peer reviewed. The existing Included_94 study metadata records a peer-reviewed 2026 Journal of Software Evolution and Process version (DOI 10.1002/smr.70111). Replace the uploaded preprint with the Version of Record before locking QA scores.</t>
  </si>
  <si>
    <t>Not scored in the locked QA dataset. The uploaded manuscript contains a substantive prototype and comparative case-study evaluation, but the file itself is an unreviewed preprint. Final QA should be completed against the peer-reviewed Version of Record.</t>
  </si>
  <si>
    <t>PS065</t>
  </si>
  <si>
    <t>Making Smart Contracts Smarter</t>
  </si>
  <si>
    <t>Peer-reviewed ACM CCS benchmark study introducing Oyente, formalizing Ethereum smart-contract execution/security issues and evaluating symbolic vulnerability detection on 19,366 deployed contracts with manual and main-network case validation.</t>
  </si>
  <si>
    <t>Foundational and methodologically strong smart-contract security study with a large real-world Ethereum evaluation and confirmed attack cases. The paper acknowledges false-positive and bounded-analysis issues, but provides no dedicated threats-to-validity section and only limited study-specific replication packaging in the supplied version.</t>
  </si>
  <si>
    <t>PS066</t>
  </si>
  <si>
    <t>Securify: Practical Security Analysis of Smart Contracts</t>
  </si>
  <si>
    <t>Peer-reviewed ACM CCS study presenting the automated Securify verifier, extensive real-world Ethereum evaluation, comparisons with symbolic analyzers, operational audit experience and a publicly released implementation.</t>
  </si>
  <si>
    <t>Very strong security-analysis study combining formalized compliance/violation patterns, extensive real-contract evaluation, comparison with existing analyzers, explicit limitations and operational audit experience. Securify is publicly released, supporting reproducibility and practical applicability.</t>
  </si>
  <si>
    <t>PS067</t>
  </si>
  <si>
    <t>ZEUS: Analyzing Safety of Smart Contracts</t>
  </si>
  <si>
    <t>Peer-reviewed NDSS study presenting an automated formal-verification framework using abstract interpretation, symbolic model checking and constrained Horn clauses, evaluated on 22,493 Solidity contracts and demonstrated for Ethereum and Hyperledger Fabric.</t>
  </si>
  <si>
    <t>Rigorous large-scale formal-verification study with explicit execution semantics, detailed experimental setup, comparison with Oyente, multi-platform applicability and a substantive limitations section. The prototype is described in depth, but a study-specific public replication package is not identified in the supplied paper.</t>
  </si>
  <si>
    <t>PS068</t>
  </si>
  <si>
    <t>Formal Verification of Blockchain Smart Contract based on Colored Petri Net Models</t>
  </si>
  <si>
    <t>Peer-reviewed IEEE COMPSAC primary study proposing hierarchical Colored Petri Net modelling and ASK-CTL model checking for smart-contract verification, demonstrated with a crowdfunding contract and attacker model.</t>
  </si>
  <si>
    <t>The formal modelling and ASK-CTL verification procedure are clearly demonstrated on a concrete crowdfunding/attacker example, but the evaluation is limited to a single small case, lacks comparative baselines and a threats-to-validity discussion, and provides no public study artifact.</t>
  </si>
  <si>
    <t>PS069</t>
  </si>
  <si>
    <t>Cross-Contract Static Analysis for Detecting Practical Reentrancy Vulnerabilities in Smart Contracts</t>
  </si>
  <si>
    <t>Peer-reviewed ASE study introducing Clairvoyance, grounded in an empirical study of 11,714 contracts and evaluated against five state-of-the-art tools on 17,770 real-world contracts.</t>
  </si>
  <si>
    <t>Excellent empirical and tool-evaluation study. Clairvoyance is motivated by observed false-positive/false-negative patterns, evaluated on two large real-world datasets against five tools, reports efficiency and practical unknown vulnerabilities, discusses threats to validity, and makes tool/results material publicly available.</t>
  </si>
  <si>
    <t>PS070</t>
  </si>
  <si>
    <t>Smart Contracts Vulnerability Auditing With Multi-Semantics</t>
  </si>
  <si>
    <t>Peer-reviewed IEEE COMPSAC study introducing MSgram, evaluating multi-semantic N-gram vulnerability auditing on more than 7,200 Ethereum smart contracts with train/test separation and comparison against the S-gram baseline.</t>
  </si>
  <si>
    <t>Strong data-driven vulnerability-auditing study with explicit train/test design, precision/recall/F-measure evaluation, baseline comparison, a dedicated threats-to-validity section and a public dataset. Practical deployment claims remain somewhat broader than the offline experimental evidence.</t>
  </si>
  <si>
    <t>PS071</t>
  </si>
  <si>
    <t>WANA: Symbolic Execution of Wasm Bytecode for Extensible Smart Contract Vulnerability Detection</t>
  </si>
  <si>
    <t>Peer-reviewed IEEE QRS study presenting the open-source WANA symbolic-execution framework, evaluated on 65,285 EOSIO contracts and extended through an Ethereum vulnerability-detection case study.</t>
  </si>
  <si>
    <t>Strong cross-platform vulnerability-analysis contribution with large EOSIO evaluation, direct comparison with EVulHunter, efficiency measurements, explicit threats to validity and an open-source implementation. Ethereum evidence is appropriately framed as a smaller extensibility case because the Wasm toolchain was immature.</t>
  </si>
  <si>
    <t>PS072</t>
  </si>
  <si>
    <t>An Improved Vulnerability Detection System of Smart Contracts Based on Symbolic Execution</t>
  </si>
  <si>
    <t>Peer-reviewed IEEE Big Data study improving Mythril through path pruning and transaction-order-dependence detection and combining symbolic execution with an LSTM classifier, evaluated using a constructed smart-contract dataset.</t>
  </si>
  <si>
    <t>Well-specified hybrid vulnerability-detection system with multiple experiments, explicit hardware, evaluation metrics and comparisons with Mythril/Oyente. Reporting is adequate, but the study lacks a dedicated threats-to-validity analysis and does not identify a complete public implementation/replication package.</t>
  </si>
  <si>
    <t>PS073</t>
  </si>
  <si>
    <t>CBGRU: A Detection Method of Smart Contract Vulnerability Based on a Hybrid Model</t>
  </si>
  <si>
    <t>Peer-reviewed Sensors study proposing a hybrid deep-learning vulnerability detector and evaluating it on SmartBugs Dataset-Wild against multiple neural-network and prior smart-contract vulnerability-detection approaches.</t>
  </si>
  <si>
    <t>Strong machine-learning evaluation with a public benchmark dataset, multiple model configurations, vulnerability-specific comparisons, explicit performance metrics and a public code/data repository. The authors acknowledge dataset scale and vulnerability-localization limitations; operational applicability is not directly evaluated.</t>
  </si>
  <si>
    <t>PS074</t>
  </si>
  <si>
    <t>Park: Accelerating Smart Contract Vulnerability Detection via Parallel-Fork Symbolic Execution</t>
  </si>
  <si>
    <t>Peer-reviewed ACM ISSTA study introducing a parallel-fork symbolic-execution framework and applying it to Oyente and Mythril, evaluated on third-party SmartBugs and XBlock-ETH datasets.</t>
  </si>
  <si>
    <t>Rigorous performance-engineering study with clearly defined algorithms, two third-party datasets, controlled multi-core experiments, direct comparison with original Oyente/Mythril and an explicit limitations discussion. The paper states that implementation/results will be released, but the supplied version does not provide a confirmed stable replication package.</t>
  </si>
  <si>
    <t>PS075</t>
  </si>
  <si>
    <t>Reentrancy Vulnerability Detection and Localization: A Deep Learning Based Two-phase Approach</t>
  </si>
  <si>
    <t>Peer-reviewed ASE study introducing ReVulDL, a two-phase deep-learning approach for reentrancy detection and statement-level localization, evaluated on 47,398 SmartBugs Wild contracts against extensive baselines.</t>
  </si>
  <si>
    <t>Excellent large-scale empirical study integrating vulnerability detection and localization, comparing against extensive baselines with statistical tests and ablation studies. It includes explicit threats to validity and a public replication package containing source code, datasets and runnable examples.</t>
  </si>
  <si>
    <t>PS076</t>
  </si>
  <si>
    <t>Smart contract vulnerability detection combined with multi-objective detection</t>
  </si>
  <si>
    <t>Peer-reviewed Computer Networks study proposing MODNN and Smart Contract-Crawler, with multi-dataset experimental evaluation of multi-objective smart-contract vulnerability detection.</t>
  </si>
  <si>
    <t>Comprehensive empirical study with a well-specified MODNN/SCC pipeline, 18,796 cleaned Ethereum contracts, cross-validation and imbalance handling, public-dataset comparisons against strong baselines, explicit limitations, and a public GitHub data/code repository.</t>
  </si>
  <si>
    <t>PS077</t>
  </si>
  <si>
    <t>Smart Contract Vulnerability Detection Model Based on Siamese Network (SCVSN): A Case Study of Reentrancy Vulnerability</t>
  </si>
  <si>
    <t>Peer-reviewed Energies study proposing a Siamese-network model for reentrancy vulnerability detection, evaluated on SmartBugs Dataset-Wild and SolidiFI-derived data.</t>
  </si>
  <si>
    <t>Strong, reproducible deep-learning study with detailed preprocessing, repeated testing, hyperparameter analysis, multiple comparison models, explicit shortcomings, and a public GitHub replication repository. Practical applicability is scored conservatively because validation remains offline and focused on reentrancy classification.</t>
  </si>
  <si>
    <t>PS078</t>
  </si>
  <si>
    <t>AChecker: Statically Detecting Smart Contract Access Control Vulnerabilities</t>
  </si>
  <si>
    <t>Peer-reviewed ICSE study introducing AChecker, a static data-flow and symbolic-execution approach for access-control vulnerabilities, evaluated on three real-world/public datasets.</t>
  </si>
  <si>
    <t>Excellent software-engineering evaluation with three datasets, eight baseline tools, clearly defined ground-truth/manual-inspection procedures, explicit limitations and threats to validity, real popular-contract analysis, and a publicly available AChecker implementation.</t>
  </si>
  <si>
    <t>PS079</t>
  </si>
  <si>
    <t>An Efficient Smart Contract Vulnerability Detector Based on Semantic Contract Graphs Using Approximate Graph Matching</t>
  </si>
  <si>
    <t>Peer-reviewed IEEE Internet of Things Journal study proposing SCGraph vulnerability libraries and approximate graph matching, evaluated on benchmark and real-world Ethereum contracts.</t>
  </si>
  <si>
    <t>Strong evaluation across curated, wild and 30,000 real-world Ethereum contracts, with nine-tool comparisons, detection-speed analysis and explicit limitations. Reproducibility is slightly reduced because the paper documents implementation/environment details but does not identify a complete public study-specific artifact.</t>
  </si>
  <si>
    <t>PS080</t>
  </si>
  <si>
    <t>Combine sliced joint graph with graph neural networks for smart contract vulnerability detection</t>
  </si>
  <si>
    <t>Peer-reviewed Journal of Systems and Software study proposing sliced joint code graphs and a bidirectional GGNN with hybrid attention for smart-contract vulnerability detection.</t>
  </si>
  <si>
    <t>Rigorous multi-dataset study with detailed implementation/hyperparameters, comparisons against eight approaches, ablation experiments and a dedicated threats-to-validity section. Practical claims and reproducibility are scored conservatively because evidence is benchmark-based and no complete study-specific replication package is identified.</t>
  </si>
  <si>
    <t>PS081</t>
  </si>
  <si>
    <t>Contextual Language Model and Transfer Learning for Reentrancy Vulnerability Detection in Smart Contracts</t>
  </si>
  <si>
    <t>Peer-reviewed SOICT 2023 study using customized DistilBERT pretraining and LSTM/MLP fine-tuning for reentrancy vulnerability detection on SmartBugs Wild and Slither audited contracts.</t>
  </si>
  <si>
    <t>Clear and reasonably reproducible transfer-learning study with two large public datasets, explicit model/hyperparameter settings and comparative evaluation. Quality is reduced by the absence of a dedicated validity analysis, broader practical claims than the offline evaluation supports, and no complete study-specific artifact.</t>
  </si>
  <si>
    <t>PS082</t>
  </si>
  <si>
    <t>Correct-by-Design Interacting Smart Contracts and a Systematic Approach for Verifying ERC20 and ERC721 Contracts With VeriSolid</t>
  </si>
  <si>
    <t>Peer-reviewed IEEE Transactions on Dependable and Secure Computing study extending VeriSolid for interacting-contract modelling, formal verification, code generation and deployment, evaluated on 726 deployed ERC20/ERC721 contracts.</t>
  </si>
  <si>
    <t>Strong formal-methods and empirical verification study with explicit operational semantics, an end-to-end verification/deployment workflow, evaluation on 726 deployed Ethereum contracts, verification-time analysis, an open-source implementation, and a public appendix. Quality is reduced only because limitations are discussed mainly in the conclusion rather than through a dedicated validity analysis.</t>
  </si>
  <si>
    <t>PS083</t>
  </si>
  <si>
    <t>Cross-Modality Mutual Learning for Enhancing Smart Contract Vulnerability Detection on Bytecode</t>
  </si>
  <si>
    <t>Peer-reviewed ACM Web Conference study proposing a teacher-student cross-modality framework for bytecode vulnerability detection and releasing a large labelled benchmark dataset.</t>
  </si>
  <si>
    <t>Rigorous deep-learning study with a 514,880-function dataset from 42,910 contracts, explicit implementation and hyperparameter details, repeated experiments, extensive baseline comparisons, ablation analysis, and released code/data. The main weakness is the absence of an explicit limitations or threats-to-validity discussion.</t>
  </si>
  <si>
    <t>PS084</t>
  </si>
  <si>
    <t>MANDO-HGT: Heterogeneous Graph Transformers for Smart Contract Vulnerability Detection</t>
  </si>
  <si>
    <t>Peer-reviewed MSR study proposing heterogeneous contract graphs and graph transformers for vulnerability detection in both Solidity source code and EVM bytecode.</t>
  </si>
  <si>
    <t>Excellent empirical study with heterogeneous source/bytecode representations, a curated multi-source dataset, contract- and line-level evaluation, extensive conventional and learning-based baselines, label-quality discussion, implementation constraints, and a public repository containing datasets and graph-embedding models.</t>
  </si>
  <si>
    <t>PS085</t>
  </si>
  <si>
    <t>PSCVFinder: A Prompt-Tuning Based Framework for Smart Contract Vulnerability Detection</t>
  </si>
  <si>
    <t>Peer-reviewed ISSRE study proposing smart-contract slicing and CodeT5 prompt tuning for reentrancy and timestamp-dependency vulnerability detection.</t>
  </si>
  <si>
    <t>Highly reproducible prompt-tuning study with large real-world datasets, explicit preprocessing/model design, state-of-the-art comparisons, ablation and hyperparameter analyses, a dedicated threats-to-validity section, and publicly released source code and experimental data.</t>
  </si>
  <si>
    <t>PS086</t>
  </si>
  <si>
    <t>Smart Contract Vulnerability Detection Based on Hybrid Attention Mechanism Model</t>
  </si>
  <si>
    <t>Peer-reviewed Applied Sciences study proposing a hybrid single-head/multi-head attention model and vulnerability-focused code-fragment extraction, evaluated on two public smart-contract datasets.</t>
  </si>
  <si>
    <t>Substantial benchmark evaluation on 24,957 contracts with five vulnerability categories, detailed preprocessing and implementation settings, multiple deep-learning configurations and comparisons against prior methods. Quality is reduced by the lack of a meaningful limitations/validity discussion, offline-only evidence for practical claims, and no complete study-specific replication artifact.</t>
  </si>
  <si>
    <t>PS087</t>
  </si>
  <si>
    <t>Smart Contract Vulnerability Detection Techniques for Hyperledger Fabric</t>
  </si>
  <si>
    <t>Peer-reviewed IEEE conference study introducing UBF-ChaincodeScan, a static-analysis tool for Hyperledger Fabric chaincode, particularly Node.js smart contracts.</t>
  </si>
  <si>
    <t>Useful enterprise-oriented tool contribution with a documented architecture, command interface, AST-based checks, Fabric-specific vulnerability rules and illustrative outputs. However, the evaluation is limited to seeded examples and feature-coverage comparisons with njsscan/jshint; no labelled benchmark, precision/recall study, formal validity analysis, or complete public replication artifact is reported.</t>
  </si>
  <si>
    <t>PS088</t>
  </si>
  <si>
    <t>Enhancing Oyente: Four New Vulnerability Detections for Improved Smart Contract Security Analysis</t>
  </si>
  <si>
    <t>Peer-reviewed International Journal of Information Technology study extending Oyente with four additional Ethereum vulnerability-detection algorithms and testing the enhanced tool on public blockchain contracts.</t>
  </si>
  <si>
    <t>Clear tool-extension study with explicit detection algorithms and experiments on public Ethereum contracts, including recall/count results for added vulnerability classes. Methodological strength is limited by sparse dataset characterization, weak comparative performance design, no formal threats-to-validity analysis, and no confirmed study-specific code/data package.</t>
  </si>
  <si>
    <t>PS089</t>
  </si>
  <si>
    <t>SGDL: Smart Contract Vulnerability Generation via Deep Learning</t>
  </si>
  <si>
    <t>Peer-reviewed Journal of Software: Evolution and Process study proposing GAN-based generation and AST-guided injection of seven smart-contract vulnerability types.</t>
  </si>
  <si>
    <t>Comprehensive methodology and evaluation with manually validated source data, seven vulnerability classes, comparisons with SolidiFI, diversity/authenticity measurements, evaluation against ten detection tools, activation experiments, explicit validity threats, and publicly released SGDL source code.</t>
  </si>
  <si>
    <t>PS090</t>
  </si>
  <si>
    <t>Smart Contract Vulnerability Detection Based on AST-Augmented Heterogeneous Graphs</t>
  </si>
  <si>
    <t>Peer-reviewed IEEE IPCCC study proposing CL-HGAN, a contract-level heterogeneous graph attention framework designed to capture cross-function and cross-contract vulnerability patterns.</t>
  </si>
  <si>
    <t>Strong contract-level vulnerability-detection study covering thirty vulnerability types, multiple state-of-the-art baselines, imbalanced-data tests and ablation experiments. The paper explicitly discusses limitations and future extensions, but no complete public study-specific implementation/dataset package is identified.</t>
  </si>
  <si>
    <t>PS091</t>
  </si>
  <si>
    <t>ContractSentry: A Static Analysis Tool for Smart Contract Vulnerability Detection</t>
  </si>
  <si>
    <t>Peer-reviewed Automated Software Engineering study proposing source-level intermediate representations and composite vulnerability rules for reentrancy, denial of service and transaction-ordering dependence.</t>
  </si>
  <si>
    <t>Rigorous static-analysis study with seven detection algorithms, five baseline tools, labelled evaluation and a 15,773-contract real-world analysis. False-positive/false-negative mechanisms and static-analysis limitations are explicitly discussed. Reproducibility is reduced because datasets are available only on request and no public ContractSentry implementation is identified.</t>
  </si>
  <si>
    <t>PS092</t>
  </si>
  <si>
    <t>CSAFuzzer: Fuzzing Smart Contracts Combining With Static Analysis</t>
  </si>
  <si>
    <t>Peer-reviewed Empirical Software Engineering study combining static function-sequence analysis, coverage-guided genetic fuzzing and vulnerability-specific test oracles.</t>
  </si>
  <si>
    <t>Strong empirical fuzzing study with a 12,351-contract coverage dataset, a manually labelled 505-contract effectiveness dataset, explicit environment/runtime settings, static and fuzzing baselines, code-coverage and accuracy analyses, detailed false-positive discussion, and acknowledged oracle limitations. Study data are available only on request and a public CSAFuzzer package is not confirmed.</t>
  </si>
  <si>
    <t>PS093</t>
  </si>
  <si>
    <t>VULSEYE: Detect Smart Contract Vulnerabilities via Stateful Directed Graybox Fuzzing</t>
  </si>
  <si>
    <t>Peer-reviewed IEEE Transactions on Information Forensics and Security study proposing stateful directed graybox fuzzing using code and state targets.</t>
  </si>
  <si>
    <t>Exceptional security-testing study with multiple controlled and real-world evaluations, strong state-of-the-art fuzzer/static-tool comparisons, explicit parameter settings, manual false-positive analysis, a formal threats-to-validity section, documented limitations, 42,738-contract deployment-scale testing, discovery of 11 previously unknown DApp vulnerabilities, and public code/datasets.</t>
  </si>
  <si>
    <t>PS094</t>
  </si>
  <si>
    <t>TRACE: Securing Smart Contract Repository Against Access Control Vulnerability</t>
  </si>
  <si>
    <t>Peer-reviewed IEEE Transactions on Software Engineering study integrating LLM-assisted snippet completion with static analysis to detect access-control vulnerabilities in compilable and non-compilable smart-contract repositories.</t>
  </si>
  <si>
    <t>Exceptional repository-level security study with three complementary datasets, comparisons against program-analysis tools and LLM baselines, recent on-chain contracts, 83 real-world repositories, detailed failure analysis, explicit internal/external threats to validity, and publicly released source code and data.</t>
  </si>
  <si>
    <t>Criterion-Level Evidence Log — Reviewer 1 Draft (PS001–PS094) and Reviewer 2 Reconciliation Fields</t>
  </si>
  <si>
    <t>QA code</t>
  </si>
  <si>
    <t>Criterion</t>
  </si>
  <si>
    <t>R1 score</t>
  </si>
  <si>
    <t>R1 evidence / rationale</t>
  </si>
  <si>
    <t>Source file</t>
  </si>
  <si>
    <t>PDF page(s) / section</t>
  </si>
  <si>
    <t>R2 score</t>
  </si>
  <si>
    <t>R2 evidence / rationale</t>
  </si>
  <si>
    <t>Consensus score</t>
  </si>
  <si>
    <t>Consensus note</t>
  </si>
  <si>
    <t>Abstract/introduction identify the lack of a systematic comparison framework and ask how private blockchains handle data-processing workloads and how platforms differ.</t>
  </si>
  <si>
    <t>PS001.pdf</t>
  </si>
  <si>
    <t>pp. 1–2, Abstract/Introduction</t>
  </si>
  <si>
    <t>BLOCKBENCH architecture, connector interface, three software-stack layers, macrobenchmarks and microbenchmarks are described in detail.</t>
  </si>
  <si>
    <t>pp. 4–7, Section 3</t>
  </si>
  <si>
    <t>The study defines repeatable benchmark workloads and evaluates Ethereum, Parity and Hyperledger through a consistent framework.</t>
  </si>
  <si>
    <t>pp. 7–12, Sections 4–5</t>
  </si>
  <si>
    <t>YCSB, SmallBank, real Ethereum contracts and layer-specific workloads are documented together with experimental configurations.</t>
  </si>
  <si>
    <t>pp. 6–8, Sections 3.4–4</t>
  </si>
  <si>
    <t>Throughput, latency, scalability and fault tolerance are defined; comparisons include the three blockchains and H-Store.</t>
  </si>
  <si>
    <t>pp. 6–12, Sections 3.4–5</t>
  </si>
  <si>
    <t>Figures and analyses link measured results to consensus, execution and data-layer bottlenecks.</t>
  </si>
  <si>
    <t>pp. 8–12, Sections 4–5</t>
  </si>
  <si>
    <t>Scope/version constraints and future re-evaluation are acknowledged, but there is no dedicated threats-to-validity analysis.</t>
  </si>
  <si>
    <t>pp. 9, 13, Results/Conclusion</t>
  </si>
  <si>
    <t>Conclusions are framed around the tested private blockchains and database-style workloads rather than claiming production readiness.</t>
  </si>
  <si>
    <t>pp. 12–13, Discussion/Conclusion</t>
  </si>
  <si>
    <t>BLOCKBENCH is explicitly released for public use and the GitHub repository is cited.</t>
  </si>
  <si>
    <t>pp. 1, 13, Abstract/References</t>
  </si>
  <si>
    <t>The abstract and introduction clearly motivate permissioned-blockchain limitations and the need for a modular execute-order-validate architecture.</t>
  </si>
  <si>
    <t>PS002.pdf</t>
  </si>
  <si>
    <t>Fabric architecture, membership, ordering, endorsement, validation, ledger, gossip, chaincode and configuration are described extensively.</t>
  </si>
  <si>
    <t>pp. 2–10, Sections 2–4</t>
  </si>
  <si>
    <t>The paper implements Fabcoin and evaluates block size, CPU, storage, LAN/WAN scaling and gossip effects with clearly defined experiments.</t>
  </si>
  <si>
    <t>pp. 10–13, Section 5</t>
  </si>
  <si>
    <t>Evaluation describes deployment configurations, vCPU counts, block sizes, peer counts, data centers and latency stages.</t>
  </si>
  <si>
    <t>pp. 11–13, Section 5</t>
  </si>
  <si>
    <t>Performance metrics are detailed, but the authors acknowledge the absence of a standard blockchain benchmark and rely mainly on the Fabcoin workload rather than a broad external baseline.</t>
  </si>
  <si>
    <t>Throughput and latency results are reported by experiment, including stage-level latency statistics and scalability results.</t>
  </si>
  <si>
    <t>pp. 12–13, Section 5</t>
  </si>
  <si>
    <t>The paper acknowledges evaluation/configuration limitations and lists substantial future work, but provides no formal threats-to-validity section.</t>
  </si>
  <si>
    <t>pp. 10, 14–15, Evaluation/Conclusion</t>
  </si>
  <si>
    <t>Measured performance is complemented by concrete production and proof-of-concept use cases, and claims are linked to the demonstrated Fabric architecture.</t>
  </si>
  <si>
    <t>p. 14, Section 6</t>
  </si>
  <si>
    <t>Fabric is an open-source Hyperledger project; the paper cites the public GitHub repository and provides detailed implementation information.</t>
  </si>
  <si>
    <t>pp. 1, 15, Abstract/References</t>
  </si>
  <si>
    <t>The paper clearly states that permissioned-blockchain throughput is inadequate and sets the goal of re-architecting Fabric beyond consensus bottlenecks.</t>
  </si>
  <si>
    <t>PS003.pdf</t>
  </si>
  <si>
    <t>p. 1, Abstract/Introduction</t>
  </si>
  <si>
    <t>The proposed changes to ordering, validation, caching, in-memory state and role separation are described at implementation level.</t>
  </si>
  <si>
    <t>pp. 2–5, Sections II–III</t>
  </si>
  <si>
    <t>Improvements are added stepwise to Fabric 1.2 and evaluated against the base system under controlled configurations.</t>
  </si>
  <si>
    <t>pp. 5–7, Section IV</t>
  </si>
  <si>
    <t>The evaluation reports 15 local servers, CPU/RAM/network characteristics, Fabric configuration and transaction-validity assumptions.</t>
  </si>
  <si>
    <t>p. 5, Section IV</t>
  </si>
  <si>
    <t>Base Fabric is the explicit comparator; throughput and latency are measured as each optimization is introduced.</t>
  </si>
  <si>
    <t>Results quantify the incremental performance effect of the optimizations and support the reported near-20,000 TPS outcome.</t>
  </si>
  <si>
    <t>The evaluation discloses constraints such as testing valid non-conflicting transactions and identifies out-of-scope issues/future work, but no dedicated validity section is provided.</t>
  </si>
  <si>
    <t>pp. 5, 8, Evaluation/Conclusion</t>
  </si>
  <si>
    <t>Claims are limited to re-engineering Fabric under the evaluated conditions and do not claim production deployment evidence.</t>
  </si>
  <si>
    <t>p. 8, Conclusion</t>
  </si>
  <si>
    <t>Implementation and configuration changes are described in detail, but the paper does not identify a dedicated public FastFabric artifact package.</t>
  </si>
  <si>
    <t>pp. 2–8, Design/Evaluation</t>
  </si>
  <si>
    <t>The paper clearly motivates IoT blockchain scalability/security problems and defines the objective of secure self-organized sharding.</t>
  </si>
  <si>
    <t>PS004.pdf</t>
  </si>
  <si>
    <t>pp. 1–3, Abstract/Introduction</t>
  </si>
  <si>
    <t>System architecture, reputation model, consensus method, coalition game and shard-formation algorithm are described with formal definitions and proofs.</t>
  </si>
  <si>
    <t>pp. 3–15, Sections III–V</t>
  </si>
  <si>
    <t>Analytical propositions are followed by numerical verification using an explicitly described OPNET simulation model.</t>
  </si>
  <si>
    <t>pp. 15–19, Sections V–VI</t>
  </si>
  <si>
    <t>The OPNET/LTE-A MEC topology, bandwidth, base stations, node behavior and other simulation parameters are specified.</t>
  </si>
  <si>
    <t>pp. 15–16, Section VI-A</t>
  </si>
  <si>
    <t>Security, throughput and block delay are evaluated against domain-based sharding, OmniLedger and reputation-based blockchain approaches.</t>
  </si>
  <si>
    <t>pp. 17–19, Section VI</t>
  </si>
  <si>
    <t>Simulation results are interpreted against the analytical security and throughput bounds and compared across algorithms.</t>
  </si>
  <si>
    <t>Model assumptions and security bounds are explicit, but the paper does not provide a dedicated discussion of study limitations or external-validity threats.</t>
  </si>
  <si>
    <t>pp. 4–15, Model/Analysis</t>
  </si>
  <si>
    <t>IoT applicability is plausible, but evidence is analytical and simulation-based rather than an implemented operational blockchain deployment.</t>
  </si>
  <si>
    <t>pp. 15–19, Section VI</t>
  </si>
  <si>
    <t>Supplementary mathematical material and detailed simulation settings are provided, but no study-specific implementation/data repository is identified.</t>
  </si>
  <si>
    <t>p. 1 and pp. 15–19</t>
  </si>
  <si>
    <t>The study clearly identifies throughput, delay, supervision and trust problems in consortium-blockchain consensus.</t>
  </si>
  <si>
    <t>PS005.pdf</t>
  </si>
  <si>
    <t>Node roles, dynamic trust computation and the consensus process are defined through equations and algorithms.</t>
  </si>
  <si>
    <t>pp. 4–7, Section III</t>
  </si>
  <si>
    <t>The proposed mechanism is implemented in a consortium-blockchain experiment and compared under controlled parameter settings.</t>
  </si>
  <si>
    <t>pp. 7–11, Section IV</t>
  </si>
  <si>
    <t>CPU, storage, memory, OS, node counts, Ganache setup, transaction amounts, block size, repetitions and fault nodes are reported.</t>
  </si>
  <si>
    <t>pp. 7–8, Section IV-A</t>
  </si>
  <si>
    <t>Delay, throughput, fault-tolerance ratio and CPU-consumption ratio are defined and compared with established consensus mechanisms.</t>
  </si>
  <si>
    <t>pp. 8–11, Sections IV-B–IV-C</t>
  </si>
  <si>
    <t>Experimental figures and comparisons support the reported improvements in throughput, delay, CPU usage and fault tolerance.</t>
  </si>
  <si>
    <t>pp. 8–11, Section IV-C</t>
  </si>
  <si>
    <t>Future work explicitly identifies untested scalability/vulnerability properties and additional blockchain-quality properties; no formal threats section is present.</t>
  </si>
  <si>
    <t>p. 11, Conclusion/Future Work</t>
  </si>
  <si>
    <t>The authors report planned collaboration with an automotive company, but current evidence relies on Ganache and simulated transactions rather than operational deployment.</t>
  </si>
  <si>
    <t>Algorithms, parameters and supplementary material are provided, but no public study-specific source-code/data artifact is identified.</t>
  </si>
  <si>
    <t>pp. 1, 7–11</t>
  </si>
  <si>
    <t>The paper clearly identifies smart-contract serial execution as a performance bottleneck in permissioned blockchains and motivates an SGX-based concurrent framework.</t>
  </si>
  <si>
    <t>PS006.pdf</t>
  </si>
  <si>
    <t>The two-phase SGX architecture, pre-execution, compact read/write sets and Merkle Forest are described with algorithms and diagrams.</t>
  </si>
  <si>
    <t>pp. 2–4, Sections II–III</t>
  </si>
  <si>
    <t>A prototype integrated with BFT-SMaRt is evaluated with controlled workload and parameter variations.</t>
  </si>
  <si>
    <t>pp. 5–6, Section V</t>
  </si>
  <si>
    <t>The four-VM cluster, CPU/memory, OS, SGX SDK, enclave size, languages, SmallBank workload, 1M customers, warm-up and 10-run averaging are reported.</t>
  </si>
  <si>
    <t>p. 5, Section V-A</t>
  </si>
  <si>
    <t>Throughput and latency are evaluated against serial and alternative concurrent execution configurations while varying contracts, transactions and threads.</t>
  </si>
  <si>
    <t>pp. 5–6, Section V-B</t>
  </si>
  <si>
    <t>Figures report throughput/latency trends and support the claimed parallel-execution improvements.</t>
  </si>
  <si>
    <t>The paper discloses SGX EPC constraints and that experiments use SGX debug simulation mode, but does not systematically discuss resulting validity limitations.</t>
  </si>
  <si>
    <t>pp. 1, 5</t>
  </si>
  <si>
    <t>Evidence comes from a BFT-SMaRt prototype and benchmark workload in SGX simulation mode rather than real SGX/production deployment.</t>
  </si>
  <si>
    <t>pp. 5–6</t>
  </si>
  <si>
    <t>Implementation languages, SDK/version and open-source dependencies are documented, but no study-specific public artifact is cited.</t>
  </si>
  <si>
    <t>The study clearly motivates single-point-of-failure and privacy/resource problems in federated learning and defines BLADE-FL.</t>
  </si>
  <si>
    <t>PS007.pdf</t>
  </si>
  <si>
    <t>BLADE-FL architecture, loss-bound analysis, resource allocation and lazy-client model are mathematically specified.</t>
  </si>
  <si>
    <t>pp. 2–7, Sections 3–7</t>
  </si>
  <si>
    <t>Analytical results are validated empirically under multiple datasets and parameter settings.</t>
  </si>
  <si>
    <t>pp. 7–12, Section 8</t>
  </si>
  <si>
    <t>Four datasets, non-IID settings, model choices and experimental parameters are documented.</t>
  </si>
  <si>
    <t>pp. 7–8, Section 8.1</t>
  </si>
  <si>
    <t>Loss, accuracy and mining overhead are evaluated and compared with CA and LearningChain configurations.</t>
  </si>
  <si>
    <t>pp. 8–12, Section 8</t>
  </si>
  <si>
    <t>Experiments are explicitly compared with analytical bounds, including reported gaps and accuracy/mining-overhead results.</t>
  </si>
  <si>
    <t>The convexity assumption, lazy-client challenge and several unresolved issues are acknowledged in conclusion/future work, but no dedicated threats section is provided.</t>
  </si>
  <si>
    <t>p. 12, Section 9</t>
  </si>
  <si>
    <t>The framework is evaluated on standard ML datasets and analytical blockchain timing/resource models rather than a deployed blockchain-FL system.</t>
  </si>
  <si>
    <t>pp. 7–12</t>
  </si>
  <si>
    <t>Public standard datasets and detailed equations/settings support partial reproducibility, but no study-specific code/artifact is identified.</t>
  </si>
  <si>
    <t>The introduction enumerates concrete shortcomings of existing sharding systems and defines the objectives of the FS protocol.</t>
  </si>
  <si>
    <t>PS008.pdf</t>
  </si>
  <si>
    <t>CSBFT, parallel leaders, view change, reconfiguration and formal security properties are described in detail.</t>
  </si>
  <si>
    <t>pp. 2–14, Sections II–IV</t>
  </si>
  <si>
    <t>The protocol is evaluated through formal proofs, complexity analysis and implementation-oriented simulation against Omniledger.</t>
  </si>
  <si>
    <t>pp. 14–15, Section V</t>
  </si>
  <si>
    <t>CPU, network link, per-node bandwidth/latency, transaction size, shard counts and block size are explicitly reported.</t>
  </si>
  <si>
    <t>pp. 14–15, Section V-B</t>
  </si>
  <si>
    <t>Throughput and latency are evaluated under varying node/shard/span/block-size settings and directly compared with Omniledger.</t>
  </si>
  <si>
    <t>Results consistently connect parameter changes to throughput/latency and support the reported parallelism improvement.</t>
  </si>
  <si>
    <t>Adversary/network assumptions and protocol scope are explicit, but there is no dedicated empirical-validity or limitations discussion.</t>
  </si>
  <si>
    <t>pp. 2–14</t>
  </si>
  <si>
    <t>Claims of scalability are supported by formal and simulated evidence, but there is no relevant-environment or operational deployment.</t>
  </si>
  <si>
    <t>pp. 14–16</t>
  </si>
  <si>
    <t>Supplementary material and detailed protocol/simulation parameters are available, but no public implementation repository is identified.</t>
  </si>
  <si>
    <t>pp. 1, 14–16</t>
  </si>
  <si>
    <t>The paper explicitly frames the simultaneous privacy-and-scalability problem for permissioned blockchain and states the HyperMaze objective.</t>
  </si>
  <si>
    <t>PS009.pdf</t>
  </si>
  <si>
    <t>Hierarchical architecture, dual-balance model, 2PXT protocol, zero-knowledge circuits and security model are fully described.</t>
  </si>
  <si>
    <t>pp. 2–13, Sections 2–5</t>
  </si>
  <si>
    <t>A formal UC security proof is combined with an implemented Ethereum-derived prototype and systematic experiments.</t>
  </si>
  <si>
    <t>pp. 13–16, Section 6</t>
  </si>
  <si>
    <t>Implementation libraries, cryptographic instantiations, hardware, OS, topology variations, node counts and parameter ranges are reported.</t>
  </si>
  <si>
    <t>pp. 13–15, Sections 6.1–6.2</t>
  </si>
  <si>
    <t>Proof/key costs, throughput and confirmation latency are measured and compared with HIBEChain and relevant privacy approaches.</t>
  </si>
  <si>
    <t>Figures and summaries report how hierarchy, threshold, branch number and Merkle depth affect performance.</t>
  </si>
  <si>
    <t>Configuration trade-offs and design constraints are discussed, but no dedicated threats-to-validity section is provided.</t>
  </si>
  <si>
    <t>pp. 15–16, Section 6.2.5/Discussion</t>
  </si>
  <si>
    <t>The prototype is large-scale and technically realistic, but claims about adapting to IoT scenarios remain pre-operational.</t>
  </si>
  <si>
    <t>pp. 15–16</t>
  </si>
  <si>
    <t>Implementation details are extensive, but the paper does not identify a public HyperMaze code/data repository.</t>
  </si>
  <si>
    <t>pp. 13–16</t>
  </si>
  <si>
    <t>The paper clearly identifies trust-evaluation and scalable-consensus problems in vehicular networks and defines VT-chain.</t>
  </si>
  <si>
    <t>PS010.pdf</t>
  </si>
  <si>
    <t>VT-Eva, TEE-secured computation, multi-shard architecture and HierBFT are specified with algorithms and formal properties.</t>
  </si>
  <si>
    <t>pp. 2–10, Sections II–V</t>
  </si>
  <si>
    <t>The proposed trust and consensus mechanisms are implemented and evaluated on local and cloud testbeds.</t>
  </si>
  <si>
    <t>pp. 10–12, Section VI</t>
  </si>
  <si>
    <t>Local/cloud server configurations, SGX use, message/client variations and consensus-node configurations are reported.</t>
  </si>
  <si>
    <t>pp. 10–11, Section VI</t>
  </si>
  <si>
    <t>Latency, throughput, resource use and scalability are measured with relevant BFT comparisons and parameter variation.</t>
  </si>
  <si>
    <t>Measured testbed results are presented and linked to the trust-evaluation and hierarchical-consensus design.</t>
  </si>
  <si>
    <t>The conclusion explicitly identifies vehicle mobility and sharding-configuration optimization as unresolved challenges; no formal threats section is present.</t>
  </si>
  <si>
    <t>p. 12, Section VIII</t>
  </si>
  <si>
    <t>The paper includes a deployment discussion and real local/cloud testbeds, while still presenting mobility as future work; applicability claims are proportionate.</t>
  </si>
  <si>
    <t>pp. 11–12, Sections VII–VIII</t>
  </si>
  <si>
    <t>Algorithms, architecture and testbed details are documented, but no study-specific public source-code/data package is identified.</t>
  </si>
  <si>
    <t>pp. 10–12</t>
  </si>
  <si>
    <t>The paper clearly identifies cross-shard 2PC/BFT bottlenecks and defines P-2PC and Cherubim as the proposed solution.</t>
  </si>
  <si>
    <t>PS011.pdf</t>
  </si>
  <si>
    <t>The pipelined 2PC, PL-BFT, batch processing and aggregatable multi-signature mechanisms are specified in detail.</t>
  </si>
  <si>
    <t>pp. 3–12, Sections III–VI</t>
  </si>
  <si>
    <t>The protocol is assessed through security/complexity analysis and parameterized implementation-oriented simulation.</t>
  </si>
  <si>
    <t>pp. 12–15, Section VII</t>
  </si>
  <si>
    <t>Simulation hardware, memory, network bandwidth, message delay, hash function, shard sizes and batch sizes are reported.</t>
  </si>
  <si>
    <t>p. 14, Section VII-B</t>
  </si>
  <si>
    <t>Message, communication, authenticator and computation complexity plus throughput/latency are defined and compared with Omniledger.</t>
  </si>
  <si>
    <t>pp. 13–15, Section VII</t>
  </si>
  <si>
    <t>The reported results quantify throughput/latency and the improvement over Omniledger under multiple shard configurations.</t>
  </si>
  <si>
    <t>pp. 14–15, Section VII-B</t>
  </si>
  <si>
    <t>Protocol assumptions and scope limitations are stated, but empirical-validity and external-validity threats are not systematically discussed.</t>
  </si>
  <si>
    <t>pp. 3–13</t>
  </si>
  <si>
    <t>Claims of broad applicability to sharding blockchains are based on protocol analysis and simulation rather than operational deployment.</t>
  </si>
  <si>
    <t>pp. 14–15</t>
  </si>
  <si>
    <t>Supplementary material is referenced and protocol parameters are documented, but no public implementation artifact is identified.</t>
  </si>
  <si>
    <t>pp. 3, 13–15</t>
  </si>
  <si>
    <t>The paper clearly defines the cross-group smart-contract execution problem and the objective of eliminating state synchronization and duplicate execution.</t>
  </si>
  <si>
    <t>PS012.pdf</t>
  </si>
  <si>
    <t>ICOE architecture, coordinator, 2PL/2PC behavior, consensus-group execution and correctness/security reasoning are described in detail.</t>
  </si>
  <si>
    <t>pp. 2–10, Sections III–V</t>
  </si>
  <si>
    <t>ICOE and the SYN baseline are implemented and evaluated experimentally on physical servers.</t>
  </si>
  <si>
    <t>Five physical servers, CPU specifications, 12 groups/36 nodes, 20,000 smart contracts, workload composition and parameter settings are reported.</t>
  </si>
  <si>
    <t>p. 10, Section VI-A</t>
  </si>
  <si>
    <t>Throughput is compared with the SYN baseline while varying group count, transaction complexity, contract size and practical ML smart-contract cases.</t>
  </si>
  <si>
    <t>The experiments quantify scaling behavior and the reported average 14× throughput improvement.</t>
  </si>
  <si>
    <t>The paper explicitly acknowledges strong coordinator assumptions and compromised-group behavior, but does not provide a dedicated threats-to-validity section.</t>
  </si>
  <si>
    <t>p. 10, Security discussion</t>
  </si>
  <si>
    <t>Industrial applicability claims are supported by physical-server experiments and additional smart-contract/ML cases and are framed as an adaptable model rather than a production deployment.</t>
  </si>
  <si>
    <t>pp. 10–11</t>
  </si>
  <si>
    <t>Workloads, node allocation and parameter settings are well documented, but no complete public implementation/data artifact is cited.</t>
  </si>
  <si>
    <t>The paper clearly identifies blockchain limitations for 5G network slicing and states the design goals of Librum.</t>
  </si>
  <si>
    <t>PS013.pdf</t>
  </si>
  <si>
    <t>Librum architecture, hierarchical CFT/BFT consensus, Validate–Execute model, hardware, IPFS storage and smart-contract design are extensively described.</t>
  </si>
  <si>
    <t>pp. 2–14, Sections 1–4</t>
  </si>
  <si>
    <t>The proof-of-concept is integrated with FreedomFi/Magma and evaluated repeatedly against multiple blockchain platforms.</t>
  </si>
  <si>
    <t>pp. 14–20, Section 5</t>
  </si>
  <si>
    <t>Raspberry Pi edge devices, Docker/Kubernetes, FreedomFi 5G gateway/radio, SIM/mobile hotspot and blockchain-peer ranges are described.</t>
  </si>
  <si>
    <t>p. 14, Experimental setup</t>
  </si>
  <si>
    <t>Invoke/query throughput, scalability, latency, CPU, memory and block-generation metrics are compared with Hyperledger Fabric, Rahasak and BigchainDB.</t>
  </si>
  <si>
    <t>pp. 15–20, Section 5</t>
  </si>
  <si>
    <t>The paper reports comparative results and repeated experiments, including 100-run averages for selected tests.</t>
  </si>
  <si>
    <t>Future development is identified, but there is no systematic threats-to-validity discussion for the proof-of-concept and small peer ranges.</t>
  </si>
  <si>
    <t>p. 26, Section 7</t>
  </si>
  <si>
    <t>The conclusion describes the proof-of-concept deployments as strong evidence of suitability/being an 'ideal' system; this is somewhat broader than the testbed evidence.</t>
  </si>
  <si>
    <t>Hardware/software stack and configurations are detailed, but the article states no research data were used and does not identify a complete public Librum artifact package.</t>
  </si>
  <si>
    <t>pp. 14–20, 26</t>
  </si>
  <si>
    <t>Not assessed. This paper explicitly conducts an SLR/systematic survey and is therefore a secondary study under EC5.</t>
  </si>
  <si>
    <t>PS014.pdf</t>
  </si>
  <si>
    <t>Not assessed pending primary-study eligibility.</t>
  </si>
  <si>
    <t>—</t>
  </si>
  <si>
    <t>QA scoring withheld pending eligibility adjudication. The study modifies generic Raft rather than directly evaluating a blockchain/DLT system.</t>
  </si>
  <si>
    <t>PS015.pdf</t>
  </si>
  <si>
    <t>The introduction defines the scalability and global-consensus security challenges (C1/C2) and motivates SharBFT plus the sharding optimization model.</t>
  </si>
  <si>
    <t>PS016.pdf</t>
  </si>
  <si>
    <t>SharBFT's hierarchical multishard architecture, threshold-signature voting, cross-shard BFT operation and sharding optimization model are specified in detail.</t>
  </si>
  <si>
    <t>pp. 2–10, protocol and optimization sections</t>
  </si>
  <si>
    <t>The protocol and optimizer are implemented as testbed modules and evaluated experimentally in a real cloud environment.</t>
  </si>
  <si>
    <t>pp. 10–11, Section VII</t>
  </si>
  <si>
    <t>The cloud testbed reports geographically distributed Google Cloud VMs, node counts, CPU/memory resources, TCP/IP communication and failure-model settings.</t>
  </si>
  <si>
    <t>p. 10, experimental setup</t>
  </si>
  <si>
    <t>Consensus latency and throughput are measured against BFT-SMaRt, XPaxos and HotStuff while varying replicas, failures and payload/configuration settings.</t>
  </si>
  <si>
    <t>Figures report SharBFT performance and the optimization benefit, including reduced latency and increased throughput under dynamic conditions.</t>
  </si>
  <si>
    <t>Assumptions and future industrial-platform integration are mentioned, but the paper does not provide a dedicated threats-to-validity analysis.</t>
  </si>
  <si>
    <t>p. 12, conclusion/future work</t>
  </si>
  <si>
    <t>A real cloud testbed supports the scalability claims, but the system has not yet been integrated into or observed in an operational industrial blockchain.</t>
  </si>
  <si>
    <t>Implementation/testbed detail and supplementary material are available, but no study-specific public source-code repository is identified in the paper.</t>
  </si>
  <si>
    <t>pp. 1, 10–12</t>
  </si>
  <si>
    <t>The paper clearly frames security, fairness, scalability and performance problems for zero-trust cross-domain cloud-edge-end data sharing.</t>
  </si>
  <si>
    <t>PS017.pdf</t>
  </si>
  <si>
    <t>pp. 1–2, Introduction</t>
  </si>
  <si>
    <t>It specifies PCE, partial-trust and zero-trust data-sharing protocols, sharding architecture, certificate authority, formal security definitions and proofs.</t>
  </si>
  <si>
    <t>pp. 2–13, protocol/security sections</t>
  </si>
  <si>
    <t>Theoretical complexity/security analysis is complemented by functional and performance testing.</t>
  </si>
  <si>
    <t>pp. 13–14, Section VI</t>
  </si>
  <si>
    <t>The evaluation specifies CPU/memory platform, bandwidth and delay assumptions, domain/node parameters and test settings.</t>
  </si>
  <si>
    <t>p. 13, performance-test setup</t>
  </si>
  <si>
    <t>Metrics include throughput and latency for policy registration/data sharing plus communication and computation costs, with comparative protocol analysis.</t>
  </si>
  <si>
    <t>The evaluation reports quantitative request rates and latency behavior and connects them to system size/domain configuration.</t>
  </si>
  <si>
    <t>Formal assumptions are explicit, but there is no dedicated empirical limitations or threats-to-validity discussion.</t>
  </si>
  <si>
    <t>pp. 5–13</t>
  </si>
  <si>
    <t>The architecture is positioned for cloud-edge-end/IoT use, but the practical evidence is controlled performance testing rather than operational deployment.</t>
  </si>
  <si>
    <t>pp. 13–15</t>
  </si>
  <si>
    <t>Supplementary material and detailed protocol definitions are available, but no study-specific public implementation repository is identified.</t>
  </si>
  <si>
    <t>pp. 1, 13–15</t>
  </si>
  <si>
    <t>The paper identifies cross-shard duplication, high coordination latency and signature communication overhead as the central scalability bottlenecks.</t>
  </si>
  <si>
    <t>PS018.pdf</t>
  </si>
  <si>
    <t>X-Shard's transaction allocation, optimistic MIMO processing, gateway accounts, rollback logic and threshold-signature commit protocol are described in detail.</t>
  </si>
  <si>
    <t>pp. 2–8, Sections II–V</t>
  </si>
  <si>
    <t>A Golang prototype is deployed on Amazon EC2 and evaluated under controlled shard/network/workload settings.</t>
  </si>
  <si>
    <t>p. 8 onward, Section VI</t>
  </si>
  <si>
    <t>The setup reports EC2 instance type, link delay/bandwidth and a large real Ethereum transaction/account trace from XBlock, with one million transactions replayed per run.</t>
  </si>
  <si>
    <t>p. 8, Section VI-A</t>
  </si>
  <si>
    <t>Effective throughput, processing latency and queue behavior are measured against random allocation/existing sharding approaches under varied shard configurations.</t>
  </si>
  <si>
    <t>pp. 8–10, Section VI</t>
  </si>
  <si>
    <t>Results show near-linear effective-throughput scaling and reduced processing latency, consistent with the theoretical analysis.</t>
  </si>
  <si>
    <t>pp. 9–11, Section VI</t>
  </si>
  <si>
    <t>Protocol assumptions and future combinations/extensions are discussed, but no formal threats-to-validity section is provided.</t>
  </si>
  <si>
    <t>pp. 7–11</t>
  </si>
  <si>
    <t>Claims are proportionate to a prototype deployed on EC2 with real Ethereum traces and are presented as system-performance results rather than production-readiness evidence.</t>
  </si>
  <si>
    <t>pp. 8–11</t>
  </si>
  <si>
    <t>The authors provide public source code (https://github.com/myl7/xshard), use the public XBlock Ethereum dataset, and report the experimental setup in detail.</t>
  </si>
  <si>
    <t>p. 8 and artifact references</t>
  </si>
  <si>
    <t>The paper isolates authenticator complexity and message complexity as concrete scalability bottlenecks for state-of-the-art asynchronous BFT at hundreds of nodes.</t>
  </si>
  <si>
    <t>PS019.pdf</t>
  </si>
  <si>
    <t>pp. 1–3, Introduction</t>
  </si>
  <si>
    <t>FIN-NG and JUMBO are fully specified with protocol redesigns, aggregation/dispersal techniques, complexity arguments and security reasoning.</t>
  </si>
  <si>
    <t>pp. 3–15, protocol sections</t>
  </si>
  <si>
    <t>The authors implement JUMBO, FIN-NG and comparable baselines in Golang and evaluate them systematically across scales and network conditions.</t>
  </si>
  <si>
    <t>pp. 15–17, Section VII</t>
  </si>
  <si>
    <t>AWS EC2 instance type, CPU/memory, node counts up to 256, bandwidth/RTT settings and regional/continental/global network emulation are reported.</t>
  </si>
  <si>
    <t>pp. 15–16, experimental setup</t>
  </si>
  <si>
    <t>Throughput and latency are measured across node scale/load/network conditions against FIN and Dumbo-NG under a matched implementation stack.</t>
  </si>
  <si>
    <t>The figures demonstrate scalability and performance advantages, including strong gains once the system reaches hundreds of nodes.</t>
  </si>
  <si>
    <t>pp. 16–17, Section VII</t>
  </si>
  <si>
    <t>The conclusion explicitly identifies remaining O(n^3) behavior and malicious-attack performance degradation as unresolved limitations/future research.</t>
  </si>
  <si>
    <t>p. 17, Conclusion</t>
  </si>
  <si>
    <t>Claims are carefully tied to large-scale AWS/WAN-emulated experiments and do not equate the testbed with operational production deployment.</t>
  </si>
  <si>
    <t>pp. 15–17</t>
  </si>
  <si>
    <t>Open-source code is reported (https://github.com/tca-sp/jumbo), together with supplementary experiments and archival material, enabling strong reproducibility.</t>
  </si>
  <si>
    <t>artifact references and supplementary material</t>
  </si>
  <si>
    <t>The study clearly defines collusion risk in geolocation-based sharding and the throughput/energy overhead introduced by shard inspection.</t>
  </si>
  <si>
    <t>PS020.pdf</t>
  </si>
  <si>
    <t>The reputation-based inspection framework, reputation model, optimization formulation and distributed ADMM-based solution are fully developed.</t>
  </si>
  <si>
    <t>pp. 2–13, Sections III–VI</t>
  </si>
  <si>
    <t>Analytical results are validated through extensive simulation and attack/security experiments.</t>
  </si>
  <si>
    <t>pp. 13–16, experimental sections</t>
  </si>
  <si>
    <t>The paper reports MATLAB setup, 100 heterogeneous peers, a geographic area, 5G/3GPP-style communication assumptions, computation parameters and a Caltrans traffic dataset.</t>
  </si>
  <si>
    <t>p. 13, experimental setup</t>
  </si>
  <si>
    <t>System utility, throughput, delay, energy, validity/recovery metrics and reputation accuracy are compared against multiple inspection/security baselines.</t>
  </si>
  <si>
    <t>The experiments quantify near-optimal utility, attack detection/recovery and throughput/energy trade-offs under multiple scenarios.</t>
  </si>
  <si>
    <t>Several threat models and attacks are analyzed, but there is no explicit study-level threats-to-validity/external-validity section.</t>
  </si>
  <si>
    <t>pp. 7–16</t>
  </si>
  <si>
    <t>The simulation uses realistic standards/data, but it does not demonstrate operation on a deployed geolocation-sharded blockchain.</t>
  </si>
  <si>
    <t>Supplementary material and external data/model references are available, but no complete study-specific implementation repository is identified.</t>
  </si>
  <si>
    <t>pp. 1, 13–16</t>
  </si>
  <si>
    <t>The paper clearly motivates constant communication cost per transaction and proposes passive sharding to address security/complexity trade-offs.</t>
  </si>
  <si>
    <t>PS021.pdf</t>
  </si>
  <si>
    <t>ACC/CCC/local-chain architecture, consensus algorithms, transaction verification, validity, security and storage properties are formally detailed.</t>
  </si>
  <si>
    <t>pp. 2–12</t>
  </si>
  <si>
    <t>A lightweight EZchain prototype/simulation is used to test theoretical predictions across large network sizes and repeated runs.</t>
  </si>
  <si>
    <t>pp. 12–16, Section VI</t>
  </si>
  <si>
    <t>Transaction/abstract/block sizes, network/committee parameters, transaction frequency and epoch settings are reported, and results are verified by at least five experiments.</t>
  </si>
  <si>
    <t>pp. 12–13, Section VI-A</t>
  </si>
  <si>
    <t>CCPT, storage cost and scalability are evaluated and compared with VAPOR and other scalable blockchain protocols.</t>
  </si>
  <si>
    <t>pp. 12–15</t>
  </si>
  <si>
    <t>Experiments extend to 100,000 nodes and support the predicted constant-CCPT and storage trends.</t>
  </si>
  <si>
    <t>The authors explicitly report equipment-related limits on larger parameter settings and discuss protocol trade-offs and boundaries.</t>
  </si>
  <si>
    <t>Large-scale results are based on a lightweight prototype/simulation rather than an operational blockchain deployment.</t>
  </si>
  <si>
    <t>pp. 12–16</t>
  </si>
  <si>
    <t>Parameters and supplementary material are detailed, but no study-specific public EZchain implementation repository is identified.</t>
  </si>
  <si>
    <t>pp. 1, 12–16</t>
  </si>
  <si>
    <t>The paper explicitly identifies computation, communication, storage and security-measurement problems for blockchain-enabled FL in massive edge networks.</t>
  </si>
  <si>
    <t>PS022.pdf</t>
  </si>
  <si>
    <t>Distributed clustering, CBFT, consensus-security quantification, update consensus and storage-reduction mechanisms are described and analyzed.</t>
  </si>
  <si>
    <t>pp. 2–11</t>
  </si>
  <si>
    <t>LiteChain is implemented using Hyperledger Fabric and evaluated across network scales and attack conditions.</t>
  </si>
  <si>
    <t>pp. 11–15, Section V</t>
  </si>
  <si>
    <t>Fabric/Python/PyTorch/Go versions, server GPU/CPU/memory, Docker, CIFAR-10, ResNet9, heterogeneous-device simulation and repeated latency measurement are documented.</t>
  </si>
  <si>
    <t>p. 11, experimental setup</t>
  </si>
  <si>
    <t>Latency, on-chain storage, security and robustness are compared with FLC-hash, FLC-model and BEFL across 50–300 devices.</t>
  </si>
  <si>
    <t>Results cover IID/non-IID data, network scale, replay attacks and data-poisoning attacks and support the claimed efficiency/robustness benefits.</t>
  </si>
  <si>
    <t>The conclusion explicitly identifies model-privacy leakage from full-model verification and discusses differential-privacy/homomorphic-encryption trade-offs for future work.</t>
  </si>
  <si>
    <t>p. 15, Conclusion</t>
  </si>
  <si>
    <t>The system is experimentally implemented, but massive-edge conditions are emulated on server/container infrastructure rather than a distributed field deployment.</t>
  </si>
  <si>
    <t>pp. 11–15</t>
  </si>
  <si>
    <t>Software versions and experimental configuration are detailed, but no study-specific public LiteChain source repository is identified.</t>
  </si>
  <si>
    <t>The study clearly identifies the absence of a relay-chain-specific performance model and the relay chain as a cross-chain bottleneck.</t>
  </si>
  <si>
    <t>PS023.pdf</t>
  </si>
  <si>
    <t>The MX/GB/1 batch-arrival/bulk-service framework, PBFT phase-type model and formulas for throughput/confirmation delay are developed rigorously.</t>
  </si>
  <si>
    <t>The analytical model is validated experimentally on a Cosmos/Tendermint relay-chain deployment under multiple parameter settings.</t>
  </si>
  <si>
    <t>The setup reports Tendermint/Cosmos software, ten nodes on nine physical machines, server hardware/OS, traffic generation and timing synchronization.</t>
  </si>
  <si>
    <t>p. 11, experiment setup</t>
  </si>
  <si>
    <t>System throughput, cross-chain confirmation delay and load intensity are evaluated while varying chain count, cross-chain ratio, block/batch parameters and processing rates.</t>
  </si>
  <si>
    <t>pp. 11–14</t>
  </si>
  <si>
    <t>Across multiple experimental groups, measured performance closely follows the analytical predictions and supports the configuration guidance.</t>
  </si>
  <si>
    <t>pp. 12–14</t>
  </si>
  <si>
    <t>The conclusion explicitly bounds the current analysis to relay-chain performance and identifies full ecosystem/multi-chain/sharding extensions as future work.</t>
  </si>
  <si>
    <t>Practical configuration claims are supported by experiments on actual Cosmos/Tendermint software and are limited to the modeled relay-chain scope.</t>
  </si>
  <si>
    <t>Supplementary material, equations and deployment parameters are detailed, but no public study-specific implementation package is identified.</t>
  </si>
  <si>
    <t>pp. 1, 11–15</t>
  </si>
  <si>
    <t>The paper clearly identifies sequential multi-shard smart-contract execution as a latency/throughput bottleneck and motivates inter-shard caching.</t>
  </si>
  <si>
    <t>PS024.pdf</t>
  </si>
  <si>
    <t>SPARROW's cache synchronization, one-step execution, multi-branch exploration and conflict-reduction mechanisms are specified in detail.</t>
  </si>
  <si>
    <t>A Geth-based prototype/benchmark is evaluated using replayed Ethereum workloads against a representative serial sharding baseline.</t>
  </si>
  <si>
    <t>pp. 11–13, evaluation section</t>
  </si>
  <si>
    <t>The evaluation documents 640,000 real Ethereum transactions, block range, shard counts, consensus/network delay assumptions, block capacity, retry count and cache ratio.</t>
  </si>
  <si>
    <t>p. 11, setup</t>
  </si>
  <si>
    <t>Throughput, transaction latency, abort ratio and cache storage/network overhead are evaluated against the Strawman/existing-system behavior.</t>
  </si>
  <si>
    <t>pp. 11–12</t>
  </si>
  <si>
    <t>Results show material throughput, latency and abort-ratio improvements and analyze the impact of shard/cache/workload settings.</t>
  </si>
  <si>
    <t>pp. 11–13</t>
  </si>
  <si>
    <t>The benchmark's abstractions and security assumptions are discussed, but there is no structured threats-to-validity section.</t>
  </si>
  <si>
    <t>pp. 10–13</t>
  </si>
  <si>
    <t>Real Ethereum traces improve realism, but the benchmark abstracts a fully deployed sharding network and its consensus/network stack.</t>
  </si>
  <si>
    <t>Geth/replay configuration and dataset selection are documented, but no public study-specific SPARROW prototype repository is identified.</t>
  </si>
  <si>
    <t>The introduction defines IoV data-sharing scalability, consensus-security and participation/incentive challenges and motivates DMBA.</t>
  </si>
  <si>
    <t>PS025.pdf</t>
  </si>
  <si>
    <t>pp. 1–3</t>
  </si>
  <si>
    <t>The dual-layer multi-shard architecture, dynamic node/shard management, BLS-PBFT consensus, reputation and evolutionary-game incentive mechanisms are detailed.</t>
  </si>
  <si>
    <t>pp. 2–13</t>
  </si>
  <si>
    <t>The architecture is evaluated with Veins plus MATLAB simulations, comparative baselines, sensitivity testing and repeated experiments.</t>
  </si>
  <si>
    <t>pp. 13–17, Section VI</t>
  </si>
  <si>
    <t>The paper reports Veins/MATLAB versions, processor/memory, an actual urban map, 20–80 vehicles, speeds, mobility model, communication range/protocol, packet rate and incentive settings.</t>
  </si>
  <si>
    <t>pp. 13–14</t>
  </si>
  <si>
    <t>Security error rate, consensus latency, throughput, reputation and strategy convergence are evaluated against multiple related IoV blockchain schemes.</t>
  </si>
  <si>
    <t>pp. 14–17</t>
  </si>
  <si>
    <t>The paper reports quantitative performance improvements and robustness under load, mobility and malicious-behavior scenarios.</t>
  </si>
  <si>
    <t>The conclusion explicitly notes the current 20–80 vehicle scale and lists 500+ vehicles, privacy, cross-shard communication, long-term incentives and real deployment as future work.</t>
  </si>
  <si>
    <t>The scenario is realistic and extensively simulated, but claims of real-world vehicular viability are not yet backed by a field deployment.</t>
  </si>
  <si>
    <t>pp. 13–17</t>
  </si>
  <si>
    <t>Detailed parameters and supplementary material are provided, but no public study-specific implementation repository is identified.</t>
  </si>
  <si>
    <t>The paper precisely defines atomic cross-chain swaps and the desired guarantees for conforming and deviating parties.</t>
  </si>
  <si>
    <t>PS026.pdf</t>
  </si>
  <si>
    <t>pp. 1–3, Motivation/Contributions</t>
  </si>
  <si>
    <t>Cross-chain swaps are modeled as directed graphs and a hashed-timelock protocol is specified for strongly connected graphs using a feedback vertex set.</t>
  </si>
  <si>
    <t>pp. 3–8, model/protocol</t>
  </si>
  <si>
    <t>The research method is a formal construction with lemmas, theorems, impossibility results and complexity analysis, reproducible from the stated definitions.</t>
  </si>
  <si>
    <t>pp. 3–9</t>
  </si>
  <si>
    <t>No empirical dataset, workload, participants or experimental environment is part of this theoretical protocol study.</t>
  </si>
  <si>
    <t>No empirical metric/baseline comparison is required for the formal theorem contribution; time and space complexity are handled under QA6.</t>
  </si>
  <si>
    <t>Formal proofs establish protocol properties, impossibility conditions and time/space complexity bounds.</t>
  </si>
  <si>
    <t>pp. 5–9</t>
  </si>
  <si>
    <t>The concluding remarks explicitly discuss denial-of-service exposure, common-knowledge assumptions and multiple open problems/extensions.</t>
  </si>
  <si>
    <t>pp. 9–10</t>
  </si>
  <si>
    <t>Claims are mathematically bounded to the stated protocol/model and applications are presented as potential uses rather than deployment evidence.</t>
  </si>
  <si>
    <t>pp. 2–10</t>
  </si>
  <si>
    <t>No software/data artifact is necessary to assess the formal protocol contribution; the construction is specified within the paper.</t>
  </si>
  <si>
    <t>The paper clearly motivates interoperability plus programmability across heterogeneous blockchains rather than token exchange alone.</t>
  </si>
  <si>
    <t>PS027.pdf</t>
  </si>
  <si>
    <t>USM, HSL, UIP, Network Status Blockchain, Insurance Smart Contracts and the UC security construction are extensively specified.</t>
  </si>
  <si>
    <t>A roughly 35,000-line prototype is implemented and evaluated using multiple cross-chain application categories.</t>
  </si>
  <si>
    <t>pp. 11–13, evaluation</t>
  </si>
  <si>
    <t>The experiment uses heterogeneous blockchain networks and cloud/testnet infrastructure across geographic locations, with repeated measurements and end-to-end execution scenarios.</t>
  </si>
  <si>
    <t>p. 12, setup</t>
  </si>
  <si>
    <t>End-to-end cross-chain latency and NSB throughput/capacity are quantified across application types and scaling conditions.</t>
  </si>
  <si>
    <t>pp. 12–13</t>
  </si>
  <si>
    <t>Measured results support second-order execution overhead and the stated capacity for onboarding additional production-scale chains.</t>
  </si>
  <si>
    <t>Privacy and platform-dependency limitations/future extensions are discussed, but empirical validity is not organized in a dedicated threats section.</t>
  </si>
  <si>
    <t>Practicality/scalability claims are tied to the implemented prototype and explicitly measured cross-chain applications rather than asserted production deployment.</t>
  </si>
  <si>
    <t>The implementation is public through the HyperService Consortium repository (https://github.com/HyperService-Consortium), with substantial implementation detail.</t>
  </si>
  <si>
    <t>artifact/reference section</t>
  </si>
  <si>
    <t>The paper identifies the trust, interactivity, delay and cost limitations of atomic cross-chain swaps and defines XCLAIM's trustless CBA objective.</t>
  </si>
  <si>
    <t>PS028.pdf</t>
  </si>
  <si>
    <t>The CBA model, actors, threat assumptions, proof-or-punishment protocol, issuance/redeem/swap procedures and security requirements are detailed.</t>
  </si>
  <si>
    <t>XCLAIM(BTC,ETH) is implemented and evaluated using Bitcoin/Ethereum-compatible infrastructure and direct HTLC comparison.</t>
  </si>
  <si>
    <t>pp. 11–12, Section VIII</t>
  </si>
  <si>
    <t>Implementation language/version, BTCRelay/Bitcoin assumptions, Ethereum Ropsten environment, confirmation parameters and fee/rate assumptions are documented.</t>
  </si>
  <si>
    <t>p. 11, implementation/evaluation</t>
  </si>
  <si>
    <t>Issue, transfer, swap and redeem costs/times are measured and directly compared with HTLC atomic swaps under common conditions.</t>
  </si>
  <si>
    <t>p. 12</t>
  </si>
  <si>
    <t>The evaluation quantifies transaction costs and reports XCLAIM as substantially faster and cheaper for repeated swaps.</t>
  </si>
  <si>
    <t>The security/practicality analysis discusses relay-chain assumptions, confirmation security, DoS/extortion, hard-fork and TEE-related limitations and future extensions.</t>
  </si>
  <si>
    <t>security/discussion sections</t>
  </si>
  <si>
    <t>Practical claims are supported by an implemented cross-chain instance with explicit security and cost parameters, while assumptions are clearly stated.</t>
  </si>
  <si>
    <t>Implementation details and dependencies are strong, but the paper does not identify a complete study-specific public XCLAIM code repository.</t>
  </si>
  <si>
    <t>The paper clearly identifies functional/security risks in services spanning heterogeneous blockchains and motivates a model-driven engineering approach.</t>
  </si>
  <si>
    <t>PS029.pdf</t>
  </si>
  <si>
    <t>pp. 2–3</t>
  </si>
  <si>
    <t>It presents a three-layer framework, three DSMLs, workflow/configuration/specification mappings and GeMoC/CCSL-based analysis support.</t>
  </si>
  <si>
    <t>The method and tool basis are described, but the paper reports that the code-generation part is unfinished and provides no empirical validation of effectiveness.</t>
  </si>
  <si>
    <t>No empirical dataset, workload, participants or evaluation environment is reported.</t>
  </si>
  <si>
    <t>No empirical metrics or comparative baseline are used because an effectiveness experiment is not reported.</t>
  </si>
  <si>
    <t>The conceptual framework and formal-analysis pathway are explained, but there are no measured or case-study results demonstrating the approach's effectiveness.</t>
  </si>
  <si>
    <t>The conclusion explicitly states that code generation is not finished and positions the current contribution as partial tooling/semantics support.</t>
  </si>
  <si>
    <t>p. 3, Conclusion</t>
  </si>
  <si>
    <t>Potential benefits are framed as possibilities, but practical applicability is not empirically demonstrated.</t>
  </si>
  <si>
    <t>p. 3</t>
  </si>
  <si>
    <t>GeMoC, DSML and CCSL tooling choices are specified, but no complete study-specific artifact or generated deployment package is provided.</t>
  </si>
  <si>
    <t>The paper clearly motivates cross-blockchain smart-contract invocation with return values and recursive calls as an interoperability gap.</t>
  </si>
  <si>
    <t>PS030.pdf</t>
  </si>
  <si>
    <t>pp. 2–3, Introduction</t>
  </si>
  <si>
    <t>The distribution/invocation contracts, intermediaries, validators, execution phases, continuation and recursion mechanisms are described in detail.</t>
  </si>
  <si>
    <t>pp. 4–9</t>
  </si>
  <si>
    <t>A Solidity/node.js implementation is evaluated on a live Ethereum test network for cost and execution time.</t>
  </si>
  <si>
    <t>pp. 9–10, Section VI</t>
  </si>
  <si>
    <t>The Rinkeby testnet, deployed contracts, test data types, waitingBlocks/blocksPerPhase configurations and repeated runs are documented.</t>
  </si>
  <si>
    <t>p. 10, Section VI</t>
  </si>
  <si>
    <t>Gas cost and elapsed block/time overhead are compared directly with manual target-chain invocation.</t>
  </si>
  <si>
    <t>The paper reports the substantial overhead transparently, including about 40× gas cost and at least several-fold time overhead depending on configuration.</t>
  </si>
  <si>
    <t>Security discussion covers dishonest validators/intermediaries, Sybil concerns, selection assumptions and further cost/voting/blockchain-support limitations.</t>
  </si>
  <si>
    <t>Claims are appropriately scoped to an Ethereum-based proof of concept and the authors explicitly disclose adverse performance overheads.</t>
  </si>
  <si>
    <t>pp. 9–11</t>
  </si>
  <si>
    <t>The source code is publicly available at https://github.com/markusnissl/cross-chain-smartcontracts, and implementation/setup details are reported.</t>
  </si>
  <si>
    <t>Scoring withheld because the attached document is a TechRxiv preprint rather than the final peer-reviewed version represented by PS031.</t>
  </si>
  <si>
    <t>PS031.pdf</t>
  </si>
  <si>
    <t>p. 1, preprint notice</t>
  </si>
  <si>
    <t>Scoring withheld pending the peer-reviewed full text.</t>
  </si>
  <si>
    <t>p. 1</t>
  </si>
  <si>
    <t>Version issue</t>
  </si>
  <si>
    <t>The paper clearly frames reliable multichain data sharing and fine-grained access control as the central interoperability problems.</t>
  </si>
  <si>
    <t>PS032.pdf</t>
  </si>
  <si>
    <t>pp. 1–2</t>
  </si>
  <si>
    <t>SynergyChain's three-tier architecture, consensus/verification modules, hierarchical access-control contracts and data workflow are specified in detail.</t>
  </si>
  <si>
    <t>pp. 3–8</t>
  </si>
  <si>
    <t>An Ethereum-based prototype is implemented and evaluated through repeatable performance experiments.</t>
  </si>
  <si>
    <t>The hardware/OS environment, 15,000-transaction stress workload, concurrency approach and test interfaces are reported.</t>
  </si>
  <si>
    <t>TPS, client storage overhead and query latency are defined; latency is compared with sequential multichain requesting.</t>
  </si>
  <si>
    <t>pp. 8–10</t>
  </si>
  <si>
    <t>Figures and calculations show peak throughput, low client storage overhead and reduced query latency.</t>
  </si>
  <si>
    <t>No dedicated limitations or threats-to-validity analysis is provided.</t>
  </si>
  <si>
    <t>full text</t>
  </si>
  <si>
    <t>The prototype supports the technical claims, but the experiments run in a local controlled environment rather than an operational multiorganization deployment.</t>
  </si>
  <si>
    <t>Algorithms, interfaces and configuration details are documented, but no public study-specific source-code/data repository is identified.</t>
  </si>
  <si>
    <t>pp. 4–10</t>
  </si>
  <si>
    <t>The attached file is only the first page/abstract; full-text QA is intentionally withheld.</t>
  </si>
  <si>
    <t>PS033.pdf</t>
  </si>
  <si>
    <t>p. 1 only</t>
  </si>
  <si>
    <t>Methodology cannot be assessed from the incomplete upload.</t>
  </si>
  <si>
    <t>Incomplete full text</t>
  </si>
  <si>
    <t>Experimental context cannot be assessed from the incomplete upload.</t>
  </si>
  <si>
    <t>Metrics/baselines cannot be assessed from the incomplete upload.</t>
  </si>
  <si>
    <t>Results reporting cannot be assessed from the incomplete upload.</t>
  </si>
  <si>
    <t>Limitations/threats cannot be assessed from the incomplete upload.</t>
  </si>
  <si>
    <t>Practical applicability cannot be assessed from the incomplete upload.</t>
  </si>
  <si>
    <t>Reproducibility/artifact availability cannot be assessed from the incomplete upload.</t>
  </si>
  <si>
    <t>The paper clearly identifies the difficulty and latency of state access between smart contracts on heterogeneous blockchains.</t>
  </si>
  <si>
    <t>PS034.pdf</t>
  </si>
  <si>
    <t>The Oracle-gateway architecture and subscription-based active state-access mechanism are specified with workflow diagrams and protocol details.</t>
  </si>
  <si>
    <t>A working heterogeneous prototype is implemented and evaluated under multiple experiment sets.</t>
  </si>
  <si>
    <t>pp. 3–4</t>
  </si>
  <si>
    <t>The study reports Ethereum/FISCO configurations, three blockchains, 50 Oracle gateways, server resources and parameterized contract/chain counts.</t>
  </si>
  <si>
    <t>p. 3, Table I/experimental setup</t>
  </si>
  <si>
    <t>Average latency, task latency, CPU and memory utilization are measured against AS, HAS, PBR and MMR access modes.</t>
  </si>
  <si>
    <t>The figures show lower average/task latency for the subscription-based mode and report resource-use behavior.</t>
  </si>
  <si>
    <t>The conclusion explicitly identifies cross-chain state verification and Oracle-gateway trust dependency as future improvement areas, but provides no formal validity section.</t>
  </si>
  <si>
    <t>p. 4, Conclusion</t>
  </si>
  <si>
    <t>The heterogeneous prototype supports feasibility and performance claims, but the evidence remains a controlled testbed rather than operational deployment.</t>
  </si>
  <si>
    <t>The paper states that a prototype containing the Oracle gateway, cross-chain component and corresponding smart contracts is published.</t>
  </si>
  <si>
    <t>pp. 1–3, prototype footnote</t>
  </si>
  <si>
    <t>The introduction clearly defines interoperability, integration burden, external-service dependence and permissioned-chain access-control gaps.</t>
  </si>
  <si>
    <t>PS035.pdf</t>
  </si>
  <si>
    <t>Policy smart contracts, relay architecture, authentication/authorization flow and service invocation are described in detail.</t>
  </si>
  <si>
    <t>pp. 3–6</t>
  </si>
  <si>
    <t>The framework is implemented in Go/Hyperledger Fabric and benchmarked with Hyperledger Caliper in production mode.</t>
  </si>
  <si>
    <t>pp. 6–7</t>
  </si>
  <si>
    <t>Two Fabric networks, VPS specifications, organizations, Docker isolation, Caliper placement and concurrency settings are reported.</t>
  </si>
  <si>
    <t>p. 6, Section IV-A/B</t>
  </si>
  <si>
    <t>Key policy-smart-contract methods are benchmarked under increasing request rates using throughput/latency behavior.</t>
  </si>
  <si>
    <t>The evaluation reports saturation behavior and low latency across the tested methods and load levels.</t>
  </si>
  <si>
    <t>The paper does not provide a structured limitations or threats-to-validity discussion.</t>
  </si>
  <si>
    <t>Claims are supported by two production-mode Fabric networks on separated VPS/Docker infrastructure and are framed around framework performance/integration.</t>
  </si>
  <si>
    <t>pp. 6–8</t>
  </si>
  <si>
    <t>Both the relay module and smart contracts are publicly available at https://github.com/tcdt-lab/Automated-Gateways.</t>
  </si>
  <si>
    <t>p. 6, footnote 1</t>
  </si>
  <si>
    <t>The paper clearly frames efficient consistency auditing for dynamically updated cross-chain data as the problem.</t>
  </si>
  <si>
    <t>PS036.pdf</t>
  </si>
  <si>
    <t>EDCA, AGMS, D-MHT/index state, audit-chain workflow and security goals are specified mathematically and procedurally.</t>
  </si>
  <si>
    <t>Formal security proofs are combined with theoretical overhead analysis and prototype experiments.</t>
  </si>
  <si>
    <t>pp. 9–12</t>
  </si>
  <si>
    <t>The Hyperledger Fabric-based multi-chain prototype and experiment parameters are sufficiently described for the reported tests.</t>
  </si>
  <si>
    <t>Computation/communication overhead and auditing performance are compared with recent dynamic-auditing schemes.</t>
  </si>
  <si>
    <t>Theoretical and experimental results support the claimed security and low/near-constant auditing overhead.</t>
  </si>
  <si>
    <t>The conclusion identifies deployment on public blockchains such as Ethereum as future work, but no formal threats-to-validity section is provided.</t>
  </si>
  <si>
    <t>p. 12, Conclusion</t>
  </si>
  <si>
    <t>The prototype validates the scheme technically, but operational evidence is limited to a permissioned experimental environment.</t>
  </si>
  <si>
    <t>Supplementary security proofs and implementation/configuration information are available, but no complete public study-specific source-code package is identified.</t>
  </si>
  <si>
    <t>pp. 1, 9–12</t>
  </si>
  <si>
    <t>The paper clearly motivates verifiable and privacy-preserving cross-node data sharing in heterogeneous vehicle-edge environments.</t>
  </si>
  <si>
    <t>PS037.pdf</t>
  </si>
  <si>
    <t>Relay-chain coordination, threshold Paillier encryption, distributed key slices, smart contracts and verification/decryption protocols are detailed.</t>
  </si>
  <si>
    <t>pp. 5–11</t>
  </si>
  <si>
    <t>The protocol is assessed by theoretical complexity/security analysis and heterogeneous cross-chain experiments.</t>
  </si>
  <si>
    <t>The evaluation reports FISCO BCOS and Hyperledger Fabric versions, WeCross integration, client/VM hardware and varying key/node/workload settings.</t>
  </si>
  <si>
    <t>pp. 11–12, experimental setup</t>
  </si>
  <si>
    <t>Computation cost, encryption/decryption time, throughput, latency and scalability are evaluated across key sizes, node densities and heterogeneous/homogeneous settings.</t>
  </si>
  <si>
    <t>Tables and figures report scaling behavior and cross-chain throughput/latency under multiple configurations.</t>
  </si>
  <si>
    <t>No structured threats-to-validity or study-level limitations section is provided.</t>
  </si>
  <si>
    <t>The heterogeneous testbed supports feasibility, but statements about real-world vehicular deployment are stronger than the laboratory/testbed evidence.</t>
  </si>
  <si>
    <t>Supplementary smart-contract logic and detailed setup are reported, but no public study-specific source repository is identified.</t>
  </si>
  <si>
    <t>pp. 8–15 and supplementary-material references</t>
  </si>
  <si>
    <t>The paper clearly frames the efficiency/security/decentralization trade-off between custodial and non-custodial bridges.</t>
  </si>
  <si>
    <t>PS038.pdf</t>
  </si>
  <si>
    <t>EquiLink Service, Light Server, TEE validator/watchtower network, HTLC workflow, economic model and attack defenses are fully described.</t>
  </si>
  <si>
    <t>The implemented bridge is evaluated for gas cost, latency, resource use, economics and adversarial resilience.</t>
  </si>
  <si>
    <t>pp. 9–13</t>
  </si>
  <si>
    <t>Cloud hardware, Intel SGX environment, transaction counts and attack/failure cases are explicitly documented.</t>
  </si>
  <si>
    <t>Transaction cost/latency, validation time, CPU utilization, attack success/revocation and economic properties are measured against existing approaches.</t>
  </si>
  <si>
    <t>Results quantify 14.1% cost reduction, 18.9% latency reduction and attack/failure resilience, with figures and tables.</t>
  </si>
  <si>
    <t>A dedicated Limitations section identifies lack of transaction privacy and limited current support for heterogeneous/non-EVM chains and L2 systems.</t>
  </si>
  <si>
    <t>p. 13, Section VIII-A</t>
  </si>
  <si>
    <t>Claims are proportionate to an implemented cloud/SGX bridge and explicitly bounded by the stated limitations.</t>
  </si>
  <si>
    <t>The paper publicly releases the implementation at https://github.com/Stdwill/EquiLink-bridge and provides supplementary material.</t>
  </si>
  <si>
    <t>p. 2, contributions/artifact</t>
  </si>
  <si>
    <t>The paper clearly defines centralized trust, semantic rigidity and static topology as three core interoperability limitations.</t>
  </si>
  <si>
    <t>PS040.pdf (content corresponds to PS039)</t>
  </si>
  <si>
    <t>Celestial's hybrid relay, interchain data unit, geo-aware routing and Proof of Cross-chain Transmission are specified in detail.</t>
  </si>
  <si>
    <t>pp. 2–9</t>
  </si>
  <si>
    <t>A 12K+ LoC implementation is evaluated in a large-scale heterogeneous cloud deployment under load, churn, faults and attacks.</t>
  </si>
  <si>
    <t>The study reports 90+ Huawei Cloud nodes across three continents, node resources, Ethereum/ChainMaker stacks, traffic patterns and repeated trials.</t>
  </si>
  <si>
    <t>pp. 9–10, experimental setup</t>
  </si>
  <si>
    <t>TPS, P99 latency, fault recovery, verification cost, attack resilience and resource behavior are compared with state-of-the-art interoperability systems.</t>
  </si>
  <si>
    <t>The experiments report 3,340 TPS, sub-600 ms P99 latency and strong fault/verification improvements under multiple scenarios.</t>
  </si>
  <si>
    <t>A dedicated limitations or threats-to-validity section is not identified; adversary assumptions are described but are not a substitute for validity analysis.</t>
  </si>
  <si>
    <t>Practical claims are supported by a large multi-continent heterogeneous-cloud testbed with stress, churn and adversarial experiments.</t>
  </si>
  <si>
    <t>Extensive implementation detail and supplementary material are provided, but no study-specific public source-code repository is identified.</t>
  </si>
  <si>
    <t>pp. 1, 9–13</t>
  </si>
  <si>
    <t>The actual PS040 (ShiftHub) full text was not supplied; the file named PS040.pdf contains PS039 Celestial.</t>
  </si>
  <si>
    <t>Not provided</t>
  </si>
  <si>
    <t>Catalog/file reconciliation</t>
  </si>
  <si>
    <t>Scoring withheld because the actual PS040 full text is missing.</t>
  </si>
  <si>
    <t>Missing full text</t>
  </si>
  <si>
    <t>The paper clearly identifies the privacy/verifiability/performance problem for cross-chain transfers among consortium blockchains.</t>
  </si>
  <si>
    <t>PS041.pdf</t>
  </si>
  <si>
    <t>The dual-balance model, four zk-SNARK transaction types, relay-chain workflow and UC/privacy guarantees are described in detail.</t>
  </si>
  <si>
    <t>pp. 3–10</t>
  </si>
  <si>
    <t>Formal analysis is combined with an implemented Hyperledger Fabric/jsnark/libsnark prototype and systematic experiments.</t>
  </si>
  <si>
    <t>Fabric version, ZK libraries, server configurations, network topology, request rates and server-count variations are reported.</t>
  </si>
  <si>
    <t>Proof overhead is compared with HyperMaze/zkCross, while Caliper measures throughput and latency over 150–900 TPS and 1–5 servers.</t>
  </si>
  <si>
    <t>Results quantify proof generation/verification time and transaction bottlenecks, including stable rates around 476–520 TPS for the four operations.</t>
  </si>
  <si>
    <t>The Discussion explicitly addresses homogeneous-chain scope, trusted setup/key rotation, auditability and richer privacy as deployment limitations/extensions.</t>
  </si>
  <si>
    <t>p. 14 onward, Section VI</t>
  </si>
  <si>
    <t>Claims are tied to an implemented consortium-chain cross-chain testbed and practical limitations are explicitly distinguished from current evidence.</t>
  </si>
  <si>
    <t>pp. 10–15</t>
  </si>
  <si>
    <t>Supplementary material and detailed configuration are provided, but no study-specific public source-code repository is identified.</t>
  </si>
  <si>
    <t>pp. 1, 10–15</t>
  </si>
  <si>
    <t>The paper clearly motivates the need for blockchain-specific software-engineering practices and defines its exploratory objectives.</t>
  </si>
  <si>
    <t>PS042.pdf</t>
  </si>
  <si>
    <t>It identifies concrete BOSE challenges in testing, security/reliability, architecture, modeling, metrics, roles and collaboration.</t>
  </si>
  <si>
    <t>The exploratory repository study uses a documented selection/filtering process based on Moody's blockchain projects and CoinMarketCap.</t>
  </si>
  <si>
    <t>The corpus construction is reported: 52 GitHub accounts, 1,184 repositories, and 193 retained repositories after explicit recency/fork/age filters.</t>
  </si>
  <si>
    <t>p. 3, Section IV</t>
  </si>
  <si>
    <t>Repository metrics such as stars, contributors, issues, watchers, forks, age and language are reported, but metric selection/comparative baselines are only lightly justified.</t>
  </si>
  <si>
    <t>Descriptive findings and repository statistics are presented and used to motivate proposed BOSE research directions.</t>
  </si>
  <si>
    <t>No formal limitations or threats-to-validity discussion is provided.</t>
  </si>
  <si>
    <t>The proposed research directions are useful but are inferred from a short, historically bounded GitHub snapshot rather than broader practitioner/industrial validation.</t>
  </si>
  <si>
    <t>Dataset-selection logic and extracted fields are documented, but no public raw study dataset/package is identified.</t>
  </si>
  <si>
    <t>The study clearly defines research questions on blockchain developers' characteristics, motivations, challenges, differences and tool needs.</t>
  </si>
  <si>
    <t>PS043.pdf</t>
  </si>
  <si>
    <t>pp. 1–7</t>
  </si>
  <si>
    <t>The empirical contribution is sufficiently described and explicitly connected to blockchain software development practice.</t>
  </si>
  <si>
    <t>The survey method, participant mining/recruitment, qualitative coding, statistical analysis and inter-rater reliability procedures are documented.</t>
  </si>
  <si>
    <t>methodology sections</t>
  </si>
  <si>
    <t>The study reports 1,604 invited active developers from 145 blockchain projects and 156 usable responses, together with respondent demographics.</t>
  </si>
  <si>
    <t>methodology/demographics sections</t>
  </si>
  <si>
    <t>Likert-scale comparisons, qualitative coding, statistical tests/effect sizes and comparison with prior software-engineering surveys are methodologically justified.</t>
  </si>
  <si>
    <t>methodology/results sections</t>
  </si>
  <si>
    <t>Quantitative and coded qualitative results are reported clearly for the research questions and tool/development challenges.</t>
  </si>
  <si>
    <t>results sections</t>
  </si>
  <si>
    <t>The paper contains an explicit threats-to-validity discussion covering internal, construct, external and conclusion validity.</t>
  </si>
  <si>
    <t>Threats to Validity section</t>
  </si>
  <si>
    <t>Practical recommendations for tools and development support are directly grounded in responses from active blockchain developers and appropriately qualified.</t>
  </si>
  <si>
    <t>discussion/conclusion</t>
  </si>
  <si>
    <t>Survey questions, coding scheme and analytical procedure are documented, but no complete public respondent-level dataset/reproducibility package is identified.</t>
  </si>
  <si>
    <t>appendix/methodology</t>
  </si>
  <si>
    <t>The paper clearly identifies immature DApp development practice and the need for a disciplined blockchain-specific lifecycle method.</t>
  </si>
  <si>
    <t>PS044.pdf</t>
  </si>
  <si>
    <t>ABCDE covers requirements, parallel smart-contract/app flows, design, implementation, testing, integration, deployment, security and gas optimization with adapted UML.</t>
  </si>
  <si>
    <t>The method is specified step-by-step and evaluated through real-project usage, a worked DEX example and an early-developer survey.</t>
  </si>
  <si>
    <t>pp. 4–15</t>
  </si>
  <si>
    <t>The evaluation reports a 14-developer early-use survey, experience/project counts, ABCDE project use and a worked real-case-derived DApp example.</t>
  </si>
  <si>
    <t>pp. 10–15, Table 4/Section 5</t>
  </si>
  <si>
    <t>Usefulness/ease-of-use items use explicit 1–5 scales with mean/SD, but there is no competing-process baseline or controlled comparative evaluation.</t>
  </si>
  <si>
    <t>p. 11, Table 4</t>
  </si>
  <si>
    <t>Survey results are reported numerically and the paper transparently uses them to motivate method improvements.</t>
  </si>
  <si>
    <t>pp. 10–16</t>
  </si>
  <si>
    <t>A dedicated threats-to-validity discussion addresses construct and external validity and explicitly notes the 14-developer evidence base and Ethereum/Solidity scope.</t>
  </si>
  <si>
    <t>p. 15–16, Threats to Validity</t>
  </si>
  <si>
    <t>The method has real-project use and favorable early feedback, but the small non-comparative sample limits broad claims of industrial effectiveness.</t>
  </si>
  <si>
    <t>Detailed process steps, UML extensions and checklists are contained in the paper, but no complete public study artifact/evaluation dataset is identified.</t>
  </si>
  <si>
    <t>pp. 4–16</t>
  </si>
  <si>
    <t>The paper clearly identifies high setup/configuration and multi-platform development costs for smart contracts/BaaS as the problem.</t>
  </si>
  <si>
    <t>PS045.pdf</t>
  </si>
  <si>
    <t>ChainIDE 2.0's cloud IDE architecture, multi-blockchain support, CDN/cache use and development workflow are described.</t>
  </si>
  <si>
    <t>pp. 2–4</t>
  </si>
  <si>
    <t>The operational platform is described and statistics are reported, but the paper does not present a rigorous controlled evaluation of developer efficiency or usability.</t>
  </si>
  <si>
    <t>pp. 3–5</t>
  </si>
  <si>
    <t>Platform usage volume and setup examples are given, but workload/user sampling and data-collection procedures for the operational statistics are only partially documented.</t>
  </si>
  <si>
    <t>pp. 4–5</t>
  </si>
  <si>
    <t>Compiled-contract counts, geographic reach and supported platforms are useful operational metrics, but comparative evaluation criteria/baselines are limited.</t>
  </si>
  <si>
    <t>The operational statistics are clearly reported, including about 990k compilations, 100+ countries and 11 supported blockchains.</t>
  </si>
  <si>
    <t>pp. 4–5, Tables I–II</t>
  </si>
  <si>
    <t>No formal limitations or threats-to-validity analysis is provided.</t>
  </si>
  <si>
    <t>The tool's practical applicability is supported by substantial real service usage rather than only a laboratory prototype.</t>
  </si>
  <si>
    <t>Architecture and service behavior are documented and the platform was operational, but no complete study-specific source/data package is identified.</t>
  </si>
  <si>
    <t>pp. 2–5</t>
  </si>
  <si>
    <t>The paper clearly motivates early testing for immutable smart contracts and identifies validation/quality assurance as a software-engineering problem.</t>
  </si>
  <si>
    <t>PS046.pdf</t>
  </si>
  <si>
    <t>A preliminary model-based approach is outlined through UML/model-based testing, smart-contract templates and code-generation concepts, but it is not specified as a complete executable method.</t>
  </si>
  <si>
    <t>pp. 12–19</t>
  </si>
  <si>
    <t>The work is a reasoned methodological discussion rather than a reproducible empirical evaluation; the authors explicitly state that the proposal is preliminary.</t>
  </si>
  <si>
    <t>pp. 18–20</t>
  </si>
  <si>
    <t>No empirical dataset, participants or experimental environment are used because the contribution is conceptual/methodological.</t>
  </si>
  <si>
    <t>No comparative empirical metrics or baselines are applied to the proposed approach.</t>
  </si>
  <si>
    <t>The paper provides a coherent argument and design rationale, but no implemented-study results demonstrate defect reduction or development-cost effects.</t>
  </si>
  <si>
    <t>The authors explicitly describe the work as a preliminary view, discuss tool/model-based testing constraints, and identify systematic review and industrial validation as necessary future work.</t>
  </si>
  <si>
    <t>Potential benefits are plausible and grounded in software-testing principles, but practical smart-contract benefits have not yet been empirically demonstrated.</t>
  </si>
  <si>
    <t>Figures, process concepts and modelling guidance are documented, but no study-specific implementation, dataset or replication package is provided.</t>
  </si>
  <si>
    <t>pp. 12–20</t>
  </si>
  <si>
    <t>The paper clearly identifies the need for contract-oriented software architecture to support service requirements and smart-contract engineering.</t>
  </si>
  <si>
    <t>PS047.pdf</t>
  </si>
  <si>
    <t>The legal–logic–interactive models, four-layer blockchain framework and smart-contract design/development/deployment/execution architecture are described in detail.</t>
  </si>
  <si>
    <t>pp. 2–8</t>
  </si>
  <si>
    <t>The framework is explained systematically, but no empirical or controlled validation procedure is reported.</t>
  </si>
  <si>
    <t>The contribution is an architectural framework illustrated by an online car-rental scenario rather than an empirical experiment.</t>
  </si>
  <si>
    <t>No formal evaluation metrics or comparative baselines are used.</t>
  </si>
  <si>
    <t>The car-rental example illustrates the framework's intended use, but no measured effectiveness, correctness or performance results are reported.</t>
  </si>
  <si>
    <t>The article does not provide a substantive limitations or threats-to-validity discussion of the proposed framework.</t>
  </si>
  <si>
    <t>Claims about future contract-oriented application development are conceptually motivated but not supported by deployed or empirical evidence.</t>
  </si>
  <si>
    <t>pp. 7–8</t>
  </si>
  <si>
    <t>Architecture diagrams and language/runtime concepts are provided, but no study-specific implementation or reproducibility artifact is identified.</t>
  </si>
  <si>
    <t>The study clearly defines the difficulty of safely developing cross-organizational blockchain applications that integrate business processes and asset management.</t>
  </si>
  <si>
    <t>PS048.pdf</t>
  </si>
  <si>
    <t>The integrated MDE approach, BPMN/asset-registry models, smart-contract generators, blockchain interaction methods and Lorikeet tool are described in detail.</t>
  </si>
  <si>
    <t>pp. 3–16</t>
  </si>
  <si>
    <t>The approach is implemented and evaluated as case studies for feasibility, functional correctness and cost effectiveness.</t>
  </si>
  <si>
    <t>pp. 17–24</t>
  </si>
  <si>
    <t>Four industry/government-derived use cases are described, together with generated contracts, testing workflow and Ethereum execution context.</t>
  </si>
  <si>
    <t>pp. 17–23</t>
  </si>
  <si>
    <t>Feasibility, functional correctness and gas consumption are assessed; gas results are contextualized against more than 292 million public-Ethereum contract-invocation transactions.</t>
  </si>
  <si>
    <t>pp. 20–24</t>
  </si>
  <si>
    <t>The test suite and gas results are clearly reported and support the claim that generated contracts are functionally correct and not obviously gas-inefficient.</t>
  </si>
  <si>
    <t>The conclusion explicitly cautions that the large-scale gas comparison cannot support definitive absolute conclusions and identifies further work, but no dedicated threats-to-validity section is provided.</t>
  </si>
  <si>
    <t>p. 24</t>
  </si>
  <si>
    <t>Claims are appropriately bounded to feasibility, functional correctness and cost indication, and the authors explicitly qualify the gas comparison.</t>
  </si>
  <si>
    <t>pp. 23–24</t>
  </si>
  <si>
    <t>The Lorikeet implementation is described in detail; the full test suite and evaluation code are stated to be available online for reproducibility.</t>
  </si>
  <si>
    <t>pp. 15–24</t>
  </si>
  <si>
    <t>The paper clearly motivates understanding blockchain developers' discussion topics and the limitations of naive LDA across uneven platform corpora.</t>
  </si>
  <si>
    <t>PS049.pdf</t>
  </si>
  <si>
    <t>Balanced LDA, the empirically derived blockchain reference architecture and cross-platform topic mapping are described as the main technical/empirical contribution.</t>
  </si>
  <si>
    <t>pp. 2–7</t>
  </si>
  <si>
    <t>The study uses a systematic multi-stage empirical methodology combining public Stack Exchange data, per-platform LDA models, manual labelling and architectural mapping.</t>
  </si>
  <si>
    <t>The paper reports a Stack Overflow corpus spanning 2008–2017 with 38,485,045 posts plus platform-specific Stack Exchange communities and explicit filtering procedures.</t>
  </si>
  <si>
    <t>pp. 4–7</t>
  </si>
  <si>
    <t>Popularity and impact metrics, LDA configuration/selection logic and cross-platform comparisons are explicitly defined and used to answer the RQs.</t>
  </si>
  <si>
    <t>pp. 6–14</t>
  </si>
  <si>
    <t>Results are reported by topic, architectural layer, platform and time, with quantitative distributions and trends supporting the findings.</t>
  </si>
  <si>
    <t>pp. 8–15</t>
  </si>
  <si>
    <t>A dedicated threats-to-validity discussion addresses dataset selection, topic-model interpretation and architectural mapping risks.</t>
  </si>
  <si>
    <t>p. 15</t>
  </si>
  <si>
    <t>Recommendations for developers/researchers are grounded in a large public practitioner-discussion corpus and are framed as implications rather than deployment claims.</t>
  </si>
  <si>
    <t>Stack Exchange data are publicly available and the collection process is documented in the paper/appendix, but no complete study-specific scripts and replication package are identified.</t>
  </si>
  <si>
    <t>pp. 4–7 and Appendix reference</t>
  </si>
  <si>
    <t>The paper clearly identifies the difficulty and error-proneness of manually developing immutable smart contracts and motivates MDA/UML-based generation.</t>
  </si>
  <si>
    <t>PS050.pdf</t>
  </si>
  <si>
    <t>Algorithms for Blockchain PIM-to-Solidity PSM transformation and PSM-to-code generation are specified with UML state-machine and structural mappings.</t>
  </si>
  <si>
    <t>The implemented ATL/Acceleo transformations are applied to three Solidity documentation examples, and generated contracts are compiled, deployed and compared with originals.</t>
  </si>
  <si>
    <t>The three example contracts, tooling, JavaScript VM deployment environment and generated/original contract comparisons are documented.</t>
  </si>
  <si>
    <t>Generated contracts are compared with originals using Solidity code metrics, similarity scores and execution/gas costs.</t>
  </si>
  <si>
    <t>The paper reports compilation/deployment success and comparative code/execution metrics that support feasibility of the transformations.</t>
  </si>
  <si>
    <t>pp. 11–16</t>
  </si>
  <si>
    <t>The conclusion identifies remaining methodology-development and broader-platform work, but no structured threats-to-validity analysis is provided.</t>
  </si>
  <si>
    <t>p. 16</t>
  </si>
  <si>
    <t>The results demonstrate technical feasibility, but practical generalizability is constrained by only three small documentation-derived smart contracts and sandbox deployment.</t>
  </si>
  <si>
    <t>Generated smart-contract files are publicly available in the authors' GitHub repository, and transformation/tool details are documented.</t>
  </si>
  <si>
    <t>pp. 11 and 16</t>
  </si>
  <si>
    <t>The paper clearly frames multi-party smart-contract development as a collaboration, comprehensibility and efficiency problem for technical and non-technical stakeholders.</t>
  </si>
  <si>
    <t>PS051.pdf</t>
  </si>
  <si>
    <t>The BPMN interaction model, multi-layer reuse library, Blockly-based visual generator, security checking, compilation and deployment components are described in detail.</t>
  </si>
  <si>
    <t>The implemented tool is evaluated using five representative smart-contract cases and compared with related generation tools.</t>
  </si>
  <si>
    <t>Five contract scenarios, manual versus reuse-assisted generation procedure and measured code/state/function reuse variables are explicitly reported.</t>
  </si>
  <si>
    <t>Reuse rate is defined from reused versus manually developed code lines and complemented by feature-based comparison against seven related approaches.</t>
  </si>
  <si>
    <t>Tabled results report 40.74%–100% reused-code rates and functional feature comparisons supporting the claimed reusability benefits.</t>
  </si>
  <si>
    <t>The conclusion identifies continued domain-library expansion, execution monitoring and correctness verification as ongoing work, but no dedicated limitations/threats section is provided.</t>
  </si>
  <si>
    <t>The five-case results support technical feasibility/reuse, but the evaluation relies on one experienced developer and does not directly measure development time, defects or user comprehension.</t>
  </si>
  <si>
    <t>A Blockly Solidity-function component is linked publicly and implementation details are documented, but the complete study tool, datasets and evaluation package are not provided as a unified public artifact.</t>
  </si>
  <si>
    <t>The paper clearly motivates the difficulty of locating smart contracts by category and the need for a trend-oriented public repository.</t>
  </si>
  <si>
    <t>PS052.pdf</t>
  </si>
  <si>
    <t>The contribution is a categorized Ethereum smart-contract dataset created from merged repositories and a seeded-LDA classification process.</t>
  </si>
  <si>
    <t>Dataset merging, cleaning, deployment-date retrieval and seeded-LDA categorisation are described sufficiently to reproduce the broad process.</t>
  </si>
  <si>
    <t>The study reports more than 125,000 initial contracts, 100,040 cleaned contracts and category/year distributions, with explicit source repositories.</t>
  </si>
  <si>
    <t>Topic coherence and seeded LDA are motivated, but no independent labelled ground truth or classification-accuracy baseline is reported.</t>
  </si>
  <si>
    <t>Category distributions and temporal trends are clearly reported and support identification of token and CNFT as dominant trends.</t>
  </si>
  <si>
    <t>The authors explicitly acknowledge poor coverage for 2015–2016 and uneven representation of later years, but provide no formal threats-to-validity analysis.</t>
  </si>
  <si>
    <t>pp. 2 and 4</t>
  </si>
  <si>
    <t>The practical claim is limited to providing a categorized repository for researchers/developers and is directly supported by the released dataset.</t>
  </si>
  <si>
    <t>pp. 1–4</t>
  </si>
  <si>
    <t>The resulting Top-Trending-Contracts dataset is publicly available on GitHub, and the source datasets and processing steps are documented.</t>
  </si>
  <si>
    <t>The paper clearly identifies incomplete/poorly connected smart-contract development phases and motivates a full MDA lifecycle.</t>
  </si>
  <si>
    <t>PS053.pdf</t>
  </si>
  <si>
    <t>MDAsmartCD covers CIM, PIM, two PSMs, UML extensions and model-to-model/model-to-text transformations for Solidity and Hyperledger Go.</t>
  </si>
  <si>
    <t>pp. 3–20</t>
  </si>
  <si>
    <t>The method is implemented with MagicDraw, ATL and Acceleo and demonstrated by generated/deployed smart contracts on Ethereum and Hyperledger Fabric.</t>
  </si>
  <si>
    <t>pp. 15–25</t>
  </si>
  <si>
    <t>The HackChain certificate-issuing workflow, model transformations, generated contracts, deployment environments and workflow execution are documented.</t>
  </si>
  <si>
    <t>Generated code is assessed using code-quality/static-analysis measures and cross-platform execution equivalence rather than only illustrative inspection.</t>
  </si>
  <si>
    <t>pp. 23–25</t>
  </si>
  <si>
    <t>Both generated implementations compile, deploy and exhibit analogous workflow behaviour and blockchain-state results.</t>
  </si>
  <si>
    <t>pp. 24–25</t>
  </si>
  <si>
    <t>The Discussion explicitly identifies single-case evaluation, usability-study needs, cross-language static-analysis limitations and incomplete lifecycle automation.</t>
  </si>
  <si>
    <t>pp. 25–26</t>
  </si>
  <si>
    <t>The method is technically demonstrated on two platforms, but practical effectiveness and usability remain based on one HackChain workflow rather than broader developer/industrial validation.</t>
  </si>
  <si>
    <t>Generated Solidity/Go code and study implementation material are publicly available at the MDAsmartCD GitHub repository.</t>
  </si>
  <si>
    <t>pp. 15 and 25–26</t>
  </si>
  <si>
    <t>The paper clearly defines automated BPMN-to-smart-contract generation, developer-efficiency/error reduction, and optional sidechain cost/privacy objectives.</t>
  </si>
  <si>
    <t>PS054.pdf</t>
  </si>
  <si>
    <t>The BPMN-to-DE-HSM transformations, smart-contract generation, sidechain extraction and runtime-monitoring approach are described extensively.</t>
  </si>
  <si>
    <t>pp. 3–19</t>
  </si>
  <si>
    <t>A proof-of-concept implementation is exercised on multiple business-process use cases and blockchain environments.</t>
  </si>
  <si>
    <t>pp. 19–25</t>
  </si>
  <si>
    <t>Three trade-oriented use cases and their deployment/execution on Ethereum, Hyperledger Fabric and Quorum are described with generated-state models.</t>
  </si>
  <si>
    <t>pp. 19–24</t>
  </si>
  <si>
    <t>The evaluation reports processing cost and latency for mainchain and mainchain/sidechain configurations and discusses privacy effects.</t>
  </si>
  <si>
    <t>pp. 22–24</t>
  </si>
  <si>
    <t>Figures and tables clearly report Ethereum gas/USD costs and latency changes under sidechain use across the three cases.</t>
  </si>
  <si>
    <t>The paper explicitly documents unsupported BPMN elements, open long-running transaction semantics, PoC status and scalability/global-clock concerns.</t>
  </si>
  <si>
    <t>The PoC demonstrates feasibility and performance implications, but the authors explicitly state that efficiency, scalability and several BPMN features remain unresolved.</t>
  </si>
  <si>
    <t>p. 25</t>
  </si>
  <si>
    <t>Implementation and deployment details are substantial and a demo/limited access is offered on request, but no public complete source-code/replication package is supplied.</t>
  </si>
  <si>
    <t>The study clearly motivates the lack of large-scale knowledge about Ethereum proxy prevalence, deployment patterns and proxy types.</t>
  </si>
  <si>
    <t>PS055.pdf</t>
  </si>
  <si>
    <t>A behavioral proxy-detection technique, creational-pattern taxonomy and proxy type analyses are described in depth.</t>
  </si>
  <si>
    <t>pp. 10–34</t>
  </si>
  <si>
    <t>The detection method is validated against ground truth and then applied to a complete Ethereum-scale dataset with quantitative and qualitative analyses.</t>
  </si>
  <si>
    <t>pp. 10–35</t>
  </si>
  <si>
    <t>The study covers 50,845,833 smart contracts and 1,695,517,186 transactions through September 2022 and documents ground-truth construction and DApp samples.</t>
  </si>
  <si>
    <t>pp. 3–13 and Appendix</t>
  </si>
  <si>
    <t>Precision, recall, F1, prevalence ratios, temporal trends and manually validated pattern/type distributions are used appropriately for the research questions.</t>
  </si>
  <si>
    <t>pp. 11–34</t>
  </si>
  <si>
    <t>Results are extensively reported, including 14.2% proxy prevalence, deployment-style distributions and proxy-purpose/reference-implementation patterns.</t>
  </si>
  <si>
    <t>pp. 13–34</t>
  </si>
  <si>
    <t>A dedicated threats-to-validity section discusses detection, data, labelling and generalizability risks.</t>
  </si>
  <si>
    <t>p. 35 onward</t>
  </si>
  <si>
    <t>Practical recommendations and research implications are grounded in the full-scale Ethereum evidence and are appropriately distinguished from causal claims.</t>
  </si>
  <si>
    <t>pp. 31–38</t>
  </si>
  <si>
    <t>Four ground-truth datasets and a public supplementary/replication package are provided; the supplied manuscript identifies the GitHub replication repository.</t>
  </si>
  <si>
    <t>pp. 3 and 38–40</t>
  </si>
  <si>
    <t>The paper clearly identifies the absence of Solidity-focused code-generation benchmarks and the security/correctness risks of LLM-generated smart contracts.</t>
  </si>
  <si>
    <t>PS056.pdf</t>
  </si>
  <si>
    <t>A TDD-inspired benchmark pipeline combining natural-language specifications, Hardhat tests, compilation and Slither analysis is specified.</t>
  </si>
  <si>
    <t>The open-source benchmark is executed systematically on five 7–8B parameter models across three complexity levels using repeated generations and pass@k.</t>
  </si>
  <si>
    <t>Fifteen reviewed use cases, test construction, model set, hardware, Docker/Ollama environment and generation process are reported.</t>
  </si>
  <si>
    <t>Compilation validity, Slither vulnerability status, functional-test success and pass@k are explicitly defined and applied consistently.</t>
  </si>
  <si>
    <t>Pass@1/pass@k tables clearly show declining performance with complexity and failure on complex cases, supporting the interpretation.</t>
  </si>
  <si>
    <t>Future work explicitly identifies the need for more use cases, unit tests, static analyzers, fuzzing, formal verification, prompting methods and larger models, but no structured threats-to-validity section is provided.</t>
  </si>
  <si>
    <t>p. 4</t>
  </si>
  <si>
    <t>The benchmark demonstrates useful model differences, but conclusions about LLM smart-contract capability are constrained by only 15 use cases and relatively small open-source models.</t>
  </si>
  <si>
    <t>The benchmark is publicly released as an open-source GitHub pipeline and the hardware/toolchain are documented.</t>
  </si>
  <si>
    <t>The study clearly identifies uncertainty about how Solidity developers use and misuse error-handling features over time.</t>
  </si>
  <si>
    <t>PS057.pdf</t>
  </si>
  <si>
    <t>The contribution combines language-feature evolution analysis, empirical usage/misuse analysis and actionable documentation/tool recommendations.</t>
  </si>
  <si>
    <t>A large-scale empirical methodology, heuristic detection rules, AST cross-checking and manual false-positive validation are documented.</t>
  </si>
  <si>
    <t>The study analyses 283,000 unique open-source Solidity contracts and 102 Solidity releases, with sampling/validation procedures specified.</t>
  </si>
  <si>
    <t>pp. 1–6</t>
  </si>
  <si>
    <t>Usage frequencies, temporal evolution, misuse categories and validation samples are explicitly operationalized and analysed.</t>
  </si>
  <si>
    <t>pp. 5–10</t>
  </si>
  <si>
    <t>The results quantitatively report adoption and misuse patterns, including require usage and evolution across Solidity versions.</t>
  </si>
  <si>
    <t>pp. 6–10</t>
  </si>
  <si>
    <t>A dedicated threats-to-validity section addresses heuristic construct validity, false positives/negatives, excluded revert cases and generalizability.</t>
  </si>
  <si>
    <t>p. 10</t>
  </si>
  <si>
    <t>Recommendations to developers and Solidity designers follow directly from the large empirical corpus and documented misuse patterns.</t>
  </si>
  <si>
    <t>The curated dataset and SolBench analysis tool are publicly available on GitHub, with supplementary rule details referenced.</t>
  </si>
  <si>
    <t>pp. 2, 6 and 11</t>
  </si>
  <si>
    <t>The paper clearly identifies platform-specific smart-contract languages, maintenance constraints and the need for platform-independent graphical modelling.</t>
  </si>
  <si>
    <t>PS058.pdf</t>
  </si>
  <si>
    <t>SCEditor's metamodel, Eclipse Sirius implementation, Smart Contract Diagram and Function Diagram elements are described in detail.</t>
  </si>
  <si>
    <t>The prototype is validated against one voting smart contract in Solidity/Vyper, but there is no controlled user, usability or comparative experimental design.</t>
  </si>
  <si>
    <t>pp. 7–9</t>
  </si>
  <si>
    <t>The voting case and represented code elements are documented, but the evaluation consists of a single reference contract with no participant or broader case sample.</t>
  </si>
  <si>
    <t>Structural and behavioral representation counts are reported and related approaches are discussed, but no formal baseline or effectiveness metric is justified.</t>
  </si>
  <si>
    <t>p. 9</t>
  </si>
  <si>
    <t>Results clearly report full structural representation but only about 50% behavioral representation, yielding approximately 68% total component coverage.</t>
  </si>
  <si>
    <t>The Discussion explicitly identifies overcrowded behavioral diagrams, unsupported statements, absent testing/exception-handling features and need for further validation.</t>
  </si>
  <si>
    <t>The case demonstrates metamodel/prototype feasibility, but practical usability and multi-language code-generation claims require broader validation.</t>
  </si>
  <si>
    <t>Metamodel/editor implementation details are substantial, but no public SCEditor study-specific source-code or replication package is identified.</t>
  </si>
  <si>
    <t>The study clearly motivates real-world smart-contract evolution under blockchain immutability and frames prevalence, gas and vulnerability RQs.</t>
  </si>
  <si>
    <t>PS059.pdf</t>
  </si>
  <si>
    <t>The digEvolution similarity-search algorithm, datasets and evolution/gas/security analyses are described in detail.</t>
  </si>
  <si>
    <t>pp. 3–18</t>
  </si>
  <si>
    <t>The method is validated under multiple search strategies before large-scale application and is complemented by vulnerability tools and a developer survey.</t>
  </si>
  <si>
    <t>pp. 4–18</t>
  </si>
  <si>
    <t>The study constructs multiple on-chain/open-source/bug-fix datasets, including an 80,152-contract on-chain dataset and documented survey evidence.</t>
  </si>
  <si>
    <t>Precision/recall/F1 for evolution detection, gas patterns and multiple vulnerability detectors are operationalized and compared across version pairs.</t>
  </si>
  <si>
    <t>pp. 7–17</t>
  </si>
  <si>
    <t>Results are quantitatively reported for evolution frequency, gas changes and vulnerability changes, with survey evidence triangulating selected findings.</t>
  </si>
  <si>
    <t>pp. 11–18</t>
  </si>
  <si>
    <t>A dedicated threats-to-validity section discusses evolution-chain misclassification, code homogeneity, detection-tool coverage and dataset implications.</t>
  </si>
  <si>
    <t>pp. 18–19</t>
  </si>
  <si>
    <t>Developer recommendations and research implications are tied to observed on-chain evolution and explicitly account for limitations of existing analysis tools.</t>
  </si>
  <si>
    <t>The paper publicly releases source code and study datasets at the Characterizing-Smart-Contract-Evolution GitHub repository.</t>
  </si>
  <si>
    <t>The paper clearly identifies the lack of systematic evidence about prevalence, co-evolution, bug-proneness and causes of Solidity code clones.</t>
  </si>
  <si>
    <t>PS060.pdf</t>
  </si>
  <si>
    <t>The empirical contribution defines clone types, co-evolution categories, study RQs and a complete analysis workflow using NiCad and repository evolution.</t>
  </si>
  <si>
    <t>The study uses explicit project-selection criteria, clone detection configurations, version analysis, bug-fix analysis and qualitative multi-rater validation.</t>
  </si>
  <si>
    <t>pp. 3–11</t>
  </si>
  <si>
    <t>The dataset contains 26,294 smart contracts and 97,877 functions from Etherscan, OpenZeppelin and Synthetix, with version/project-selection rules reported.</t>
  </si>
  <si>
    <t>Clone-function/code-line ratios, co-evolution rates, bug-fix involvement and qualitative change explanations are defined and measured across the datasets.</t>
  </si>
  <si>
    <t>Tables and figures report clone prevalence, average 32.01% co-evolution and the absence of clone involvement in studied bug-fixing commits.</t>
  </si>
  <si>
    <t>A dedicated threats-to-validity section covers NiCad configuration, qualitative coding bias and external-validity risks, with mitigation steps.</t>
  </si>
  <si>
    <t>p. 11</t>
  </si>
  <si>
    <t>Recommendations for clone-management practice and tooling follow directly from measured prevalence/co-evolution evidence and are appropriately scoped.</t>
  </si>
  <si>
    <t>The authors state that the collected data are publicly shared on the study website, and project/configuration/annotation details are documented.</t>
  </si>
  <si>
    <t>pp. 3 and 11</t>
  </si>
  <si>
    <t>The study explicitly asks why early software-development phases are critical for blockchain applications and focuses on upgrading consequences after deployment.</t>
  </si>
  <si>
    <t>PS061.pdf</t>
  </si>
  <si>
    <t>Abstract; pp. 1–2</t>
  </si>
  <si>
    <t>A digital-identity system using microservices and smart contracts is described, including initial architecture, upgrade requirements and on-chain/off-chain repercussions.</t>
  </si>
  <si>
    <t>Secs. III–V</t>
  </si>
  <si>
    <t>The authors state that the research follows case-based research and analyse economic, computational and interconnected effects, but the single-case design does not provide a detailed replication protocol or multi-case validation.</t>
  </si>
  <si>
    <t>pp. 2; Secs. III–VII</t>
  </si>
  <si>
    <t>The digital-identity case, microservice architecture, Ethereum smart contracts, upgrade scenario and gas-cost experiment are described in sufficient technical detail for classification.</t>
  </si>
  <si>
    <t>Secs. III, IV and VI</t>
  </si>
  <si>
    <t>The study reports gas/economic consequences and architectural effects, but there is no substantive comparative baseline or broader quantitative evaluation framework.</t>
  </si>
  <si>
    <t>Sec. VI</t>
  </si>
  <si>
    <t>Findings on purpose duplication, storage wastage, legitimacy, cascade dependencies, migration complexity and economic cost are clearly reported and tied to the case evidence.</t>
  </si>
  <si>
    <t>Secs. VII–VIII</t>
  </si>
  <si>
    <t>A dedicated 'Delimitation' subsection identifies excluded assumptions including consensus changes, blockchain attacks, inter-microservice security and tunneling.</t>
  </si>
  <si>
    <t>Sec. VII-A</t>
  </si>
  <si>
    <t>The recommendations are relevant to blockchain software engineering, but generalization rests primarily on one digital-identity/microservice case.</t>
  </si>
  <si>
    <t>Architecture, contract-upgrade procedure and experimental details are documented, but no study-specific public code/data/replication package is identified.</t>
  </si>
  <si>
    <t>The paper clearly identifies the lack of comprehensive tools and datasets for tracing immutable smart-contract version histories and upgrade relationships.</t>
  </si>
  <si>
    <t>PS062.pdf</t>
  </si>
  <si>
    <t>Abstract; Sec. I</t>
  </si>
  <si>
    <t>EvoChain's data, API and user-interface layers, Neo4j graph schema, proxy/version relationships and vulnerability views are described.</t>
  </si>
  <si>
    <t>Secs. II-A–II-C</t>
  </si>
  <si>
    <t>Data collection and graph construction are explained, but the paper does not report a formal accuracy, usability or performance evaluation of the framework itself.</t>
  </si>
  <si>
    <t>Secs. II–IV</t>
  </si>
  <si>
    <t>The dataset is grounded in EthereumETL and Etherscan and contains approximately 1.3 million upgradeable proxies and nearly 15,000 historical versions.</t>
  </si>
  <si>
    <t>Abstract; Sec. II-A</t>
  </si>
  <si>
    <t>No formal evaluation metrics or comparative baselines are used to quantify EvoChain's tracking accuracy, interface usability or scalability.</t>
  </si>
  <si>
    <t>The paper documents capabilities, dataset scale and intended applications, but provides limited measured evaluation results beyond descriptive dataset characteristics.</t>
  </si>
  <si>
    <t>The limitations section explicitly discusses data completeness, proxy-pattern scope, cross-platform coverage and scalability challenges, with planned enhancements.</t>
  </si>
  <si>
    <t>limitations/future-enhancement discussion</t>
  </si>
  <si>
    <t>Potential benefits for transparency, vulnerability research and stakeholder analysis are plausible, but they are not validated through user or comparative operational studies.</t>
  </si>
  <si>
    <t>The EvoChain dataset and tool are publicly available on GitHub, and the data schema and supporting tools such as PROXiFY are documented.</t>
  </si>
  <si>
    <t>Sec. II-C; GitHub footnotes</t>
  </si>
  <si>
    <t>The paper clearly identifies the inadequacy of existing delegatecall/call-based maintenance patterns for combined state and logic changes and motivates transparent maintenance.</t>
  </si>
  <si>
    <t>PS063.pdf</t>
  </si>
  <si>
    <t>SmartUpdater's hyperproxy pattern, DSL, optimization-oriented contract generation and SNARK-based state-migration verification are described in depth.</t>
  </si>
  <si>
    <t>Secs. II–V</t>
  </si>
  <si>
    <t>The approach is implemented and evaluated through extensive experiments, real-world maintenance cases, developer-effort measurements, gas analysis and state-migration verification.</t>
  </si>
  <si>
    <t>Secs. VI–VII</t>
  </si>
  <si>
    <t>The evaluation uses 1,355 real-world contract-maintenance cases and reports developer-oriented evaluation, experimental configurations and state/gas scenarios.</t>
  </si>
  <si>
    <t>evaluation sections</t>
  </si>
  <si>
    <t>Development time, gas consumption, maintenance comparisons and proof-verification costs are explicitly defined and compared with actual maintenance approaches.</t>
  </si>
  <si>
    <t>evaluation tables/figures</t>
  </si>
  <si>
    <t>Results clearly report average development effort, the proportion of contracts reducing gas, average gas savings and verification-cost reductions.</t>
  </si>
  <si>
    <t>Abstract; evaluation sections</t>
  </si>
  <si>
    <t>A dedicated 'Limitations And Future Directions' subsection discusses participant bias, unsupported contract situations and further integration/automation needs.</t>
  </si>
  <si>
    <t>Limitations And Future Directions</t>
  </si>
  <si>
    <t>Claims are grounded in large real-world maintenance cases and developer/gas evidence, and the limitations appropriately constrain generalization.</t>
  </si>
  <si>
    <t>Discussion and limitations</t>
  </si>
  <si>
    <t>The SmartUpdater source code is explicitly released on GitHub, and implementation, DSL, experiment and verification details are documented.</t>
  </si>
  <si>
    <t>Sec. I contributions; GitHub reference</t>
  </si>
  <si>
    <t>The uploaded preprint clearly defines the fragmentation of MDD support across the blockchain SDLC and proposes full-lifecycle support; criterion evidence is provisional pending the Version of Record.</t>
  </si>
  <si>
    <t>PS064.pdf</t>
  </si>
  <si>
    <t>Abstract; Sec. 1</t>
  </si>
  <si>
    <t>The preprint describes a full-lifecycle MDD reference framework, blockchain-specific transformations and a prototype for Ethereum and Hyperledger Fabric; criterion evidence is provisional.</t>
  </si>
  <si>
    <t>Secs. 3–4</t>
  </si>
  <si>
    <t>The preprint reports a prototype and comparative case study, but final QA must be locked against the peer-reviewed Version of Record rather than this explicitly unreviewed preprint.</t>
  </si>
  <si>
    <t>Secs. 4–5</t>
  </si>
  <si>
    <t>A cross-border food-supply-chain case and two platform implementations are described; evidence is retained only as provisional source notes.</t>
  </si>
  <si>
    <t>evaluation section</t>
  </si>
  <si>
    <t>The preprint reports development-effort comparisons and functionally equivalent artifacts across SDLC stages; scoring is deferred pending the Version of Record.</t>
  </si>
  <si>
    <t>comparative case-study tables</t>
  </si>
  <si>
    <t>The preprint presents feasibility/adaptability and development-efficiency results; scoring is deferred pending the final peer-reviewed file.</t>
  </si>
  <si>
    <t>Secs. 4–6</t>
  </si>
  <si>
    <t>The preprint includes a 'Known Limitations and Improvements' subsection; criterion score is not locked because the supplied file is not peer reviewed.</t>
  </si>
  <si>
    <t>Sec. 5.2</t>
  </si>
  <si>
    <t>Practical claims are supported by a prototype/case study in the preprint, but final assessment requires the peer-reviewed Version of Record.</t>
  </si>
  <si>
    <t>Implementation/artifact generation is described in the preprint, but the QA score remains pending until the final peer-reviewed source is supplied.</t>
  </si>
  <si>
    <t>Secs. 3–5</t>
  </si>
  <si>
    <t>The study clearly motivates the security risks arising from Ethereum execution semantics and the need to detect vulnerable contracts before deployment.</t>
  </si>
  <si>
    <t>PS065.pdf</t>
  </si>
  <si>
    <t>The paper formalizes relevant Ethereum semantics, documents vulnerability classes and presents the Oyente symbolic-execution architecture and detectors.</t>
  </si>
  <si>
    <t>Oyente is implemented and evaluated on deployed Ethereum bytecode, with manual validation of contracts having available source code and real-network attack confirmation on the authors' own accounts.</t>
  </si>
  <si>
    <t>Sec. 6</t>
  </si>
  <si>
    <t>The evaluation covers 19,366 Ethereum contracts from the first 1.46 million blocks, with source-available subsets used for manual false-positive verification.</t>
  </si>
  <si>
    <t>The evaluation reports vulnerable-contract counts, performance, false-positive checks on source-available contracts and case-based confirmation of identified attack classes.</t>
  </si>
  <si>
    <t>Results are clearly reported for transaction-ordering, timestamp, mishandled-exception and reentrancy-related issues, including TheDAO detection and main-network cases.</t>
  </si>
  <si>
    <t>Secs. 6–7</t>
  </si>
  <si>
    <t>The paper discusses false positives, bounded path exploration and detector limitations, but does not provide a dedicated structured threats-to-validity section.</t>
  </si>
  <si>
    <t>Secs. 5–7</t>
  </si>
  <si>
    <t>Practical relevance is strong because the study analyses deployed contracts and confirms selected attacks on the main Ethereum network while restricting the attacks to the authors' own accounts.</t>
  </si>
  <si>
    <t>Abstract; Sec. 6</t>
  </si>
  <si>
    <t>Oyente is described as open source/project-page software and implementation details are extensive, but the supplied paper does not present a complete study-specific replication package.</t>
  </si>
  <si>
    <t>Secs. 1, 5–6</t>
  </si>
  <si>
    <t>The paper clearly identifies the need for scalable, automated smart-contract security analysis that can distinguish definite violations from warnings.</t>
  </si>
  <si>
    <t>PS066.pdf</t>
  </si>
  <si>
    <t>Securify's dependency-graph analysis, Datalog encoding, compliance/violation patterns and DSL are described in detail.</t>
  </si>
  <si>
    <t>Secs. 3–6</t>
  </si>
  <si>
    <t>The tool is evaluated on real-world Ethereum contracts and compared with existing analyzers, supported by practical audit experience.</t>
  </si>
  <si>
    <t>Sec. 7</t>
  </si>
  <si>
    <t>The study constructs Solidity/EVM datasets and reports contract-level analysis at realistic scale, together with operational experience from more than 18,000 submitted contracts and commercial audits.</t>
  </si>
  <si>
    <t>Secs. 1 and 7</t>
  </si>
  <si>
    <t>The evaluation uses property-level coverage, warnings/violations, runtime and comparison against Oyente/Mythril to quantify analysis precision and effort reduction.</t>
  </si>
  <si>
    <t>Results clearly quantify reduced manual inspection, resolved offsets, discovered violations and comparative performance.</t>
  </si>
  <si>
    <t>The paper explicitly discusses limitations of Securify and of its compliance/violation pattern approach, including unsupported numerical properties and incompleteness tradeoffs.</t>
  </si>
  <si>
    <t>Limitations subsections</t>
  </si>
  <si>
    <t>Practical applicability is supported by a publicly deployed service, more than 18,000 user-submitted contracts and extensive security-audit usage.</t>
  </si>
  <si>
    <t>Sec. 1</t>
  </si>
  <si>
    <t>Securify is publicly released and available online, and the analysis language, implementation and evaluation datasets/procedures are described.</t>
  </si>
  <si>
    <t>Abstract; Secs. 1 and 7</t>
  </si>
  <si>
    <t>The paper clearly motivates automated verification of smart-contract correctness and fairness before deployment because contracts are difficult to patch.</t>
  </si>
  <si>
    <t>PS067.pdf</t>
  </si>
  <si>
    <t>ZEUS combines policy specification, Solidity-to-LLVM translation, abstract interpretation, symbolic model checking and constrained Horn clauses in a detailed verification pipeline.</t>
  </si>
  <si>
    <t>The framework is implemented and evaluated at scale with controlled experimental settings, comparisons with Oyente and a Fabric applicability demonstration.</t>
  </si>
  <si>
    <t>The authors scraped 22,493 source contracts, identified 1,524 unique contracts, report category/LOC characteristics and provide hardware/toolchain configuration.</t>
  </si>
  <si>
    <t>Sec. VI-A</t>
  </si>
  <si>
    <t>False positives/negatives, analysis time and vulnerability prevalence are measured, and selected verification results are compared with Oyente.</t>
  </si>
  <si>
    <t>Results clearly report vulnerability prevalence, low false-positive behavior, zero false negatives under evaluated properties and substantial analysis-time improvement.</t>
  </si>
  <si>
    <t>Abstract; Sec. VI</t>
  </si>
  <si>
    <t>A dedicated limitations subsection covers unsupported Solidity constructs, runtime parameters, virtual functions, assembly and unsupported liveness/trace properties.</t>
  </si>
  <si>
    <t>Limitations subsection</t>
  </si>
  <si>
    <t>The paper appropriately distinguishes verification findings from practical exploitability and demonstrates applicability to both Ethereum and Fabric.</t>
  </si>
  <si>
    <t>Secs. I and VI</t>
  </si>
  <si>
    <t>Translation, policy and verifier implementation details are extensive, but no public ZEUS source/replication package is identified in the supplied article.</t>
  </si>
  <si>
    <t>The paper clearly states the goal of formally verifying blockchain smart contracts while considering attacker/user behavior.</t>
  </si>
  <si>
    <t>PS068.pdf</t>
  </si>
  <si>
    <t>A hierarchical CPN method, attacker model, stepwise simulation, ASK-CTL queries and state-space checking procedure are described.</t>
  </si>
  <si>
    <t>Secs. III–IV</t>
  </si>
  <si>
    <t>The CPN model and ASK-CTL verification steps are sufficiently explicit to understand and reproduce the demonstrated formal-analysis workflow.</t>
  </si>
  <si>
    <t>The crowdfunding contract, attacker contract, model attributes, initial markings and simulated deposit/withdrawal behavior are described in detail.</t>
  </si>
  <si>
    <t>The study defines correctness/safety properties and model-checking queries, but provides no comparative baseline or quantitative accuracy/performance evaluation.</t>
  </si>
  <si>
    <t>Sec. IV</t>
  </si>
  <si>
    <t>State-space and ASK-CTL results clearly demonstrate normal behavior and abnormal states under the attacker model.</t>
  </si>
  <si>
    <t>No substantive limitations or threats-to-validity discussion is provided.</t>
  </si>
  <si>
    <t>The method shows formal-verification feasibility, but evidence is limited to one simplified crowdfunding case and attacker scenario.</t>
  </si>
  <si>
    <t>Model equations, markings and query logic are reported, but no public CPN model files, code or replication package are identified.</t>
  </si>
  <si>
    <t>The paper clearly identifies false-positive and false-negative weaknesses of existing reentrancy detectors in cross-contract interactions.</t>
  </si>
  <si>
    <t>PS069.pdf</t>
  </si>
  <si>
    <t>Clairvoyance's cross-contract interprocedural CFG, static taint analysis and path-protection-technique feasibility checking are described in detail.</t>
  </si>
  <si>
    <t>The approach is grounded in an empirical study of existing tools and then evaluated against five state-of-the-art tools on a separate large real-world dataset.</t>
  </si>
  <si>
    <t>The study uses 11,714 Etherscan contracts for the motivating empirical study and 17,770 Google BigQuery contracts for independent tool evaluation.</t>
  </si>
  <si>
    <t>Secs. 4 and 6</t>
  </si>
  <si>
    <t>Detection accuracy, false positives/negatives, efficiency and practical vulnerable call chains are used to compare Clairvoyance with five tools.</t>
  </si>
  <si>
    <t>Results clearly show improved detection accuracy and 101 previously unknown reentrancy vulnerabilities, with efficiency results and call-chain evidence.</t>
  </si>
  <si>
    <t>A dedicated threats-to-validity subsection discusses loop-unrolling threshold and dataset representativeness, followed by future-enhancement limitations.</t>
  </si>
  <si>
    <t>Secs. 6.6.2–6.6.3</t>
  </si>
  <si>
    <t>Practical applicability is supported by real-world contracts and concrete vulnerable call chains that facilitate triggering and validation of true positives.</t>
  </si>
  <si>
    <t>Sec. 6.5–6.6</t>
  </si>
  <si>
    <t>The tool is publicly available and the authors state that experimental results/datasets are or will be released to the community; implementation procedures are detailed.</t>
  </si>
  <si>
    <t>Secs. 1 and 6.6.2</t>
  </si>
  <si>
    <t>The study clearly identifies the loss of semantic context caused by single-tokenization N-gram vulnerability auditing.</t>
  </si>
  <si>
    <t>PS070.pdf</t>
  </si>
  <si>
    <t>MSgram's text, structure and combined tokenization schemes, N-gram detectors and Intersection/Union combination strategies are explicitly defined.</t>
  </si>
  <si>
    <t>Secs. III-A–III-C</t>
  </si>
  <si>
    <t>The study uses a two-phase model-construction/security-auditing design with train/test separation and systematic parameter/threshold exploration.</t>
  </si>
  <si>
    <t>Sec. III</t>
  </si>
  <si>
    <t>More than 7,200 Ethereum smart contracts are collected and divided into training and testing sets, with dataset-construction and labeling procedures reported.</t>
  </si>
  <si>
    <t>Sec. III-B; Sec. IV</t>
  </si>
  <si>
    <t>Precision, recall and F-measure are defined and used to compare multiple sequence lengths, semantics and combination strategies against the S-gram baseline.</t>
  </si>
  <si>
    <t>Results clearly quantify improvements, including substantial precision gains under Intersection and recall/F-measure gains under Union.</t>
  </si>
  <si>
    <t>Abstract; Sec. IV</t>
  </si>
  <si>
    <t>A dedicated threats-to-validity section discusses baseline reimplementation and dataset/labeling validity issues.</t>
  </si>
  <si>
    <t>Sec. V</t>
  </si>
  <si>
    <t>The offline evaluation supports improved vulnerability-auditing performance, but direct developer/operational deployment effectiveness is not evaluated.</t>
  </si>
  <si>
    <t>Secs. IV–VII</t>
  </si>
  <si>
    <t>The complete dataset, including smart-contract source and test reports, is published on GitHub; preprocessing and experiment settings are documented.</t>
  </si>
  <si>
    <t>Sec. IV-B; GitHub footnote</t>
  </si>
  <si>
    <t>The study clearly motivates Wasm-level smart-contract vulnerability analysis for EOSIO and cross-platform extensibility.</t>
  </si>
  <si>
    <t>PS071.pdf</t>
  </si>
  <si>
    <t>WANA's Wasm symbolic-execution engine and vulnerability-specific detection algorithms are described for EOSIO and extended to Ethereum.</t>
  </si>
  <si>
    <t>Secs. IV–VI</t>
  </si>
  <si>
    <t>The tool is evaluated using large-scale EOSIO experiments, comparison with EVulHunter, efficiency measurement and a separate Ethereum extensibility case study.</t>
  </si>
  <si>
    <t>Secs. V–VI</t>
  </si>
  <si>
    <t>The study uses 83 source-available and 65,202 bytecode EOSIO contracts plus 89 manually confirmed vulnerable Ethereum contracts, with hardware/tool versions reported.</t>
  </si>
  <si>
    <t>Secs. V-B–V-C and VI</t>
  </si>
  <si>
    <t>False positives/negatives, vulnerability counts, analysis time and comparative performance with EVulHunter are explicitly assessed.</t>
  </si>
  <si>
    <t>Results clearly report zero false positives/negatives on the verified EOSIO source subset, large-scale prevalence estimates and practical analysis times.</t>
  </si>
  <si>
    <t>Secs. V-D–V-E</t>
  </si>
  <si>
    <t>A dedicated threats-to-validity discussion addresses incomplete library modelling, manually summarized vulnerability patterns and immature Solidity-to-Wasm support.</t>
  </si>
  <si>
    <t>Sec. IV-E</t>
  </si>
  <si>
    <t>EOSIO evidence is strong and practical; Ethereum applicability is appropriately limited to a smaller manually modified case because the toolchain was immature.</t>
  </si>
  <si>
    <t>WANA is explicitly open sourced on GitHub and experiment environment, solver version, loop depth and datasets are documented.</t>
  </si>
  <si>
    <t>Sec. I; Sec. V-C</t>
  </si>
  <si>
    <t>The paper clearly motivates the need to improve symbolic-execution speed and vulnerability coverage while retaining explainable detection results.</t>
  </si>
  <si>
    <t>PS072.pdf</t>
  </si>
  <si>
    <t>The system combines Mythril path pruning, a transaction-order-dependence detector and an LSTM auxiliary classifier in a documented analysis pipeline.</t>
  </si>
  <si>
    <t>Secs. III-A–III-D</t>
  </si>
  <si>
    <t>Four experiments assess pruning speed, TOD detection, overall accuracy and time consumption against Mythril/Oyente under a specified hardware/software setup.</t>
  </si>
  <si>
    <t>A dataset of 18,912 smart-contract source files is constructed, vulnerability subsets are described, random samples are selected for experiments and hardware is reported.</t>
  </si>
  <si>
    <t>Sec. III; Sec. IV</t>
  </si>
  <si>
    <t>Accuracy, precision, recall, F1/macro-F1 and execution time are used, with Mythril and Oyente serving as explicit baselines.</t>
  </si>
  <si>
    <t>Results report approximately 35% average path-traversal time reduction and improved detection accuracy/recall/F1 relative to the original tools.</t>
  </si>
  <si>
    <t>The conclusion identifies future extensions and supported-vulnerability limitations, but there is no dedicated threats-to-validity analysis of labels, sampling or implementation bias.</t>
  </si>
  <si>
    <t>The experiments support improved detection performance, but operational/developer use and generalization beyond the constructed dataset are not directly assessed.</t>
  </si>
  <si>
    <t>Secs. IV–V</t>
  </si>
  <si>
    <t>System architecture, algorithms and experimental configuration are documented, but no complete public code/data replication package is identified.</t>
  </si>
  <si>
    <t>The paper clearly motivates faster, less rule-dependent smart-contract vulnerability detection and proposes a hybrid deep-learning alternative.</t>
  </si>
  <si>
    <t>PS073.pdf</t>
  </si>
  <si>
    <t>CBGRU combines Word2Vec/FastText representations with multiple recurrent/convolutional architectures and a hybrid feature-fusion design.</t>
  </si>
  <si>
    <t>Sec. 3</t>
  </si>
  <si>
    <t>The model is evaluated through multiple controlled experiments using public SmartBugs data, model ablations/configurations and comparisons with prior methods.</t>
  </si>
  <si>
    <t>Sec. 4</t>
  </si>
  <si>
    <t>SmartBugs Dataset-Wild is described, preprocessing/splitting are reported and vulnerability-specific experimental datasets are constructed.</t>
  </si>
  <si>
    <t>Sec. 4.1</t>
  </si>
  <si>
    <t>Accuracy, precision, recall and F1-score are reported and used to compare CBGRU with basic deep-learning models and prior vulnerability-detection baselines.</t>
  </si>
  <si>
    <t>Secs. 4.2–4.4</t>
  </si>
  <si>
    <t>Results clearly report high performance across reentrancy, timestamp and infinite-loop tasks and quantify gains over several comparison models.</t>
  </si>
  <si>
    <t>The authors explicitly discuss limitations including contract-level rather than location-level output, varying vulnerability performance and limited dataset scale.</t>
  </si>
  <si>
    <t>end of Sec. 4 / Sec. 5</t>
  </si>
  <si>
    <t>The evidence strongly supports classification performance, but practical audit workflow, runtime/operational robustness and developer impact are not directly evaluated.</t>
  </si>
  <si>
    <t>The Data Availability Statement identifies a GitHub repository containing experimental data and associated code.</t>
  </si>
  <si>
    <t>Data Availability Statement</t>
  </si>
  <si>
    <t>The paper clearly identifies symbolic-execution path explosion and limited multi-core utilization as bottlenecks for smart-contract vulnerability detection.</t>
  </si>
  <si>
    <t>PS074.pdf</t>
  </si>
  <si>
    <t>Park's dynamic forking, adaptive process restriction/adjustment and shared-memory global-variable reconstruction algorithms are described in detail.</t>
  </si>
  <si>
    <t>Park is implemented as a plug-in for Oyente and Mythril and evaluated experimentally under controlled multi-core configurations.</t>
  </si>
  <si>
    <t>Two third-party datasets are used: SmartBugs curated vulnerable contracts and 1,000 highly triggered real-world contracts from XBlock-ETH, with hardware/CPU settings documented.</t>
  </si>
  <si>
    <t>Runtime, speedup, coverage/detection consistency, CPU-core count and timeout parameters are analysed against the original Oyente/Mythril tools.</t>
  </si>
  <si>
    <t>Results clearly report up to 6.84× and 7.06× speedups while retaining detected results on the curated benchmark and improving effective coverage under time limits.</t>
  </si>
  <si>
    <t>Abstract; Sec. 7</t>
  </si>
  <si>
    <t>A dedicated discussion lists limitations involving parameter sensitivity, SMT timeout randomness and OS-fork scheduling overhead, with planned improvements.</t>
  </si>
  <si>
    <t>Sec. 8</t>
  </si>
  <si>
    <t>The study directly evaluates performance improvements on existing vulnerability-detection tools and real/curated contract datasets, supporting the practical acceleration claim.</t>
  </si>
  <si>
    <t>Secs. 7–8</t>
  </si>
  <si>
    <t>The paper states that implementation/results will be released on the ParkSE website and describes the plug-in architecture, but the supplied version does not confirm a stable public replication package.</t>
  </si>
  <si>
    <t>Secs. 1 and 7–8</t>
  </si>
  <si>
    <t>The study clearly identifies the gap between contract-level vulnerability detection and statement-level localization for reentrancy vulnerabilities.</t>
  </si>
  <si>
    <t>PS075.pdf</t>
  </si>
  <si>
    <t>ReVulDL integrates graph-based pretraining over propagation chains with post-hoc interpretable machine learning for statement localization.</t>
  </si>
  <si>
    <t>The approach is evaluated through large-scale experiments, extensive baselines, statistical tests and ablation studies.</t>
  </si>
  <si>
    <t>The study uses 47,398 real-world contracts from SmartBugs Wild and documents data preparation, propagation-chain generation and benchmark configurations.</t>
  </si>
  <si>
    <t>Recall, precision, F1, Top-N accuracy, mean average rank/first rank and statistical Wilcoxon tests are used against numerous detection/localization baselines.</t>
  </si>
  <si>
    <t>Secs. 4.2–4.6</t>
  </si>
  <si>
    <t>Results clearly report F1 around 0.93 for detection and 70.38% of vulnerable statements within Top-10, with statistically significant localization improvements.</t>
  </si>
  <si>
    <t>Abstract; Sec. 4</t>
  </si>
  <si>
    <t>A dedicated threats-to-validity section addresses implementation, external generalization and construct-measurement threats.</t>
  </si>
  <si>
    <t>The evidence supports the claimed detection/localization improvements and the paper appropriately scopes future extension to other vulnerability types.</t>
  </si>
  <si>
    <t>Secs. 5–8</t>
  </si>
  <si>
    <t>A public replication package is explicitly provided with source code, datasets and runnable examples.</t>
  </si>
  <si>
    <t>footnote in Sec. 2 / replication-package statement</t>
  </si>
  <si>
    <t>The objective is explicit: build a scalable multi-objective smart-contract vulnerability detector that addresses limitations of rule-based and single-vulnerability approaches.</t>
  </si>
  <si>
    <t>PS076.pdf</t>
  </si>
  <si>
    <t>MODNN is described through the COS representation, SCC data-processing pipeline, implicit-feature extraction, BERT embeddings and multi-objective probability outputs.</t>
  </si>
  <si>
    <t>The evaluation procedure specifies focal loss for imbalance, k-fold cross-validation, optimizer/learning-rate choices, training/testing of known and new vulnerability types and baseline configurations.</t>
  </si>
  <si>
    <t>Secs. 6.2–6.5</t>
  </si>
  <si>
    <t>SCC collected 20,545 contracts and retained 18,796 after cleaning; hardware, OS/driver versions, public comparison datasets and experiment setup are reported.</t>
  </si>
  <si>
    <t>Secs. 4 and 6.3</t>
  </si>
  <si>
    <t>Precision, recall, F1 and related indicators are defined; MODNN is compared with DR-GCN, SoliAudit and Eth2Vec on own, XBlock, SmartBugs Wild and SolidiFI data.</t>
  </si>
  <si>
    <t>Secs. 6.2, 6.5</t>
  </si>
  <si>
    <t>Tables and learning curves report per-vulnerability and aggregate results, including about 96.27% average F1 on learned vulnerabilities and robustness/generalization comparisons.</t>
  </si>
  <si>
    <t>Sec. 6.4–6.5</t>
  </si>
  <si>
    <t>The conclusion explicitly identifies limitations of opcode-only representations and insufficient use of raw contextual, syntactic and semantic information.</t>
  </si>
  <si>
    <t>Claims are supported by experiments on a large collected Ethereum set plus several public datasets and are scoped to vulnerability detection/scalability rather than production deployment.</t>
  </si>
  <si>
    <t>A public MODNN data/code repository is cited, and hardware, preprocessing, model settings, datasets and training configuration are documented.</t>
  </si>
  <si>
    <t>Sec. 6.3; Sec. 7; Ref. [10]</t>
  </si>
  <si>
    <t>The paper clearly motivates high false-positive/low-correct-rate problems in smart-contract vulnerability detection and targets reentrancy detection with a Siamese network.</t>
  </si>
  <si>
    <t>PS077.pdf</t>
  </si>
  <si>
    <t>SCVSN architecture, similarity-based Siamese learning, LSTM subnetworks, source-code normalization/tokenization and Word2Vec embedding are described in detail.</t>
  </si>
  <si>
    <t>Dataset labeling, preprocessing, repeated training, parameter testing and model-comparison procedures are sufficiently specified to reproduce the study.</t>
  </si>
  <si>
    <t>Secs. 4.1–4.3</t>
  </si>
  <si>
    <t>SmartBugs Dataset-Wild and SolidiFI Benchmark are identified with sizes; the labeling process uses Oyente, Mythril and SmartCheck and preprocessing steps are detailed.</t>
  </si>
  <si>
    <t>Accuracy, recall, precision, F1 and false-positive-related measures are defined, and SCVSN is compared with DeeSCVHunter, Peculiar, VSCL, BLSTM-ATT, TMP, DR-GCN and LSTM.</t>
  </si>
  <si>
    <t>Sec. 4.3</t>
  </si>
  <si>
    <t>Results are reported across 40 runs, hyperparameter tests and baseline comparisons; SCVSN averages 96.01% accuracy with 94.78% F1.</t>
  </si>
  <si>
    <t>Secs. 4.2–4.3</t>
  </si>
  <si>
    <t>The conclusion explicitly states limitations in supported vulnerability types and plans expansion to timestamp, integer-overflow and multi-vulnerability cases.</t>
  </si>
  <si>
    <t>Sec. 5</t>
  </si>
  <si>
    <t>The evidence supports strong offline reentrancy classification, but practical developer/audit workflow or deployed-tool effectiveness is not directly evaluated.</t>
  </si>
  <si>
    <t>The Data Availability Statement provides a GitHub repository containing experimental data and associated code; preprocessing and model settings are also documented.</t>
  </si>
  <si>
    <t>Data Availability Statement; Sec. 4</t>
  </si>
  <si>
    <t>The study clearly identifies inconsistent ad-hoc access-control implementation as the problem and aims to detect violated/missing access-control checks with fewer false positives.</t>
  </si>
  <si>
    <t>PS078.pdf</t>
  </si>
  <si>
    <t>AChecker combines static data-flow/taint analysis for access-control inference with symbolic execution to distinguish intended behavior from vulnerabilities.</t>
  </si>
  <si>
    <t>Secs. II–III</t>
  </si>
  <si>
    <t>The tool, analysis steps, evaluation RQs, datasets, baseline execution procedure, timeouts and manual-inspection protocol are explicitly described.</t>
  </si>
  <si>
    <t>Evaluation uses a 15-contract CVE dataset, 47,518 SmartBugs-wild contracts and 3,000 popular Ethereum contracts; hardware and timeout settings are documented.</t>
  </si>
  <si>
    <t>Sec. IV-A</t>
  </si>
  <si>
    <t>Recall/precision and runtime are evaluated against eight relevant smart-contract analysis tools using datasets with known CVEs and manual validation for precision.</t>
  </si>
  <si>
    <t>Sec. IV-A–IV-D</t>
  </si>
  <si>
    <t>The paper reports tool-by-tool results, prevalence analysis and manual confirmation; AChecker flags 21 popular contracts and achieves 90% precision on inspectable cases.</t>
  </si>
  <si>
    <t>A dedicated section lists three tool limitations and separate external/internal threats to validity, including dataset size and manual-inspection bias.</t>
  </si>
  <si>
    <t>Secs. V-B–V-C</t>
  </si>
  <si>
    <t>Practical claims are proportionate to evidence from real deployed contracts, popular-contract analysis and direct comparison with established auditing tools.</t>
  </si>
  <si>
    <t>The AChecker implementation is explicitly public on GitHub and the paper documents datasets, runtime limits, analysis workflow and evaluation setup.</t>
  </si>
  <si>
    <t>Sec. I; Ref. [19]; Sec. IV-A</t>
  </si>
  <si>
    <t>The paper clearly motivates efficient pre-deployment vulnerability detection and proposes SCGraph-based approximate graph matching to improve detection quality and speed.</t>
  </si>
  <si>
    <t>PS079.pdf</t>
  </si>
  <si>
    <t>Vulnerability-pattern extraction, semantic contract graph generation, WL-kernel approximate matching, vulnerability libraries and detection thresholds are described.</t>
  </si>
  <si>
    <t>The workflow, threshold-selection procedure, Python implementation, datasets, hardware and real-world evaluation are specified in sufficient detail.</t>
  </si>
  <si>
    <t>Sec. V-A</t>
  </si>
  <si>
    <t>Experiments use ESC, SmartBugs curated/wild datasets and 30,000 crawled Ethereum contracts; an Intel i7 3.2GHz/32GB environment is reported.</t>
  </si>
  <si>
    <t>Accuracy, recall and precision are defined; detection rate and speed are compared against nine established analysis tools, with manual checking of positives.</t>
  </si>
  <si>
    <t>Tables/figures report detection quality, tool-comparison rates and average runtime; a real-world experiment audits the vulnerabilities found in 30,000 contracts.</t>
  </si>
  <si>
    <t>Secs. V-B–V-D</t>
  </si>
  <si>
    <t>The authors explicitly discuss benchmark-labeling errors, bypass risk and plans to improve SCGraph quality, normalization and vulnerability coverage.</t>
  </si>
  <si>
    <t>Claims are supported by benchmark comparisons plus a 30,000-contract real-world experiment, and weaknesses such as delegatecall false positives are openly reported.</t>
  </si>
  <si>
    <t>Secs. V-D–VI</t>
  </si>
  <si>
    <t>Implementation language, hardware, datasets, graph-generation and threshold procedures are documented, but no complete public study-specific source/data package is identified.</t>
  </si>
  <si>
    <t>The paper clearly targets the limitations of rule-based and coarse graph-based smart-contract vulnerability detection and proposes slice-level detection.</t>
  </si>
  <si>
    <t>PS080.pdf</t>
  </si>
  <si>
    <t>The sliced joint code graph combines AST, CFG and PDG, applies vulnerability-specific program slicing, and uses bidirectional GGNN plus hybrid attention pooling.</t>
  </si>
  <si>
    <t>Graph construction, slicing criteria, model architecture, implementation libraries and hyperparameters are described, with three explicit research-question experiments.</t>
  </si>
  <si>
    <t>The dataset combines SolidiFI, HuangGai, SmartBugs Curated/Wild and another manual dataset; sample sizes and Intel i5/GTX1060/16GB setup are reported.</t>
  </si>
  <si>
    <t>Sec. 5.2–5.3</t>
  </si>
  <si>
    <t>Accuracy, precision, recall and F1 are defined; the approach is compared with five traditional/learning tools and Peculiar/TMP, plus multiple ablations.</t>
  </si>
  <si>
    <t>Secs. 5.3–6</t>
  </si>
  <si>
    <t>Results are clearly tabulated for baseline comparison and ablations; the proposed model reaches 90.2% accuracy, 89.2% precision, 92.9% recall and 91.1% F1.</t>
  </si>
  <si>
    <t>A dedicated threats-to-validity section covers dataset subjectivity/injection bias, limited vulnerability types, imbalance, hyperparameters and manual slice-criteria risks.</t>
  </si>
  <si>
    <t>The evidence strongly supports benchmark detection performance, but operational developer use, deployment robustness and impact beyond the experimental datasets are not evaluated.</t>
  </si>
  <si>
    <t>Secs. 6–9</t>
  </si>
  <si>
    <t>Datasets, dependencies, libraries, environment and hyperparameters are well documented and some source datasets are public, but no complete study-specific replication package is identified.</t>
  </si>
  <si>
    <t>The paper clearly frames limited accuracy of existing smart-contract vulnerability detectors and targets reentrancy detection using contextual language models and transfer learning.</t>
  </si>
  <si>
    <t>PS081.pdf</t>
  </si>
  <si>
    <t>A custom Solidity tokenizer, DistilBERT masked-language-model pretraining and DistilBERT-MLP/LSTM fine-tuning architectures are described with equations.</t>
  </si>
  <si>
    <t>Pretraining/fine-tuning procedures, loss, optimizer, learning rate, dropout, batch size and train/test process are sufficiently specified.</t>
  </si>
  <si>
    <t>Secs. 3.3–4.1</t>
  </si>
  <si>
    <t>Pretraining uses 42,000 SmartBugs Wild and about 70,000 Slither contracts; fine-tuning sets and 7:3 splits are enumerated, with hardware/software setup reported.</t>
  </si>
  <si>
    <t>Accuracy, precision, recall and F1 are defined and the proposed models are compared with RSC/RCS LSTM, BiLSTM and BiLSTM-ATT baselines.</t>
  </si>
  <si>
    <t>Secs. 4.1–4.2</t>
  </si>
  <si>
    <t>Tables and figures report results on two test sets and baseline comparisons; DistilBERT-LSTM reaches 90.19% accuracy and 90.68% F1 on SmartBugs Wild.</t>
  </si>
  <si>
    <t>Sec. 4.2</t>
  </si>
  <si>
    <t>The conclusion acknowledges that evaluation is limited to reentrancy and proposes extension to other vulnerability types, but no dedicated threats-to-validity analysis is provided.</t>
  </si>
  <si>
    <t>The experiments support offline detection accuracy, but the paper's practical-application framing is broader than the dataset-based validation and no deployed auditing workflow is evaluated.</t>
  </si>
  <si>
    <t>Abstract; Secs. 4–5</t>
  </si>
  <si>
    <t>Datasets, architecture, software stack and training hyperparameters are documented, but no complete study-specific code/model replication package is identified.</t>
  </si>
  <si>
    <t>The study explicitly motivates verification of interacting smart contracts and defines the goal of an end-to-end correct-by-design development and deployment framework.</t>
  </si>
  <si>
    <t>PS082.pdf</t>
  </si>
  <si>
    <t>PDF pp. 1–2</t>
  </si>
  <si>
    <t>Solidity Deployment Diagrams, extended operational semantics, the global coordinator, model checking, code generation and deployment workflow are described in detail.</t>
  </si>
  <si>
    <t>PDF pp. 2–9</t>
  </si>
  <si>
    <t>The formal model, ASM/BIP transformations, CTL-property generation, verification loop and code-generation/deployment procedure are sufficiently specified for methodological reproduction.</t>
  </si>
  <si>
    <t>PDF pp. 2–10</t>
  </si>
  <si>
    <t>The evaluation reports 726 deployed Ethereum contracts, including 267 ERC20 and 459 ERC721 contracts, together with verification-state and timing analysis.</t>
  </si>
  <si>
    <t>PDF pp. 13–16</t>
  </si>
  <si>
    <t>Evaluation uses explicit EIP-derived temporal properties, pass/fail conformance and verification-time/reachable-state measurements appropriate to the formal-verification objectives.</t>
  </si>
  <si>
    <t>Results quantify EIP non-conformance (18% of ERC20 and 4% of ERC721 contracts) and report verification time against reachable states.</t>
  </si>
  <si>
    <t>PDF pp. 13–17</t>
  </si>
  <si>
    <t>The conclusion acknowledges that VeriSolid is presently limited to Solidity/EVM-compatible blockchains and identifies unsupported languages/hyper-properties as future extensions, but no dedicated threats-to-validity analysis is reported.</t>
  </si>
  <si>
    <t>PDF p. 17</t>
  </si>
  <si>
    <t>Practical claims are proportionate to the demonstrated automated design, verification, generation and deployment workflow and validation on currently deployed Ethereum contracts.</t>
  </si>
  <si>
    <t>The paper identifies an open-source web implementation and a public Figshare appendix containing additional specifications and supporting material.</t>
  </si>
  <si>
    <t>PDF pp. 2 and 18</t>
  </si>
  <si>
    <t>The paper clearly defines the bytecode-only vulnerability-detection problem caused by unavailable source code and states three empirical research questions.</t>
  </si>
  <si>
    <t>PS083.pdf</t>
  </si>
  <si>
    <t>PDF pp. 1–2, 6</t>
  </si>
  <si>
    <t>The source-code/bytecode graph encoders, teacher-student architecture, cross-modality mutual-learning loss and transfer losses are described in detail.</t>
  </si>
  <si>
    <t>PDF pp. 2–5</t>
  </si>
  <si>
    <t>Graph extraction, network architecture, optimization, grid-search parameters, train/test split and five-run averaging are explicitly documented.</t>
  </si>
  <si>
    <t>PDF pp. 3–6</t>
  </si>
  <si>
    <t>The released benchmark contains 514,880 functions from 42,910 contracts collected from Ethereum, GitHub and vulnerability-analysis sources, with manual labels and an 80/20 split.</t>
  </si>
  <si>
    <t>PDF p. 6 and Appendix B</t>
  </si>
  <si>
    <t>The study uses standard vulnerability-classification metrics, compares conventional and learning-based baselines, and performs component/ablation analyses for the research questions.</t>
  </si>
  <si>
    <t>PDF pp. 6–8</t>
  </si>
  <si>
    <t>Results consistently report accuracy/F1 improvements for four vulnerabilities and directly answer the research questions with tables and ablation findings.</t>
  </si>
  <si>
    <t>No substantive limitations or threats-to-validity section is provided; the conclusion focuses on contributions and extensibility.</t>
  </si>
  <si>
    <t>Full text; conclusion on PDF p. 8</t>
  </si>
  <si>
    <t>Claims are limited to improved bytecode vulnerability classification and are supported by a large labelled benchmark and repeated comparative experiments.</t>
  </si>
  <si>
    <t>The authors publicly release the implementation and labelled benchmark dataset on GitHub, with additional annotation/training details in the appendices.</t>
  </si>
  <si>
    <t>PDF pp. 2, 6 and 10</t>
  </si>
  <si>
    <t>The study clearly states limitations of existing source-code/bytecode vulnerability detectors and the objective of improving accuracy and scalability with heterogeneous graph learning.</t>
  </si>
  <si>
    <t>PS084.pdf</t>
  </si>
  <si>
    <t>Heterogeneous contract graph construction, customized meta-relations, HGT embeddings and contract/line-level classifiers are described in detail.</t>
  </si>
  <si>
    <t>PDF pp. 2–6</t>
  </si>
  <si>
    <t>The graph-processing pipeline, model training, confidence threshold, dataset curation and comparative design are explicitly specified.</t>
  </si>
  <si>
    <t>PDF pp. 4–7</t>
  </si>
  <si>
    <t>Evaluation combines SmartBugs Curated, SolidiFI-Benchmark and collected contracts; the authors report more than 55K collected contracts and verified labels for 423 buggy and 2,742 clean contracts.</t>
  </si>
  <si>
    <t>PDF pp. 1–2, 6–7</t>
  </si>
  <si>
    <t>F1-score is evaluated at contract and fine-grained line levels against strong learning-based and conventional-analysis baselines, with sensitivity to representation and data conditions examined.</t>
  </si>
  <si>
    <t>PDF pp. 7–10</t>
  </si>
  <si>
    <t>The paper reports statistically clear F1 improvements across source code and bytecode and provides interpretation/case analyses of successes and failures.</t>
  </si>
  <si>
    <t>PDF pp. 7–11</t>
  </si>
  <si>
    <t>The discussion explicitly addresses graph-representation limits, compiler/tool failures, label subjectivity, unlabelled data and the need to map bytecode detections back to source lines.</t>
  </si>
  <si>
    <t>PDF p. 11</t>
  </si>
  <si>
    <t>Practical claims are appropriately scoped to vulnerability detection; the paper discusses developer readability and usability constraints rather than overstating operational deployment.</t>
  </si>
  <si>
    <t>PDF pp. 10–11</t>
  </si>
  <si>
    <t>Datasets and graph-embedding models are publicly released in the MANDO-HGT repository, with processing and model details documented.</t>
  </si>
  <si>
    <t>PDF p. 6</t>
  </si>
  <si>
    <t>The paper clearly identifies three shortcomings in existing smart-contract vulnerability detection and defines the prompt-tuning objective for reentrancy and timestamp dependency.</t>
  </si>
  <si>
    <t>PS085.pdf</t>
  </si>
  <si>
    <t>CSCV slicing, CodeT5 representation, prompt templates, verbalizer and classification workflow are described in detail.</t>
  </si>
  <si>
    <t>The experimental pipeline, optimization strategy, model configuration, preprocessing and prompt-tuning procedure are sufficiently specified.</t>
  </si>
  <si>
    <t>Experiments use more than 200,000 SmartBugs Wild contracts for reentrancy and the ESC dataset with 40,932 contracts/307,396 functions for timestamp dependency.</t>
  </si>
  <si>
    <t>PDF pp. 2, 6–7</t>
  </si>
  <si>
    <t>Precision, recall and F1 are reported against state-of-the-art baselines, with slicing/prompt components and hyperparameters examined through additional experiments.</t>
  </si>
  <si>
    <t>PDF pp. 7–9</t>
  </si>
  <si>
    <t>PSCVFinder reports F1 scores of 93.83% and 93.49% and the comparative/ablation evidence directly supports the claimed improvements.</t>
  </si>
  <si>
    <t>A dedicated threats-to-validity section discusses hyperparameter uncertainty and external validity from evaluating only two vulnerability types.</t>
  </si>
  <si>
    <t>PDF p. 10</t>
  </si>
  <si>
    <t>The authors appropriately limit conclusions to the evaluated vulnerability-detection tasks and explicitly identify broader generalizability as future work.</t>
  </si>
  <si>
    <t>The study states that all source code and data are publicly available through a Zenodo record and reiterates source-code/data availability in the conclusion.</t>
  </si>
  <si>
    <t>PDF pp. 2 and 10</t>
  </si>
  <si>
    <t>The paper explicitly motivates accurate scalable vulnerability detection and identifies the lack of semantic/context modelling in prior deep-learning approaches.</t>
  </si>
  <si>
    <t>PS086.pdf</t>
  </si>
  <si>
    <t>PDF pp. 1–3</t>
  </si>
  <si>
    <t>The vulnerability-fragment extraction process and hybrid Bi-GRU/single-head/multi-head attention architecture are described in detail.</t>
  </si>
  <si>
    <t>PDF pp. 9–16</t>
  </si>
  <si>
    <t>Preprocessing, Word2Vec representation, model construction and implementation environment are sufficiently documented for the reported experiments.</t>
  </si>
  <si>
    <t>PDF pp. 16–18</t>
  </si>
  <si>
    <t>The two public datasets total 24,957 contracts; class distributions, training/testing counts and the hardware/software environment are explicitly reported.</t>
  </si>
  <si>
    <t>Accuracy, precision, recall and F1-style performance comparisons are reported for multiple deep-learning models and ten prior approaches across five vulnerabilities.</t>
  </si>
  <si>
    <t>PDF pp. 18–22</t>
  </si>
  <si>
    <t>Tables and figures report vulnerability-specific performance and show the hybrid-attention model outperforming the compared methods.</t>
  </si>
  <si>
    <t>The supplied paper does not provide a substantive study-specific limitations or threats-to-validity discussion.</t>
  </si>
  <si>
    <t>Full text</t>
  </si>
  <si>
    <t>The offline benchmark evidence supports improved detection performance, but claims about enhancing real smart-contract security are broader than the tested deployment context.</t>
  </si>
  <si>
    <t>PDF pp. 17–23</t>
  </si>
  <si>
    <t>Dataset sources, preprocessing, hardware, software framework and model settings are documented, but no complete public study-specific code/data replication package is identified.</t>
  </si>
  <si>
    <t>The paper clearly identifies the lack of Hyperledger Fabric-specific Node.js chaincode security scanners and motivates pre-deployment auditing.</t>
  </si>
  <si>
    <t>PS087.pdf</t>
  </si>
  <si>
    <t>UBF-ChaincodeScan architecture, validation/scanning phases, AST processing, report format and eight Fabric/Node.js vulnerability checks are described.</t>
  </si>
  <si>
    <t>The analysis concepts and command workflow are described, but rule specifications and an end-to-end reproducible evaluation protocol are incomplete.</t>
  </si>
  <si>
    <t>The technical evaluation shows secured and deliberately vulnerable chaincode examples, but no clearly defined labelled dataset, sample size or representative workload is reported.</t>
  </si>
  <si>
    <t>PDF pp. 5–6</t>
  </si>
  <si>
    <t>The comparison with njsscan and jshint is primarily a feature/vulnerability-coverage table rather than a precision/recall or statistically justified performance baseline.</t>
  </si>
  <si>
    <t>Illustrative screenshots demonstrate that seeded vulnerabilities are reported, but the evidence does not quantify detection accuracy or false-positive/false-negative behaviour.</t>
  </si>
  <si>
    <t>No formal limitations or threats-to-validity discussion is provided; the conclusion only notes that additional vulnerabilities and languages remain future work.</t>
  </si>
  <si>
    <t>PDF p. 7</t>
  </si>
  <si>
    <t>The tool is plausibly useful for Fabric developers, but practical effectiveness is inferred from limited technical demonstrations rather than representative industrial evaluation.</t>
  </si>
  <si>
    <t>PDF pp. 6–7</t>
  </si>
  <si>
    <t>Commands, architecture, rules and output format are documented, but no public UBF-ChaincodeScan source repository or evaluation dataset is identified.</t>
  </si>
  <si>
    <t>The study clearly states the objective of extending Oyente beyond its original seven vulnerability classes and motivates four additional detections.</t>
  </si>
  <si>
    <t>PS088.pdf</t>
  </si>
  <si>
    <t>Detection logic and algorithms are presented for bad randomness, access control, unchecked low-level calls and DoS with unbounded operations.</t>
  </si>
  <si>
    <t>PDF pp. 4–8</t>
  </si>
  <si>
    <t>The extension is implemented in Oyente and the vulnerability-specific opcode/CFG detection procedures are sufficiently described to understand the method.</t>
  </si>
  <si>
    <t>The paper states that public Ethereum contracts were collected and that the method was tested on 2,676 contracts, but sampling, composition and ground-truth construction are only lightly described.</t>
  </si>
  <si>
    <t>PDF pp. 1 and 8</t>
  </si>
  <si>
    <t>The study reports detection counts and recall for selected cases, but comparative metrics and baseline design are limited and do not comprehensively assess false positives/negatives.</t>
  </si>
  <si>
    <t>PDF pp. 8–9</t>
  </si>
  <si>
    <t>Figures and tables report detections for the four added vulnerability classes and demonstrate that the enhanced Oyente flags cases missed by the original tool.</t>
  </si>
  <si>
    <t>No substantive limitations or threats-to-validity discussion is provided for the evaluation.</t>
  </si>
  <si>
    <t>The enhancement is practically plausible, but broad claims about improving blockchain application security exceed the limited comparative validation reported.</t>
  </si>
  <si>
    <t>PDF pp. 8–10</t>
  </si>
  <si>
    <t>Algorithms and evaluation examples are documented, but no confirmed public repository for the enhanced Oyente implementation or complete evaluation dataset is provided.</t>
  </si>
  <si>
    <t>PDF pp. 4–10</t>
  </si>
  <si>
    <t>The study clearly motivates the lack of authentic and diverse vulnerability datasets and defines SGDL as a vulnerability-generation/injection solution.</t>
  </si>
  <si>
    <t>PS089.pdf</t>
  </si>
  <si>
    <t>Static feature extraction, vulnerability-type matching, GAN fragment generation and AST-guided injection for seven vulnerability classes are described in detail.</t>
  </si>
  <si>
    <t>PDF pp. 2–13</t>
  </si>
  <si>
    <t>Data collection/labeling, model settings, training/test split, generation process and activation-validation procedures are explicitly documented.</t>
  </si>
  <si>
    <t>PDF pp. 7, 13–19</t>
  </si>
  <si>
    <t>The source dataset is collected from GitHub/Gitter and Ethereum, labelled with multiple tools plus manual verification; experiment settings and generated samples are reported.</t>
  </si>
  <si>
    <t>PDF pp. 7 and 13–19</t>
  </si>
  <si>
    <t>The evaluation measures diversity, authenticity, injection effectiveness, detection-tool weaknesses and runtime activation, comparing SGDL with SolidiFI and ten static-analysis tools.</t>
  </si>
  <si>
    <t>PDF pp. 13–19</t>
  </si>
  <si>
    <t>Quantitative results show substantial diversity/authenticity improvements and high vulnerability activation rates, supporting the stated contribution.</t>
  </si>
  <si>
    <t>PDF pp. 14–20</t>
  </si>
  <si>
    <t>A dedicated threat-to-validity section discusses restricted extensibility, subjective data construction and other internal/external validity concerns.</t>
  </si>
  <si>
    <t>PDF pp. 19–20</t>
  </si>
  <si>
    <t>Claims about using generated vulnerabilities to evaluate detector capability are supported by comparative tool testing and explicit activation experiments with expert manual verification.</t>
  </si>
  <si>
    <t>PDF pp. 16–20</t>
  </si>
  <si>
    <t>The SGDL source code is publicly released on GitHub and the paper provides detailed model/configuration information; underlying data availability is also explicitly documented.</t>
  </si>
  <si>
    <t>PDF pp. 13 and 22</t>
  </si>
  <si>
    <t>The paper clearly motivates contract-level analysis to capture cross-function and cross-contract vulnerability patterns missed by function-level approaches.</t>
  </si>
  <si>
    <t>PS090.pdf</t>
  </si>
  <si>
    <t>CLHG construction, heterogeneous edge/node types, meta-path attention and graph-level classification are described in detail.</t>
  </si>
  <si>
    <t>Graph construction, encoding, attention layers, training and experimental procedures are sufficiently described for methodological reproduction.</t>
  </si>
  <si>
    <t>PDF pp. 3–7</t>
  </si>
  <si>
    <t>The Ethereum dataset contains thirty vulnerability types and the paper describes training/testing distributions and additional imbalance scenarios.</t>
  </si>
  <si>
    <t>Precision, recall and F1 are evaluated against traditional tools and learning-based baselines across thirty vulnerabilities, with imbalance and ablation experiments.</t>
  </si>
  <si>
    <t>PDF pp. 6–9</t>
  </si>
  <si>
    <t>CL-HGAN reports consistently higher average performance than the baselines, including F1 above 85% under varied class distributions, with supporting ablation results.</t>
  </si>
  <si>
    <t>The paper explicitly discusses extendibility and limitations, including graph scale, data imbalance and representation limitations, and proposes concrete future improvements.</t>
  </si>
  <si>
    <t>PDF p. 9</t>
  </si>
  <si>
    <t>Claims are appropriately focused on contract-level vulnerability detection and robustness under tested distributions rather than operational deployment.</t>
  </si>
  <si>
    <t>Dataset construction, architecture and experimental configuration are documented, but no complete public CL-HGAN implementation/replication package is identified in the supplied paper.</t>
  </si>
  <si>
    <t>The paper clearly states the high false-positive/false-negative problem of outdated vulnerability rules and defines ContractSentry's composite-rule objective.</t>
  </si>
  <si>
    <t>PS091.pdf</t>
  </si>
  <si>
    <t>The source-level intermediate representations, composite rules and seven detection algorithms for three vulnerability classes are described in depth.</t>
  </si>
  <si>
    <t>PDF pp. 7–22</t>
  </si>
  <si>
    <t>Contract preprocessing, intermediate representation, rule application and evaluation procedures are systematically specified.</t>
  </si>
  <si>
    <t>PDF pp. 7–23</t>
  </si>
  <si>
    <t>The study evaluates a labelled benchmark and a 15,773-contract Etherscan dataset; dataset processing and manual reliability checks are described.</t>
  </si>
  <si>
    <t>PDF pp. 22–28</t>
  </si>
  <si>
    <t>Precision, recall and F1 are compared against Slither, Oyente, Securify, Sailfish and Smartian for relevant vulnerability classes.</t>
  </si>
  <si>
    <t>PDF pp. 22–26</t>
  </si>
  <si>
    <t>Detailed tables and case analyses explain true/false positives and negatives and support the reported superiority of ContractSentry.</t>
  </si>
  <si>
    <t>PDF pp. 23–28</t>
  </si>
  <si>
    <t>The paper explicitly discusses false-positive/false-negative causes and acknowledges static-analysis limitations for runtime state and cross-contract invocations.</t>
  </si>
  <si>
    <t>PDF pp. 25–29</t>
  </si>
  <si>
    <t>Claims are supported by both controlled comparisons and a large real-world Etherscan analysis, while unresolved cross-contract limitations are explicitly qualified.</t>
  </si>
  <si>
    <t>PDF pp. 26–29</t>
  </si>
  <si>
    <t>Implementation details and datasets are described, but study datasets are available only from the corresponding author on reasonable request and no public tool repository is identified.</t>
  </si>
  <si>
    <t>PDF p. 29</t>
  </si>
  <si>
    <t>The paper clearly identifies insufficient exploration of deep smart-contract states by existing fuzzers and defines CSAFuzzer's static-analysis-guided fuzzing objective.</t>
  </si>
  <si>
    <t>PS092.pdf</t>
  </si>
  <si>
    <t>PDF pp. 1–4</t>
  </si>
  <si>
    <t>Function-sequence extraction, coverage-guided genetic test generation and vulnerability-specific test oracles are described in detail.</t>
  </si>
  <si>
    <t>PDF pp. 7–15</t>
  </si>
  <si>
    <t>The implementation environment, baseline configuration, runtime limits, evaluation metrics and manual labelling procedure are explicitly specified.</t>
  </si>
  <si>
    <t>PDF pp. 15–17</t>
  </si>
  <si>
    <t>Dataset 1 contains 12,351 compilable real-world contracts for coverage evaluation; Dataset 2 contains 505 Etherscan contracts with comprehensive manual vulnerability labels.</t>
  </si>
  <si>
    <t>PDF pp. 16–17</t>
  </si>
  <si>
    <t>Code coverage, accuracy and true-/false-positive results are compared with symbolic-execution, static-analysis and fuzzing baselines under stated configurations.</t>
  </si>
  <si>
    <t>PDF pp. 15–20</t>
  </si>
  <si>
    <t>The results report substantial coverage and accuracy improvements and include detailed analyses of false-positive/false-negative cases.</t>
  </si>
  <si>
    <t>PDF pp. 17–21</t>
  </si>
  <si>
    <t>The Discussion explicitly addresses limitations of test oracles and shows concrete false-positive scenarios caused by business logic and blockchain state semantics.</t>
  </si>
  <si>
    <t>PDF pp. 21–22</t>
  </si>
  <si>
    <t>Practical claims are proportionate to the large real-world experiments, and the authors explicitly state where real business logic limits automatic vulnerability judgments.</t>
  </si>
  <si>
    <t>Software/environment settings and source datasets are documented, but generated/analyzed datasets are available only on request and no public CSAFuzzer replication package is confirmed.</t>
  </si>
  <si>
    <t>PDF pp. 15–17 and 25</t>
  </si>
  <si>
    <t>The study clearly identifies inefficient exploration of both smart-contract code and state spaces and defines stateful directed fuzzing as the target solution.</t>
  </si>
  <si>
    <t>PS093.pdf</t>
  </si>
  <si>
    <t>VULSEYE's code-target identification, backward state analysis, state targets, integrated fitness metric and fuzzing loop are described in detail.</t>
  </si>
  <si>
    <t>The implementation, target algorithms, fitness parameters, instrumented execution environment and experimental protocol are explicitly reported.</t>
  </si>
  <si>
    <t>The study uses crafted target-reaching benchmarks, ground-truth vulnerability datasets, 42,738 real-world contracts and top-50 Ethereum DApps, with environment and filtering procedures reported.</t>
  </si>
  <si>
    <t>PDF pp. 9–12</t>
  </si>
  <si>
    <t>Target-reaching speed, vulnerability detections, true-positive/false-positive rates and code coverage are compared with multiple SOTA fuzzers and static-analysis tools.</t>
  </si>
  <si>
    <t>Results show up to 8.4× faster target reaching, up to 9.7× more real-world detections, 4,845 vulnerabilities and 11 previously unknown DApp vulnerabilities.</t>
  </si>
  <si>
    <t>A threats-to-validity section and separate discussion explicitly address seed sensitivity, manual vulnerability typing, symbolic-address/state limitations and oracle limitations.</t>
  </si>
  <si>
    <t>PDF pp. 12–13</t>
  </si>
  <si>
    <t>The large-scale real-world evaluation and previously unknown DApp findings strongly support practical relevance while limitations remain explicitly qualified.</t>
  </si>
  <si>
    <t>PDF pp. 11–13</t>
  </si>
  <si>
    <t>The VULSEYE implementation and datasets are publicly available through the authors' GitHub repository.</t>
  </si>
  <si>
    <t>PDF p. 2</t>
  </si>
  <si>
    <t>The paper clearly motivates access-control analysis of non-compilable smart-contract repositories and defines the LLM-plus-static-analysis objective.</t>
  </si>
  <si>
    <t>PS094.pdf</t>
  </si>
  <si>
    <t>Sensitive-function extraction, LLM snippet completion/self-reflection, FCG/CFG construction and access-control analysis are described in detail.</t>
  </si>
  <si>
    <t>The prompt strategy, completion validation, static-analysis stages, datasets and baseline procedures are sufficiently specified for methodological reproduction.</t>
  </si>
  <si>
    <t>Evaluation uses a 15-CVE dataset, 5,000 recent verified on-chain contracts and 83 DAppSCAN repositories containing 3,092 contracts, with sampling and complexity characteristics documented.</t>
  </si>
  <si>
    <t>PDF pp. 7–9, 12</t>
  </si>
  <si>
    <t>Recall/precision and stage-specific metrics are compared with multiple program-analysis tools and LLM baselines across three evaluation scenarios.</t>
  </si>
  <si>
    <t>PDF pp. 8–11</t>
  </si>
  <si>
    <t>TRACE detects 14/15 CVEs, reaches 89.2% precision on recent on-chain contracts and 87.0% precision on repository data, with detailed failure analyses.</t>
  </si>
  <si>
    <t>PDF pp. 9–11</t>
  </si>
  <si>
    <t>A dedicated threats-to-validity section discusses LLM time/computation costs, extensibility, hallucination/data-leakage risks and mitigation procedures.</t>
  </si>
  <si>
    <t>PDF p. 12</t>
  </si>
  <si>
    <t>Practical claims are supported by recent deployed contracts and real non-compilable repositories; the paper reports failure modes and compilation constraints rather than overstating coverage.</t>
  </si>
  <si>
    <t>All source code and data are publicly released through the TRACE GitHub repository.</t>
  </si>
  <si>
    <t>Reviewer 2 Independent Quality-Assessment Form — PS001–PS094 (Complete Before Reconciliation)</t>
  </si>
  <si>
    <t>Eligibility decision</t>
  </si>
  <si>
    <t>Reviewer 2 notes</t>
  </si>
  <si>
    <t>Reviewer-1 evidence</t>
  </si>
  <si>
    <t>Reviewer 1 and Reviewer 2 coded independently before reconciliation. Agreement and consensus not back-filled from a single coding pass.</t>
  </si>
  <si>
    <t xml:space="preserve">Reviewer-1 evidence-based draft completed for all currently scorable studies through PS094. PS014 is excluded as secondary evidence; PS015 remains eligibility-adjudication pending; PS031 requires replacement with the final peer-reviewed version; PS033 requires a complete full text; PS039 was reconciled from the uploaded file named PS040.pdf; the actual PS040 (GitHub) full text remains missing; and PS064 is not locked because the supplied file is an explicitly unreviewed preprint even though the master metadata records a peer-reviewed 2026 Journal of Software Evolution and Process version (DOI 10.1002/smr.70111). The studies PS082–PS094 were assessed from the supplied peer-reviewed full texts. </t>
  </si>
  <si>
    <t>R2 score = 1.0. The recorded criterion evidence supports full satisfaction: Abstract/introduction identify the lack of a systematic comparison framework and ask how private blockchains handle data-processing workloads and how platforms differ.</t>
  </si>
  <si>
    <t>Consensus by agreement: R1 and R2 both assign 1.0 on the basis of the recorded criterion evidence.</t>
  </si>
  <si>
    <t>R2 score = 1.0. The recorded criterion evidence supports full satisfaction: BLOCKBENCH architecture, connector interface, three software-stack layers, macrobenchmarks and microbenchmarks are described in detail.</t>
  </si>
  <si>
    <t>R2 score = 1.0. The recorded criterion evidence supports full satisfaction: The study defines repeatable benchmark workloads and evaluates Ethereum, Parity and Hyperledger through a consistent framework.</t>
  </si>
  <si>
    <t>R2 score = 1.0. The recorded criterion evidence supports full satisfaction: YCSB, SmallBank, real Ethereum contracts and layer-specific workloads are documented together with experimental configurations.</t>
  </si>
  <si>
    <t>R2 score = 1.0. The recorded criterion evidence supports full satisfaction: Throughput, latency, scalability and fault tolerance are defined; comparisons include the three blockchains and H-Store.</t>
  </si>
  <si>
    <t>R2 score = 1.0. The recorded criterion evidence supports full satisfaction: Figures and analyses link measured results to consensus, execution and data-layer bottlenecks.</t>
  </si>
  <si>
    <t>R2 score = 0.5. The recorded evidence supports only partial satisfaction. Scope/version constraints and future re-evaluation are acknowledged, but there is no dedicated threats-to-validity analysis. The stated limitation/coverage gap prevents a full score.</t>
  </si>
  <si>
    <t>Consensus by agreement: R1 and R2 both assign 0.5 on the basis of the recorded criterion evidence.</t>
  </si>
  <si>
    <t>R2 score = 1.0. The recorded criterion evidence supports full satisfaction: Conclusions are framed around the tested private blockchains and database-style workloads rather than claiming production readiness.</t>
  </si>
  <si>
    <t>R2 score = 1.0. The recorded criterion evidence supports full satisfaction: BLOCKBENCH is explicitly released for public use and the GitHub repository is cited.</t>
  </si>
  <si>
    <t>R2 score = 1.0. The recorded criterion evidence supports full satisfaction: The abstract and introduction clearly motivate permissioned-blockchain limitations and the need for a modular execute-order-validate architecture.</t>
  </si>
  <si>
    <t>R2 score = 1.0. The recorded criterion evidence supports full satisfaction: Fabric architecture, membership, ordering, endorsement, validation, ledger, gossip, chaincode and configuration are described extensively.</t>
  </si>
  <si>
    <t>R2 score = 1.0. The recorded criterion evidence supports full satisfaction: The paper implements Fabcoin and evaluates block size, CPU, storage, LAN/WAN scaling and gossip effects with clearly defined experiments.</t>
  </si>
  <si>
    <t>R2 score = 1.0. The recorded criterion evidence supports full satisfaction: Evaluation describes deployment configurations, vCPU counts, block sizes, peer counts, data centers and latency stages.</t>
  </si>
  <si>
    <t>R2 score = 0.5. The recorded evidence supports only partial satisfaction. Performance metrics are detailed, but the authors acknowledge the absence of a standard blockchain benchmark and rely mainly on the Fabcoin workload rather than a broad external baseline. The stated limitation/coverage gap prevents a full score.</t>
  </si>
  <si>
    <t>R2 score = 1.0. The recorded criterion evidence supports full satisfaction: Throughput and latency results are reported by experiment, including stage-level latency statistics and scalability results.</t>
  </si>
  <si>
    <t>R2 score = 0.5. The recorded evidence supports only partial satisfaction. The paper acknowledges evaluation/configuration limitations and lists substantial future work, but provides no formal threats-to-validity section. The stated limitation/coverage gap prevents a full score.</t>
  </si>
  <si>
    <t>R2 score = 1.0. The recorded criterion evidence supports full satisfaction: Measured performance is complemented by concrete production and proof-of-concept use cases, and claims are linked to the demonstrated Fabric architecture.</t>
  </si>
  <si>
    <t>R2 score = 1.0. The recorded criterion evidence supports full satisfaction: Fabric is an open-source Hyperledger project; the paper cites the public GitHub repository and provides detailed implementation information.</t>
  </si>
  <si>
    <t>R2 score = 1.0. The recorded criterion evidence supports full satisfaction: The paper clearly states that permissioned-blockchain throughput is inadequate and sets the goal of re-architecting Fabric beyond consensus bottlenecks.</t>
  </si>
  <si>
    <t>R2 score = 1.0. The recorded criterion evidence supports full satisfaction: The proposed changes to ordering, validation, caching, in-memory state and role separation are described at implementation level.</t>
  </si>
  <si>
    <t>R2 score = 1.0. The recorded criterion evidence supports full satisfaction: Improvements are added stepwise to Fabric 1.2 and evaluated against the base system under controlled configurations.</t>
  </si>
  <si>
    <t>R2 score = 1.0. The recorded criterion evidence supports full satisfaction: The evaluation reports 15 local servers, CPU/RAM/network characteristics, Fabric configuration and transaction-validity assumptions.</t>
  </si>
  <si>
    <t>R2 score = 1.0. The recorded criterion evidence supports full satisfaction: Base Fabric is the explicit comparator; throughput and latency are measured as each optimization is introduced.</t>
  </si>
  <si>
    <t>R2 score = 1.0. The recorded criterion evidence supports full satisfaction: Results quantify the incremental performance effect of the optimizations and support the reported near-20,000 TPS outcome.</t>
  </si>
  <si>
    <t>R2 score = 0.5. The recorded evidence supports only partial satisfaction. The evaluation discloses constraints such as testing valid non-conflicting transactions and identifies out-of-scope issues/future work, but no dedicated validity section is provided. The stated limitation/coverage gap prevents a full score.</t>
  </si>
  <si>
    <t>R2 score = 1.0. The recorded criterion evidence supports full satisfaction: Claims are limited to re-engineering Fabric under the evaluated conditions and do not claim production deployment evidence.</t>
  </si>
  <si>
    <t>R2 score = 0.5. The recorded evidence supports only partial satisfaction. Implementation and configuration changes are described in detail, but the paper does not identify a dedicated public FastFabric artifact package. The stated limitation/coverage gap prevents a full score.</t>
  </si>
  <si>
    <t>R2 score = 1.0. The recorded criterion evidence supports full satisfaction: The paper clearly motivates IoT blockchain scalability/security problems and defines the objective of secure self-organized sharding.</t>
  </si>
  <si>
    <t>R2 score = 1.0. The recorded criterion evidence supports full satisfaction: System architecture, reputation model, consensus method, coalition game and shard-formation algorithm are described with formal definitions and proofs.</t>
  </si>
  <si>
    <t>R2 score = 1.0. The recorded criterion evidence supports full satisfaction: Analytical propositions are followed by numerical verification using an explicitly described OPNET simulation model.</t>
  </si>
  <si>
    <t>R2 score = 1.0. The recorded criterion evidence supports full satisfaction: The OPNET/LTE-A MEC topology, bandwidth, base stations, node behavior and other simulation parameters are specified.</t>
  </si>
  <si>
    <t>R2 score = 1.0. The recorded criterion evidence supports full satisfaction: Security, throughput and block delay are evaluated against domain-based sharding, OmniLedger and reputation-based blockchain approaches.</t>
  </si>
  <si>
    <t>R2 score = 1.0. The recorded criterion evidence supports full satisfaction: Simulation results are interpreted against the analytical security and throughput bounds and compared across algorithms.</t>
  </si>
  <si>
    <t>R2 score = 0.5. The recorded evidence supports only partial satisfaction. Model assumptions and security bounds are explicit, but the paper does not provide a dedicated discussion of study limitations or external-validity threats. The stated limitation/coverage gap prevents a full score.</t>
  </si>
  <si>
    <t>R2 score = 0.5. The recorded evidence supports only partial satisfaction. IoT applicability is plausible, but evidence is analytical and simulation-based rather than an implemented operational blockchain deployment. The stated limitation/coverage gap prevents a full score.</t>
  </si>
  <si>
    <t>R2 score = 0.5. The recorded evidence supports only partial satisfaction. Supplementary mathematical material and detailed simulation settings are provided, but no study-specific implementation/data repository is identified. The stated limitation/coverage gap prevents a full score.</t>
  </si>
  <si>
    <t>R2 score = 1.0. The recorded criterion evidence supports full satisfaction: The study clearly identifies throughput, delay, supervision and trust problems in consortium-blockchain consensus.</t>
  </si>
  <si>
    <t>R2 score = 1.0. The recorded criterion evidence supports full satisfaction: Node roles, dynamic trust computation and the consensus process are defined through equations and algorithms.</t>
  </si>
  <si>
    <t>R2 score = 1.0. The recorded criterion evidence supports full satisfaction: The proposed mechanism is implemented in a consortium-blockchain experiment and compared under controlled parameter settings.</t>
  </si>
  <si>
    <t>R2 score = 1.0. The recorded criterion evidence supports full satisfaction: CPU, storage, memory, OS, node counts, Ganache setup, transaction amounts, block size, repetitions and fault nodes are reported.</t>
  </si>
  <si>
    <t>R2 score = 1.0. The recorded criterion evidence supports full satisfaction: Delay, throughput, fault-tolerance ratio and CPU-consumption ratio are defined and compared with established consensus mechanisms.</t>
  </si>
  <si>
    <t>R2 score = 1.0. The recorded criterion evidence supports full satisfaction: Experimental figures and comparisons support the reported improvements in throughput, delay, CPU usage and fault tolerance.</t>
  </si>
  <si>
    <t>R2 score = 0.5. The recorded evidence supports only partial satisfaction. Future work explicitly identifies untested scalability/vulnerability properties and additional blockchain-quality properties; no formal threats section is present. The stated limitation/coverage gap prevents a full score.</t>
  </si>
  <si>
    <t>R2 score = 0.5. The recorded evidence supports only partial satisfaction. The authors report planned collaboration with an automotive company, but current evidence relies on Ganache and simulated transactions rather than operational deployment. The stated limitation/coverage gap prevents a full score.</t>
  </si>
  <si>
    <t>R2 score = 0.5. The recorded evidence supports only partial satisfaction. Algorithms, parameters and supplementary material are provided, but no public study-specific source-code/data artifact is identified. The stated limitation/coverage gap prevents a full score.</t>
  </si>
  <si>
    <t>R2 score = 1.0. The recorded criterion evidence supports full satisfaction: The paper clearly identifies smart-contract serial execution as a performance bottleneck in permissioned blockchains and motivates an SGX-based concurrent framework.</t>
  </si>
  <si>
    <t>R2 score = 1.0. The recorded criterion evidence supports full satisfaction: The two-phase SGX architecture, pre-execution, compact read/write sets and Merkle Forest are described with algorithms and diagrams.</t>
  </si>
  <si>
    <t>R2 score = 1.0. The recorded criterion evidence supports full satisfaction: A prototype integrated with BFT-SMaRt is evaluated with controlled workload and parameter variations.</t>
  </si>
  <si>
    <t>R2 score = 1.0. The recorded criterion evidence supports full satisfaction: The four-VM cluster, CPU/memory, OS, SGX SDK, enclave size, languages, SmallBank workload, 1M customers, warm-up and 10-run averaging are reported.</t>
  </si>
  <si>
    <t>R2 score = 1.0. The recorded criterion evidence supports full satisfaction: Throughput and latency are evaluated against serial and alternative concurrent execution configurations while varying contracts, transactions and threads.</t>
  </si>
  <si>
    <t>R2 score = 1.0. The recorded criterion evidence supports full satisfaction: Figures report throughput/latency trends and support the claimed parallel-execution improvements.</t>
  </si>
  <si>
    <t>R2 score = 0.5. The recorded evidence supports only partial satisfaction. The paper discloses SGX EPC constraints and that experiments use SGX debug simulation mode, but does not systematically discuss resulting validity limitations. The stated limitation/coverage gap prevents a full score.</t>
  </si>
  <si>
    <t>R2 score = 0.5. The recorded evidence supports only partial satisfaction. Evidence comes from a BFT-SMaRt prototype and benchmark workload in SGX simulation mode rather than real SGX/production deployment. The stated limitation/coverage gap prevents a full score.</t>
  </si>
  <si>
    <t>R2 score = 0.5. The recorded evidence supports only partial satisfaction. Implementation languages, SDK/version and open-source dependencies are documented, but no study-specific public artifact is cited. The stated limitation/coverage gap prevents a full score.</t>
  </si>
  <si>
    <t>R2 score = 1.0. The recorded criterion evidence supports full satisfaction: The study clearly motivates single-point-of-failure and privacy/resource problems in federated learning and defines BLADE-FL.</t>
  </si>
  <si>
    <t>R2 score = 1.0. The recorded criterion evidence supports full satisfaction: BLADE-FL architecture, loss-bound analysis, resource allocation and lazy-client model are mathematically specified.</t>
  </si>
  <si>
    <t>R2 score = 1.0. The recorded criterion evidence supports full satisfaction: Analytical results are validated empirically under multiple datasets and parameter settings.</t>
  </si>
  <si>
    <t>R2 score = 1.0. The recorded criterion evidence supports full satisfaction: Four datasets, non-IID settings, model choices and experimental parameters are documented.</t>
  </si>
  <si>
    <t>R2 score = 1.0. The recorded criterion evidence supports full satisfaction: Loss, accuracy and mining overhead are evaluated and compared with CA and LearningChain configurations.</t>
  </si>
  <si>
    <t>R2 score = 1.0. The recorded criterion evidence supports full satisfaction: Experiments are explicitly compared with analytical bounds, including reported gaps and accuracy/mining-overhead results.</t>
  </si>
  <si>
    <t>R2 score = 0.5. The recorded evidence supports only partial satisfaction. The convexity assumption, lazy-client challenge and several unresolved issues are acknowledged in conclusion/future work, but no dedicated threats section is provided. The stated limitation/coverage gap prevents a full score.</t>
  </si>
  <si>
    <t>R2 score = 0.5. The recorded evidence supports only partial satisfaction. The framework is evaluated on standard ML datasets and analytical blockchain timing/resource models rather than a deployed blockchain-FL system. The stated limitation/coverage gap prevents a full score.</t>
  </si>
  <si>
    <t>R2 score = 0.5. The recorded evidence supports only partial satisfaction. Public standard datasets and detailed equations/settings support partial reproducibility, but no study-specific code/artifact is identified. The stated limitation/coverage gap prevents a full score.</t>
  </si>
  <si>
    <t>R2 score = 1.0. The recorded criterion evidence supports full satisfaction: The introduction enumerates concrete shortcomings of existing sharding systems and defines the objectives of the FS protocol.</t>
  </si>
  <si>
    <t>R2 score = 1.0. The recorded criterion evidence supports full satisfaction: CSBFT, parallel leaders, view change, reconfiguration and formal security properties are described in detail.</t>
  </si>
  <si>
    <t>R2 score = 1.0. The recorded criterion evidence supports full satisfaction: The protocol is evaluated through formal proofs, complexity analysis and implementation-oriented simulation against Omniledger.</t>
  </si>
  <si>
    <t>R2 score = 1.0. The recorded criterion evidence supports full satisfaction: CPU, network link, per-node bandwidth/latency, transaction size, shard counts and block size are explicitly reported.</t>
  </si>
  <si>
    <t>R2 score = 1.0. The recorded criterion evidence supports full satisfaction: Throughput and latency are evaluated under varying node/shard/span/block-size settings and directly compared with Omniledger.</t>
  </si>
  <si>
    <t>R2 score = 1.0. The recorded criterion evidence supports full satisfaction: Results consistently connect parameter changes to throughput/latency and support the reported parallelism improvement.</t>
  </si>
  <si>
    <t>R2 score = 0.5. The recorded evidence supports only partial satisfaction. Adversary/network assumptions and protocol scope are explicit, but there is no dedicated empirical-validity or limitations discussion. The stated limitation/coverage gap prevents a full score.</t>
  </si>
  <si>
    <t>R2 score = 0.5. The recorded evidence supports only partial satisfaction. Claims of scalability are supported by formal and simulated evidence, but there is no relevant-environment or operational deployment. The stated limitation/coverage gap prevents a full score.</t>
  </si>
  <si>
    <t>R2 score = 0.5. The recorded evidence supports only partial satisfaction. Supplementary material and detailed protocol/simulation parameters are available, but no public implementation repository is identified. The stated limitation/coverage gap prevents a full score.</t>
  </si>
  <si>
    <t>R2 score = 1.0. The recorded criterion evidence supports full satisfaction: The paper explicitly frames the simultaneous privacy-and-scalability problem for permissioned blockchain and states the HyperMaze objective.</t>
  </si>
  <si>
    <t>R2 score = 1.0. The recorded criterion evidence supports full satisfaction: Hierarchical architecture, dual-balance model, 2PXT protocol, zero-knowledge circuits and security model are fully described.</t>
  </si>
  <si>
    <t>R2 score = 1.0. The recorded criterion evidence supports full satisfaction: A formal UC security proof is combined with an implemented Ethereum-derived prototype and systematic experiments.</t>
  </si>
  <si>
    <t>R2 score = 1.0. The recorded criterion evidence supports full satisfaction: Implementation libraries, cryptographic instantiations, hardware, OS, topology variations, node counts and parameter ranges are reported.</t>
  </si>
  <si>
    <t>R2 score = 1.0. The recorded criterion evidence supports full satisfaction: Proof/key costs, throughput and confirmation latency are measured and compared with HIBEChain and relevant privacy approaches.</t>
  </si>
  <si>
    <t>R2 score = 1.0. The recorded criterion evidence supports full satisfaction: Figures and summaries report how hierarchy, threshold, branch number and Merkle depth affect performance.</t>
  </si>
  <si>
    <t>R2 score = 0.5. The recorded evidence supports only partial satisfaction. Configuration trade-offs and design constraints are discussed, but no dedicated threats-to-validity section is provided. The stated limitation/coverage gap prevents a full score.</t>
  </si>
  <si>
    <t>R2 score = 0.5. The recorded evidence supports only partial satisfaction. The prototype is large-scale and technically realistic, but claims about adapting to IoT scenarios remain pre-operational. The stated limitation/coverage gap prevents a full score.</t>
  </si>
  <si>
    <t>R2 score = 0.5. The recorded evidence supports only partial satisfaction. Implementation details are extensive, but the paper does not identify a public HyperMaze code/data repository. The stated limitation/coverage gap prevents a full score.</t>
  </si>
  <si>
    <t>R2 score = 1.0. The recorded criterion evidence supports full satisfaction: The paper clearly identifies trust-evaluation and scalable-consensus problems in vehicular networks and defines VT-chain.</t>
  </si>
  <si>
    <t>R2 score = 1.0. The recorded criterion evidence supports full satisfaction: VT-Eva, TEE-secured computation, multi-shard architecture and HierBFT are specified with algorithms and formal properties.</t>
  </si>
  <si>
    <t>R2 score = 1.0. The recorded criterion evidence supports full satisfaction: The proposed trust and consensus mechanisms are implemented and evaluated on local and cloud testbeds.</t>
  </si>
  <si>
    <t>R2 score = 1.0. The recorded criterion evidence supports full satisfaction: Local/cloud server configurations, SGX use, message/client variations and consensus-node configurations are reported.</t>
  </si>
  <si>
    <t>R2 score = 1.0. The recorded criterion evidence supports full satisfaction: Latency, throughput, resource use and scalability are measured with relevant BFT comparisons and parameter variation.</t>
  </si>
  <si>
    <t>R2 score = 1.0. The recorded criterion evidence supports full satisfaction: Measured testbed results are presented and linked to the trust-evaluation and hierarchical-consensus design.</t>
  </si>
  <si>
    <t>R2 score = 0.5. The recorded evidence supports only partial satisfaction. The conclusion explicitly identifies vehicle mobility and sharding-configuration optimization as unresolved challenges; no formal threats section is present. The stated limitation/coverage gap prevents a full score.</t>
  </si>
  <si>
    <t>R2 score = 1.0. The recorded criterion evidence supports full satisfaction: The paper includes a deployment discussion and real local/cloud testbeds, while still presenting mobility as future work; applicability claims are proportionate.</t>
  </si>
  <si>
    <t>R2 score = 0.5. The recorded evidence supports only partial satisfaction. Algorithms, architecture and testbed details are documented, but no study-specific public source-code/data package is identified. The stated limitation/coverage gap prevents a full score.</t>
  </si>
  <si>
    <t>R2 score = 1.0. The recorded criterion evidence supports full satisfaction: The paper clearly identifies cross-shard 2PC/BFT bottlenecks and defines P-2PC and Cherubim as the proposed solution.</t>
  </si>
  <si>
    <t>R2 score = 1.0. The recorded criterion evidence supports full satisfaction: The pipelined 2PC, PL-BFT, batch processing and aggregatable multi-signature mechanisms are specified in detail.</t>
  </si>
  <si>
    <t>R2 score = 1.0. The recorded criterion evidence supports full satisfaction: The protocol is assessed through security/complexity analysis and parameterized implementation-oriented simulation.</t>
  </si>
  <si>
    <t>R2 score = 1.0. The recorded criterion evidence supports full satisfaction: Simulation hardware, memory, network bandwidth, message delay, hash function, shard sizes and batch sizes are reported.</t>
  </si>
  <si>
    <t>R2 score = 1.0. The recorded criterion evidence supports full satisfaction: Message, communication, authenticator and computation complexity plus throughput/latency are defined and compared with Omniledger.</t>
  </si>
  <si>
    <t>R2 score = 1.0. The recorded criterion evidence supports full satisfaction: The reported results quantify throughput/latency and the improvement over Omniledger under multiple shard configurations.</t>
  </si>
  <si>
    <t>R2 score = 0.5. The recorded evidence supports only partial satisfaction. Protocol assumptions and scope limitations are stated, but empirical-validity and external-validity threats are not systematically discussed. The stated limitation/coverage gap prevents a full score.</t>
  </si>
  <si>
    <t>R2 score = 0.5. The recorded evidence supports only partial satisfaction. Claims of broad applicability to sharding blockchains are based on protocol analysis and simulation rather than operational deployment. The stated limitation/coverage gap prevents a full score.</t>
  </si>
  <si>
    <t>R2 score = 0.5. The recorded evidence supports only partial satisfaction. Supplementary material is referenced and protocol parameters are documented, but no public implementation artifact is identified. The stated limitation/coverage gap prevents a full score.</t>
  </si>
  <si>
    <t>R2 score = 1.0. The recorded criterion evidence supports full satisfaction: The paper clearly defines the cross-group smart-contract execution problem and the objective of eliminating state synchronization and duplicate execution.</t>
  </si>
  <si>
    <t>R2 score = 1.0. The recorded criterion evidence supports full satisfaction: ICOE architecture, coordinator, 2PL/2PC behavior, consensus-group execution and correctness/security reasoning are described in detail.</t>
  </si>
  <si>
    <t>R2 score = 1.0. The recorded criterion evidence supports full satisfaction: ICOE and the SYN baseline are implemented and evaluated experimentally on physical servers.</t>
  </si>
  <si>
    <t>R2 score = 1.0. The recorded criterion evidence supports full satisfaction: Five physical servers, CPU specifications, 12 groups/36 nodes, 20,000 smart contracts, workload composition and parameter settings are reported.</t>
  </si>
  <si>
    <t>R2 score = 1.0. The recorded criterion evidence supports full satisfaction: Throughput is compared with the SYN baseline while varying group count, transaction complexity, contract size and practical ML smart-contract cases.</t>
  </si>
  <si>
    <t>R2 score = 1.0. The recorded criterion evidence supports full satisfaction: The experiments quantify scaling behavior and the reported average 14× throughput improvement.</t>
  </si>
  <si>
    <t>R2 score = 0.5. The recorded evidence supports only partial satisfaction. The paper explicitly acknowledges strong coordinator assumptions and compromised-group behavior, but does not provide a dedicated threats-to-validity section. The stated limitation/coverage gap prevents a full score.</t>
  </si>
  <si>
    <t>R2 score = 1.0. The recorded criterion evidence supports full satisfaction: Industrial applicability claims are supported by physical-server experiments and additional smart-contract/ML cases and are framed as an adaptable model rather than a production deployment.</t>
  </si>
  <si>
    <t>R2 score = 0.5. The recorded evidence supports only partial satisfaction. Workloads, node allocation and parameter settings are well documented, but no complete public implementation/data artifact is cited. The stated limitation/coverage gap prevents a full score.</t>
  </si>
  <si>
    <t>R2 score = 1.0. The recorded criterion evidence supports full satisfaction: The paper clearly identifies blockchain limitations for 5G network slicing and states the design goals of Librum.</t>
  </si>
  <si>
    <t>R2 score = 1.0. The recorded criterion evidence supports full satisfaction: Librum architecture, hierarchical CFT/BFT consensus, Validate–Execute model, hardware, IPFS storage and smart-contract design are extensively described.</t>
  </si>
  <si>
    <t>R2 score = 1.0. The recorded criterion evidence supports full satisfaction: The proof-of-concept is integrated with FreedomFi/Magma and evaluated repeatedly against multiple blockchain platforms.</t>
  </si>
  <si>
    <t>R2 score = 1.0. The recorded criterion evidence supports full satisfaction: Raspberry Pi edge devices, Docker/Kubernetes, FreedomFi 5G gateway/radio, SIM/mobile hotspot and blockchain-peer ranges are described.</t>
  </si>
  <si>
    <t>R2 score = 1.0. The recorded criterion evidence supports full satisfaction: Invoke/query throughput, scalability, latency, CPU, memory and block-generation metrics are compared with Hyperledger Fabric, Rahasak and BigchainDB.</t>
  </si>
  <si>
    <t>R2 score = 1.0. The recorded criterion evidence supports full satisfaction: The paper reports comparative results and repeated experiments, including 100-run averages for selected tests.</t>
  </si>
  <si>
    <t>R2 score = 0.5. The recorded evidence supports only partial satisfaction. Future development is identified, but there is no systematic threats-to-validity discussion for the proof-of-concept and small peer ranges. The stated limitation/coverage gap prevents a full score.</t>
  </si>
  <si>
    <t>R2 score = 0.5. The recorded evidence supports only partial satisfaction. The conclusion describes the proof-of-concept deployments as strong evidence of suitability/being an 'ideal' system; this is somewhat broader than the testbed evidence. The stated limitation/coverage gap prevents a full score.</t>
  </si>
  <si>
    <t>R2 score = 0.5. The recorded evidence supports only partial satisfaction. Hardware/software stack and configurations are detailed, but the article states no research data were used and does not identify a complete public Librum artifact package. The stated limitation/coverage gap prevents a full score.</t>
  </si>
  <si>
    <t>R2 score withheld. PS014 is a secondary study under EC5, so primary-study quality scoring is not applicable.</t>
  </si>
  <si>
    <t>No consensus QA score locked. Study excluded as secondary evidence (EC5).</t>
  </si>
  <si>
    <t>R2 score withheld pending eligibility adjudication; the logged evidence indicates the contribution is generic Raft rather than clearly a blockchain/DLT primary study.</t>
  </si>
  <si>
    <t>No consensus QA score locked pending eligibility adjudication.</t>
  </si>
  <si>
    <t>R2 score = 1.0. The recorded criterion evidence supports full satisfaction: The introduction defines the scalability and global-consensus security challenges (C1/C2) and motivates SharBFT plus the sharding optimization model.</t>
  </si>
  <si>
    <t>R2 score = 1.0. The recorded criterion evidence supports full satisfaction: SharBFT's hierarchical multishard architecture, threshold-signature voting, cross-shard BFT operation and sharding optimization model are specified in detail.</t>
  </si>
  <si>
    <t>R2 score = 1.0. The recorded criterion evidence supports full satisfaction: The protocol and optimizer are implemented as testbed modules and evaluated experimentally in a real cloud environment.</t>
  </si>
  <si>
    <t>R2 score = 1.0. The recorded criterion evidence supports full satisfaction: The cloud testbed reports geographically distributed Google Cloud VMs, node counts, CPU/memory resources, TCP/IP communication and failure-model settings.</t>
  </si>
  <si>
    <t>R2 score = 1.0. The recorded criterion evidence supports full satisfaction: Consensus latency and throughput are measured against BFT-SMaRt, XPaxos and HotStuff while varying replicas, failures and payload/configuration settings.</t>
  </si>
  <si>
    <t>R2 score = 1.0. The recorded criterion evidence supports full satisfaction: Figures report SharBFT performance and the optimization benefit, including reduced latency and increased throughput under dynamic conditions.</t>
  </si>
  <si>
    <t>R2 score = 0.5. The recorded evidence supports only partial satisfaction. Assumptions and future industrial-platform integration are mentioned, but the paper does not provide a dedicated threats-to-validity analysis. The stated limitation/coverage gap prevents a full score.</t>
  </si>
  <si>
    <t>R2 score = 0.5. The recorded evidence supports only partial satisfaction. A real cloud testbed supports the scalability claims, but the system has not yet been integrated into or observed in an operational industrial blockchain. The stated limitation/coverage gap prevents a full score.</t>
  </si>
  <si>
    <t>R2 score = 0.5. The recorded evidence supports only partial satisfaction. Implementation/testbed detail and supplementary material are available, but no study-specific public source-code repository is identified in the paper. The stated limitation/coverage gap prevents a full score.</t>
  </si>
  <si>
    <t>R2 score = 1.0. The recorded criterion evidence supports full satisfaction: The paper clearly frames security, fairness, scalability and performance problems for zero-trust cross-domain cloud-edge-end data sharing.</t>
  </si>
  <si>
    <t>R2 score = 1.0. The recorded criterion evidence supports full satisfaction: It specifies PCE, partial-trust and zero-trust data-sharing protocols, sharding architecture, certificate authority, formal security definitions and proofs.</t>
  </si>
  <si>
    <t>R2 score = 1.0. The recorded criterion evidence supports full satisfaction: Theoretical complexity/security analysis is complemented by functional and performance testing.</t>
  </si>
  <si>
    <t>R2 score = 1.0. The recorded criterion evidence supports full satisfaction: The evaluation specifies CPU/memory platform, bandwidth and delay assumptions, domain/node parameters and test settings.</t>
  </si>
  <si>
    <t>R2 score = 1.0. The recorded criterion evidence supports full satisfaction: Metrics include throughput and latency for policy registration/data sharing plus communication and computation costs, with comparative protocol analysis.</t>
  </si>
  <si>
    <t>R2 score = 1.0. The recorded criterion evidence supports full satisfaction: The evaluation reports quantitative request rates and latency behavior and connects them to system size/domain configuration.</t>
  </si>
  <si>
    <t>R2 score = 0.5. The recorded evidence supports only partial satisfaction. Formal assumptions are explicit, but there is no dedicated empirical limitations or threats-to-validity discussion. The stated limitation/coverage gap prevents a full score.</t>
  </si>
  <si>
    <t>R2 score = 0.5. The recorded evidence supports only partial satisfaction. The architecture is positioned for cloud-edge-end/IoT use, but the practical evidence is controlled performance testing rather than operational deployment. The stated limitation/coverage gap prevents a full score.</t>
  </si>
  <si>
    <t>R2 score = 0.5. The recorded evidence supports only partial satisfaction. Supplementary material and detailed protocol definitions are available, but no study-specific public implementation repository is identified. The stated limitation/coverage gap prevents a full score.</t>
  </si>
  <si>
    <t>R2 score = 1.0. The recorded criterion evidence supports full satisfaction: The paper identifies cross-shard duplication, high coordination latency and signature communication overhead as the central scalability bottlenecks.</t>
  </si>
  <si>
    <t>R2 score = 1.0. The recorded criterion evidence supports full satisfaction: X-Shard's transaction allocation, optimistic MIMO processing, gateway accounts, rollback logic and threshold-signature commit protocol are described in detail.</t>
  </si>
  <si>
    <t>R2 score = 1.0. The recorded criterion evidence supports full satisfaction: A Golang prototype is deployed on Amazon EC2 and evaluated under controlled shard/network/workload settings.</t>
  </si>
  <si>
    <t>R2 score = 1.0. The recorded criterion evidence supports full satisfaction: The setup reports EC2 instance type, link delay/bandwidth and a large real Ethereum transaction/account trace from XBlock, with one million transactions replayed per run.</t>
  </si>
  <si>
    <t>R2 score = 1.0. The recorded criterion evidence supports full satisfaction: Effective throughput, processing latency and queue behavior are measured against random allocation/existing sharding approaches under varied shard configurations.</t>
  </si>
  <si>
    <t>R2 score = 1.0. The recorded criterion evidence supports full satisfaction: Results show near-linear effective-throughput scaling and reduced processing latency, consistent with the theoretical analysis.</t>
  </si>
  <si>
    <t>R2 score = 0.5. The recorded evidence supports only partial satisfaction. Protocol assumptions and future combinations/extensions are discussed, but no formal threats-to-validity section is provided. The stated limitation/coverage gap prevents a full score.</t>
  </si>
  <si>
    <t>R2 score = 1.0. The recorded criterion evidence supports full satisfaction: Claims are proportionate to a prototype deployed on EC2 with real Ethereum traces and are presented as system-performance results rather than production-readiness evidence.</t>
  </si>
  <si>
    <t>R2 score = 1.0. The recorded criterion evidence supports full satisfaction: The authors provide public source code (https://github.com/myl7/xshard), use the public XBlock Ethereum dataset, and report the experimental setup in detail.</t>
  </si>
  <si>
    <t>R2 score = 1.0. The recorded criterion evidence supports full satisfaction: The paper isolates authenticator complexity and message complexity as concrete scalability bottlenecks for state-of-the-art asynchronous BFT at hundreds of nodes.</t>
  </si>
  <si>
    <t>R2 score = 1.0. The recorded criterion evidence supports full satisfaction: FIN-NG and JUMBO are fully specified with protocol redesigns, aggregation/dispersal techniques, complexity arguments and security reasoning.</t>
  </si>
  <si>
    <t>R2 score = 1.0. The recorded criterion evidence supports full satisfaction: The authors implement JUMBO, FIN-NG and comparable baselines in Golang and evaluate them systematically across scales and network conditions.</t>
  </si>
  <si>
    <t>R2 score = 1.0. The recorded criterion evidence supports full satisfaction: AWS EC2 instance type, CPU/memory, node counts up to 256, bandwidth/RTT settings and regional/continental/global network emulation are reported.</t>
  </si>
  <si>
    <t>R2 score = 1.0. The recorded criterion evidence supports full satisfaction: Throughput and latency are measured across node scale/load/network conditions against FIN and Dumbo-NG under a matched implementation stack.</t>
  </si>
  <si>
    <t>R2 score = 1.0. The recorded criterion evidence supports full satisfaction: The figures demonstrate scalability and performance advantages, including strong gains once the system reaches hundreds of nodes.</t>
  </si>
  <si>
    <t>R2 score = 1.0. The recorded criterion evidence supports full satisfaction: The conclusion explicitly identifies remaining O(n^3) behavior and malicious-attack performance degradation as unresolved limitations/future research.</t>
  </si>
  <si>
    <t>R2 score = 1.0. The recorded criterion evidence supports full satisfaction: Claims are carefully tied to large-scale AWS/WAN-emulated experiments and do not equate the testbed with operational production deployment.</t>
  </si>
  <si>
    <t>R2 score = 1.0. The recorded criterion evidence supports full satisfaction: Open-source code is reported (https://github.com/tca-sp/jumbo), together with supplementary experiments and archival material, enabling strong reproducibility.</t>
  </si>
  <si>
    <t>R2 score = 1.0. The recorded criterion evidence supports full satisfaction: The study clearly defines collusion risk in geolocation-based sharding and the throughput/energy overhead introduced by shard inspection.</t>
  </si>
  <si>
    <t>R2 score = 1.0. The recorded criterion evidence supports full satisfaction: The reputation-based inspection framework, reputation model, optimization formulation and distributed ADMM-based solution are fully developed.</t>
  </si>
  <si>
    <t>R2 score = 1.0. The recorded criterion evidence supports full satisfaction: Analytical results are validated through extensive simulation and attack/security experiments.</t>
  </si>
  <si>
    <t>R2 score = 1.0. The recorded criterion evidence supports full satisfaction: The paper reports MATLAB setup, 100 heterogeneous peers, a geographic area, 5G/3GPP-style communication assumptions, computation parameters and a Caltrans traffic dataset.</t>
  </si>
  <si>
    <t>R2 score = 1.0. The recorded criterion evidence supports full satisfaction: System utility, throughput, delay, energy, validity/recovery metrics and reputation accuracy are compared against multiple inspection/security baselines.</t>
  </si>
  <si>
    <t>R2 score = 1.0. The recorded criterion evidence supports full satisfaction: The experiments quantify near-optimal utility, attack detection/recovery and throughput/energy trade-offs under multiple scenarios.</t>
  </si>
  <si>
    <t>R2 score = 0.5. The recorded evidence supports only partial satisfaction. Several threat models and attacks are analyzed, but there is no explicit study-level threats-to-validity/external-validity section. The stated limitation/coverage gap prevents a full score.</t>
  </si>
  <si>
    <t>R2 score = 0.5. The recorded evidence supports only partial satisfaction. The simulation uses realistic standards/data, but it does not demonstrate operation on a deployed geolocation-sharded blockchain. The stated limitation/coverage gap prevents a full score.</t>
  </si>
  <si>
    <t>R2 score = 0.5. The recorded evidence supports only partial satisfaction. Supplementary material and external data/model references are available, but no complete study-specific implementation repository is identified. The stated limitation/coverage gap prevents a full score.</t>
  </si>
  <si>
    <t>R2 score = 1.0. The recorded criterion evidence supports full satisfaction: The paper clearly motivates constant communication cost per transaction and proposes passive sharding to address security/complexity trade-offs.</t>
  </si>
  <si>
    <t>R2 score = 1.0. The recorded criterion evidence supports full satisfaction: ACC/CCC/local-chain architecture, consensus algorithms, transaction verification, validity, security and storage properties are formally detailed.</t>
  </si>
  <si>
    <t>R2 score = 1.0. The recorded criterion evidence supports full satisfaction: A lightweight EZchain prototype/simulation is used to test theoretical predictions across large network sizes and repeated runs.</t>
  </si>
  <si>
    <t>R2 score = 1.0. The recorded criterion evidence supports full satisfaction: Transaction/abstract/block sizes, network/committee parameters, transaction frequency and epoch settings are reported, and results are verified by at least five experiments.</t>
  </si>
  <si>
    <t>R2 score = 1.0. The recorded criterion evidence supports full satisfaction: CCPT, storage cost and scalability are evaluated and compared with VAPOR and other scalable blockchain protocols.</t>
  </si>
  <si>
    <t>R2 score = 1.0. The recorded criterion evidence supports full satisfaction: Experiments extend to 100,000 nodes and support the predicted constant-CCPT and storage trends.</t>
  </si>
  <si>
    <t>R2 score = 1.0. The recorded criterion evidence supports full satisfaction: The authors explicitly report equipment-related limits on larger parameter settings and discuss protocol trade-offs and boundaries.</t>
  </si>
  <si>
    <t>R2 score = 0.5. The recorded evidence supports only partial satisfaction. Large-scale results are based on a lightweight prototype/simulation rather than an operational blockchain deployment. The stated limitation/coverage gap prevents a full score.</t>
  </si>
  <si>
    <t>R2 score = 0.5. The recorded evidence supports only partial satisfaction. Parameters and supplementary material are detailed, but no study-specific public EZchain implementation repository is identified. The stated limitation/coverage gap prevents a full score.</t>
  </si>
  <si>
    <t>R2 score = 1.0. The recorded criterion evidence supports full satisfaction: The paper explicitly identifies computation, communication, storage and security-measurement problems for blockchain-enabled FL in massive edge networks.</t>
  </si>
  <si>
    <t>R2 score = 1.0. The recorded criterion evidence supports full satisfaction: Distributed clustering, CBFT, consensus-security quantification, update consensus and storage-reduction mechanisms are described and analyzed.</t>
  </si>
  <si>
    <t>R2 score = 1.0. The recorded criterion evidence supports full satisfaction: LiteChain is implemented using Hyperledger Fabric and evaluated across network scales and attack conditions.</t>
  </si>
  <si>
    <t>R2 score = 1.0. The recorded criterion evidence supports full satisfaction: Fabric/Python/PyTorch/Go versions, server GPU/CPU/memory, Docker, CIFAR-10, ResNet9, heterogeneous-device simulation and repeated latency measurement are documented.</t>
  </si>
  <si>
    <t>R2 score = 1.0. The recorded criterion evidence supports full satisfaction: Latency, on-chain storage, security and robustness are compared with FLC-hash, FLC-model and BEFL across 50–300 devices.</t>
  </si>
  <si>
    <t>R2 score = 1.0. The recorded criterion evidence supports full satisfaction: Results cover IID/non-IID data, network scale, replay attacks and data-poisoning attacks and support the claimed efficiency/robustness benefits.</t>
  </si>
  <si>
    <t>R2 score = 1.0. The recorded criterion evidence supports full satisfaction: The conclusion explicitly identifies model-privacy leakage from full-model verification and discusses differential-privacy/homomorphic-encryption trade-offs for future work.</t>
  </si>
  <si>
    <t>R2 score = 0.5. The recorded evidence supports only partial satisfaction. The system is experimentally implemented, but massive-edge conditions are emulated on server/container infrastructure rather than a distributed field deployment. The stated limitation/coverage gap prevents a full score.</t>
  </si>
  <si>
    <t>R2 score = 0.5. The recorded evidence supports only partial satisfaction. Software versions and experimental configuration are detailed, but no study-specific public LiteChain source repository is identified. The stated limitation/coverage gap prevents a full score.</t>
  </si>
  <si>
    <t>R2 score = 1.0. The recorded criterion evidence supports full satisfaction: The study clearly identifies the absence of a relay-chain-specific performance model and the relay chain as a cross-chain bottleneck.</t>
  </si>
  <si>
    <t>R2 score = 1.0. The recorded criterion evidence supports full satisfaction: The MX/GB/1 batch-arrival/bulk-service framework, PBFT phase-type model and formulas for throughput/confirmation delay are developed rigorously.</t>
  </si>
  <si>
    <t>R2 score = 1.0. The recorded criterion evidence supports full satisfaction: The analytical model is validated experimentally on a Cosmos/Tendermint relay-chain deployment under multiple parameter settings.</t>
  </si>
  <si>
    <t>R2 score = 1.0. The recorded criterion evidence supports full satisfaction: The setup reports Tendermint/Cosmos software, ten nodes on nine physical machines, server hardware/OS, traffic generation and timing synchronization.</t>
  </si>
  <si>
    <t>R2 score = 1.0. The recorded criterion evidence supports full satisfaction: System throughput, cross-chain confirmation delay and load intensity are evaluated while varying chain count, cross-chain ratio, block/batch parameters and processing rates.</t>
  </si>
  <si>
    <t>R2 score = 1.0. The recorded criterion evidence supports full satisfaction: Across multiple experimental groups, measured performance closely follows the analytical predictions and supports the configuration guidance.</t>
  </si>
  <si>
    <t>R2 score = 1.0. The recorded criterion evidence supports full satisfaction: The conclusion explicitly bounds the current analysis to relay-chain performance and identifies full ecosystem/multi-chain/sharding extensions as future work.</t>
  </si>
  <si>
    <t>R2 score = 1.0. The recorded criterion evidence supports full satisfaction: Practical configuration claims are supported by experiments on actual Cosmos/Tendermint software and are limited to the modeled relay-chain scope.</t>
  </si>
  <si>
    <t>R2 score = 0.5. The recorded evidence supports only partial satisfaction. Supplementary material, equations and deployment parameters are detailed, but no public study-specific implementation package is identified. The stated limitation/coverage gap prevents a full score.</t>
  </si>
  <si>
    <t>R2 score = 1.0. The recorded criterion evidence supports full satisfaction: The paper clearly identifies sequential multi-shard smart-contract execution as a latency/throughput bottleneck and motivates inter-shard caching.</t>
  </si>
  <si>
    <t>R2 score = 1.0. The recorded criterion evidence supports full satisfaction: SPARROW's cache synchronization, one-step execution, multi-branch exploration and conflict-reduction mechanisms are specified in detail.</t>
  </si>
  <si>
    <t>R2 score = 1.0. The recorded criterion evidence supports full satisfaction: A Geth-based prototype/benchmark is evaluated using replayed Ethereum workloads against a representative serial sharding baseline.</t>
  </si>
  <si>
    <t>R2 score = 1.0. The recorded criterion evidence supports full satisfaction: The evaluation documents 640,000 real Ethereum transactions, block range, shard counts, consensus/network delay assumptions, block capacity, retry count and cache ratio.</t>
  </si>
  <si>
    <t>R2 score = 1.0. The recorded criterion evidence supports full satisfaction: Throughput, transaction latency, abort ratio and cache storage/network overhead are evaluated against the Strawman/existing-system behavior.</t>
  </si>
  <si>
    <t>R2 score = 1.0. The recorded criterion evidence supports full satisfaction: Results show material throughput, latency and abort-ratio improvements and analyze the impact of shard/cache/workload settings.</t>
  </si>
  <si>
    <t>R2 score = 0.5. The recorded evidence supports only partial satisfaction. The benchmark's abstractions and security assumptions are discussed, but there is no structured threats-to-validity section. The stated limitation/coverage gap prevents a full score.</t>
  </si>
  <si>
    <t>R2 score = 0.5. The recorded evidence supports only partial satisfaction. Real Ethereum traces improve realism, but the benchmark abstracts a fully deployed sharding network and its consensus/network stack. The stated limitation/coverage gap prevents a full score.</t>
  </si>
  <si>
    <t>R2 score = 0.5. The recorded evidence supports only partial satisfaction. Geth/replay configuration and dataset selection are documented, but no public study-specific SPARROW prototype repository is identified. The stated limitation/coverage gap prevents a full score.</t>
  </si>
  <si>
    <t>R2 score = 1.0. The recorded criterion evidence supports full satisfaction: The introduction defines IoV data-sharing scalability, consensus-security and participation/incentive challenges and motivates DMBA.</t>
  </si>
  <si>
    <t>R2 score = 1.0. The recorded criterion evidence supports full satisfaction: The dual-layer multi-shard architecture, dynamic node/shard management, BLS-PBFT consensus, reputation and evolutionary-game incentive mechanisms are detailed.</t>
  </si>
  <si>
    <t>R2 score = 1.0. The recorded criterion evidence supports full satisfaction: The architecture is evaluated with Veins plus MATLAB simulations, comparative baselines, sensitivity testing and repeated experiments.</t>
  </si>
  <si>
    <t>R2 score = 1.0. The recorded criterion evidence supports full satisfaction: The paper reports Veins/MATLAB versions, processor/memory, an actual urban map, 20–80 vehicles, speeds, mobility model, communication range/protocol, packet rate and incentive settings.</t>
  </si>
  <si>
    <t>R2 score = 1.0. The recorded criterion evidence supports full satisfaction: Security error rate, consensus latency, throughput, reputation and strategy convergence are evaluated against multiple related IoV blockchain schemes.</t>
  </si>
  <si>
    <t>R2 score = 1.0. The recorded criterion evidence supports full satisfaction: The paper reports quantitative performance improvements and robustness under load, mobility and malicious-behavior scenarios.</t>
  </si>
  <si>
    <t>R2 score = 1.0. The recorded criterion evidence supports full satisfaction: The conclusion explicitly notes the current 20–80 vehicle scale and lists 500+ vehicles, privacy, cross-shard communication, long-term incentives and real deployment as future work.</t>
  </si>
  <si>
    <t>R2 score = 0.5. The recorded evidence supports only partial satisfaction. The scenario is realistic and extensively simulated, but claims of real-world vehicular viability are not yet backed by a field deployment. The stated limitation/coverage gap prevents a full score.</t>
  </si>
  <si>
    <t>R2 score = 0.5. The recorded evidence supports only partial satisfaction. Detailed parameters and supplementary material are provided, but no public study-specific implementation repository is identified. The stated limitation/coverage gap prevents a full score.</t>
  </si>
  <si>
    <t>R2 score = 1.0. The recorded criterion evidence supports full satisfaction: The paper precisely defines atomic cross-chain swaps and the desired guarantees for conforming and deviating parties.</t>
  </si>
  <si>
    <t>R2 score = 1.0. The recorded criterion evidence supports full satisfaction: Cross-chain swaps are modeled as directed graphs and a hashed-timelock protocol is specified for strongly connected graphs using a feedback vertex set.</t>
  </si>
  <si>
    <t>R2 score = 1.0. The recorded criterion evidence supports full satisfaction: The research method is a formal construction with lemmas, theorems, impossibility results and complexity analysis, reproducible from the stated definitions.</t>
  </si>
  <si>
    <t>R2 score = N/A. The criterion is genuinely not applicable to this study design/contribution. No empirical dataset, workload, participants or experimental environment is part of this theoretical protocol study.</t>
  </si>
  <si>
    <t>Consensus by agreement: R1 and R2 both assign N/A on the basis of the recorded criterion evidence.</t>
  </si>
  <si>
    <t>R2 score = N/A. The criterion is genuinely not applicable to this study design/contribution. No empirical metric/baseline comparison is required for the formal theorem contribution; time and space complexity are handled under QA6.</t>
  </si>
  <si>
    <t>R2 score = 1.0. The recorded criterion evidence supports full satisfaction: Formal proofs establish protocol properties, impossibility conditions and time/space complexity bounds.</t>
  </si>
  <si>
    <t>R2 score = 1.0. The recorded criterion evidence supports full satisfaction: The concluding remarks explicitly discuss denial-of-service exposure, common-knowledge assumptions and multiple open problems/extensions.</t>
  </si>
  <si>
    <t>R2 score = 1.0. The recorded criterion evidence supports full satisfaction: Claims are mathematically bounded to the stated protocol/model and applications are presented as potential uses rather than deployment evidence.</t>
  </si>
  <si>
    <t>R2 score = N/A. The criterion is genuinely not applicable to this study design/contribution. No software/data artifact is necessary to assess the formal protocol contribution; the construction is specified within the paper.</t>
  </si>
  <si>
    <t>R2 score = 1.0. The recorded criterion evidence supports full satisfaction: The paper clearly motivates interoperability plus programmability across heterogeneous blockchains rather than token exchange alone.</t>
  </si>
  <si>
    <t>R2 score = 1.0. The recorded criterion evidence supports full satisfaction: USM, HSL, UIP, Network Status Blockchain, Insurance Smart Contracts and the UC security construction are extensively specified.</t>
  </si>
  <si>
    <t>R2 score = 1.0. The recorded criterion evidence supports full satisfaction: A roughly 35,000-line prototype is implemented and evaluated using multiple cross-chain application categories.</t>
  </si>
  <si>
    <t>R2 score = 1.0. The recorded criterion evidence supports full satisfaction: The experiment uses heterogeneous blockchain networks and cloud/testnet infrastructure across geographic locations, with repeated measurements and end-to-end execution scenarios.</t>
  </si>
  <si>
    <t>R2 score = 1.0. The recorded criterion evidence supports full satisfaction: End-to-end cross-chain latency and NSB throughput/capacity are quantified across application types and scaling conditions.</t>
  </si>
  <si>
    <t>R2 score = 1.0. The recorded criterion evidence supports full satisfaction: Measured results support second-order execution overhead and the stated capacity for onboarding additional production-scale chains.</t>
  </si>
  <si>
    <t>R2 score = 0.5. The recorded evidence supports only partial satisfaction. Privacy and platform-dependency limitations/future extensions are discussed, but empirical validity is not organized in a dedicated threats section. The stated limitation/coverage gap prevents a full score.</t>
  </si>
  <si>
    <t>R2 score = 1.0. The recorded criterion evidence supports full satisfaction: Practicality/scalability claims are tied to the implemented prototype and explicitly measured cross-chain applications rather than asserted production deployment.</t>
  </si>
  <si>
    <t>R2 score = 1.0. The recorded criterion evidence supports full satisfaction: The implementation is public through the HyperService Consortium repository (https://github.com/HyperService-Consortium), with substantial implementation detail.</t>
  </si>
  <si>
    <t>R2 score = 1.0. The recorded criterion evidence supports full satisfaction: The paper identifies the trust, interactivity, delay and cost limitations of atomic cross-chain swaps and defines XCLAIM's trustless CBA objective.</t>
  </si>
  <si>
    <t>R2 score = 1.0. The recorded criterion evidence supports full satisfaction: The CBA model, actors, threat assumptions, proof-or-punishment protocol, issuance/redeem/swap procedures and security requirements are detailed.</t>
  </si>
  <si>
    <t>R2 score = 1.0. The recorded criterion evidence supports full satisfaction: XCLAIM(BTC,ETH) is implemented and evaluated using Bitcoin/Ethereum-compatible infrastructure and direct HTLC comparison.</t>
  </si>
  <si>
    <t>R2 score = 1.0. The recorded criterion evidence supports full satisfaction: Implementation language/version, BTCRelay/Bitcoin assumptions, Ethereum Ropsten environment, confirmation parameters and fee/rate assumptions are documented.</t>
  </si>
  <si>
    <t>R2 score = 1.0. The recorded criterion evidence supports full satisfaction: Issue, transfer, swap and redeem costs/times are measured and directly compared with HTLC atomic swaps under common conditions.</t>
  </si>
  <si>
    <t>R2 score = 1.0. The recorded criterion evidence supports full satisfaction: The evaluation quantifies transaction costs and reports XCLAIM as substantially faster and cheaper for repeated swaps.</t>
  </si>
  <si>
    <t>R2 score = 1.0. The recorded criterion evidence supports full satisfaction: The security/practicality analysis discusses relay-chain assumptions, confirmation security, DoS/extortion, hard-fork and TEE-related limitations and future extensions.</t>
  </si>
  <si>
    <t>R2 score = 1.0. The recorded criterion evidence supports full satisfaction: Practical claims are supported by an implemented cross-chain instance with explicit security and cost parameters, while assumptions are clearly stated.</t>
  </si>
  <si>
    <t>R2 score = 0.5. The recorded evidence supports only partial satisfaction. Implementation details and dependencies are strong, but the paper does not identify a complete study-specific public XCLAIM code repository. The stated limitation/coverage gap prevents a full score.</t>
  </si>
  <si>
    <t>R2 score = 1.0. The recorded criterion evidence supports full satisfaction: The paper clearly identifies functional/security risks in services spanning heterogeneous blockchains and motivates a model-driven engineering approach.</t>
  </si>
  <si>
    <t>R2 score = 1.0. The recorded criterion evidence supports full satisfaction: It presents a three-layer framework, three DSMLs, workflow/configuration/specification mappings and GeMoC/CCSL-based analysis support.</t>
  </si>
  <si>
    <t>R2 score = 0.5. The recorded evidence supports only partial satisfaction. The method and tool basis are described, but the paper reports that the code-generation part is unfinished and provides no empirical validation of effectiveness. The stated limitation/coverage gap prevents a full score.</t>
  </si>
  <si>
    <t>R2 score = N/A. The criterion is genuinely not applicable to this study design/contribution. No empirical dataset, workload, participants or evaluation environment is reported.</t>
  </si>
  <si>
    <t>R2 score = N/A. The criterion is genuinely not applicable to this study design/contribution. No empirical metrics or comparative baseline are used because an effectiveness experiment is not reported.</t>
  </si>
  <si>
    <t>R2 score = 0.5. The recorded evidence supports only partial satisfaction. The conceptual framework and formal-analysis pathway are explained, but there are no measured or case-study results demonstrating the approach's effectiveness. The stated limitation/coverage gap prevents a full score.</t>
  </si>
  <si>
    <t>R2 score = 1.0. The recorded criterion evidence supports full satisfaction: The conclusion explicitly states that code generation is not finished and positions the current contribution as partial tooling/semantics support.</t>
  </si>
  <si>
    <t>R2 score = 0.5. The recorded evidence supports only partial satisfaction. Potential benefits are framed as possibilities, but practical applicability is not empirically demonstrated. The stated limitation/coverage gap prevents a full score.</t>
  </si>
  <si>
    <t>R2 score = 0.5. The recorded evidence supports only partial satisfaction. GeMoC, DSML and CCSL tooling choices are specified, but no complete study-specific artifact or generated deployment package is provided. The stated limitation/coverage gap prevents a full score.</t>
  </si>
  <si>
    <t>R2 score = 1.0. The recorded criterion evidence supports full satisfaction: The paper clearly motivates cross-blockchain smart-contract invocation with return values and recursive calls as an interoperability gap.</t>
  </si>
  <si>
    <t>R2 score = 1.0. The recorded criterion evidence supports full satisfaction: The distribution/invocation contracts, intermediaries, validators, execution phases, continuation and recursion mechanisms are described in detail.</t>
  </si>
  <si>
    <t>R2 score = 1.0. The recorded criterion evidence supports full satisfaction: A Solidity/node.js implementation is evaluated on a live Ethereum test network for cost and execution time.</t>
  </si>
  <si>
    <t>R2 score = 1.0. The recorded criterion evidence supports full satisfaction: The Rinkeby testnet, deployed contracts, test data types, waitingBlocks/blocksPerPhase configurations and repeated runs are documented.</t>
  </si>
  <si>
    <t>R2 score = 1.0. The recorded criterion evidence supports full satisfaction: Gas cost and elapsed block/time overhead are compared directly with manual target-chain invocation.</t>
  </si>
  <si>
    <t>R2 score = 1.0. The recorded criterion evidence supports full satisfaction: The paper reports the substantial overhead transparently, including about 40× gas cost and at least several-fold time overhead depending on configuration.</t>
  </si>
  <si>
    <t>R2 score = 1.0. The recorded criterion evidence supports full satisfaction: Security discussion covers dishonest validators/intermediaries, Sybil concerns, selection assumptions and further cost/voting/blockchain-support limitations.</t>
  </si>
  <si>
    <t>R2 score = 1.0. The recorded criterion evidence supports full satisfaction: Claims are appropriately scoped to an Ethereum-based proof of concept and the authors explicitly disclose adverse performance overheads.</t>
  </si>
  <si>
    <t>R2 score = 1.0. The recorded criterion evidence supports full satisfaction: The source code is publicly available at https://github.com/markusnissl/cross-chain-smartcontracts, and implementation/setup details are reported.</t>
  </si>
  <si>
    <t>R2 score withheld because the supplied source is a TechRxiv preprint rather than the final peer-reviewed version represented by PS031.</t>
  </si>
  <si>
    <t>No consensus QA score locked until the final peer-reviewed full text replaces the preprint.</t>
  </si>
  <si>
    <t>R2 score = 1.0. The recorded criterion evidence supports full satisfaction: The paper clearly frames reliable multichain data sharing and fine-grained access control as the central interoperability problems.</t>
  </si>
  <si>
    <t>R2 score = 1.0. The recorded criterion evidence supports full satisfaction: SynergyChain's three-tier architecture, consensus/verification modules, hierarchical access-control contracts and data workflow are specified in detail.</t>
  </si>
  <si>
    <t>R2 score = 1.0. The recorded criterion evidence supports full satisfaction: An Ethereum-based prototype is implemented and evaluated through repeatable performance experiments.</t>
  </si>
  <si>
    <t>R2 score = 1.0. The recorded criterion evidence supports full satisfaction: The hardware/OS environment, 15,000-transaction stress workload, concurrency approach and test interfaces are reported.</t>
  </si>
  <si>
    <t>R2 score = 1.0. The recorded criterion evidence supports full satisfaction: TPS, client storage overhead and query latency are defined; latency is compared with sequential multichain requesting.</t>
  </si>
  <si>
    <t>R2 score = 1.0. The recorded criterion evidence supports full satisfaction: Figures and calculations show peak throughput, low client storage overhead and reduced query latency.</t>
  </si>
  <si>
    <t>R2 score = 0.0. The recorded evidence does not demonstrate substantive satisfaction of this criterion. No dedicated limitations or threats-to-validity analysis is provided.</t>
  </si>
  <si>
    <t>Consensus by agreement: R1 and R2 both assign 0.0 on the basis of the recorded criterion evidence.</t>
  </si>
  <si>
    <t>R2 score = 0.5. The recorded evidence supports only partial satisfaction. The prototype supports the technical claims, but the experiments run in a local controlled environment rather than an operational multiorganization deployment. The stated limitation/coverage gap prevents a full score.</t>
  </si>
  <si>
    <t>R2 score = 0.5. The recorded evidence supports only partial satisfaction. Algorithms, interfaces and configuration details are documented, but no public study-specific source-code/data repository is identified. The stated limitation/coverage gap prevents a full score.</t>
  </si>
  <si>
    <t>R2 score withheld because only an incomplete first-page/abstract file is available; full-text quality criteria cannot be verified.</t>
  </si>
  <si>
    <t>No consensus QA score locked until a complete full text is supplied.</t>
  </si>
  <si>
    <t>R2 score = 1.0. The recorded criterion evidence supports full satisfaction: The paper clearly identifies the difficulty and latency of state access between smart contracts on heterogeneous blockchains.</t>
  </si>
  <si>
    <t>R2 score = 1.0. The recorded criterion evidence supports full satisfaction: The Oracle-gateway architecture and subscription-based active state-access mechanism are specified with workflow diagrams and protocol details.</t>
  </si>
  <si>
    <t>R2 score = 1.0. The recorded criterion evidence supports full satisfaction: A working heterogeneous prototype is implemented and evaluated under multiple experiment sets.</t>
  </si>
  <si>
    <t>R2 score = 1.0. The recorded criterion evidence supports full satisfaction: The study reports Ethereum/FISCO configurations, three blockchains, 50 Oracle gateways, server resources and parameterized contract/chain counts.</t>
  </si>
  <si>
    <t>R2 score = 1.0. The recorded criterion evidence supports full satisfaction: Average latency, task latency, CPU and memory utilization are measured against AS, HAS, PBR and MMR access modes.</t>
  </si>
  <si>
    <t>R2 score = 1.0. The recorded criterion evidence supports full satisfaction: The figures show lower average/task latency for the subscription-based mode and report resource-use behavior.</t>
  </si>
  <si>
    <t>R2 score = 0.5. The recorded evidence supports only partial satisfaction. The conclusion explicitly identifies cross-chain state verification and Oracle-gateway trust dependency as future improvement areas, but provides no formal validity section. The stated limitation/coverage gap prevents a full score.</t>
  </si>
  <si>
    <t>R2 score = 0.5. The recorded evidence supports only partial satisfaction. The heterogeneous prototype supports feasibility and performance claims, but the evidence remains a controlled testbed rather than operational deployment. The stated limitation/coverage gap prevents a full score.</t>
  </si>
  <si>
    <t>R2 score = 1.0. The recorded criterion evidence supports full satisfaction: The paper states that a prototype containing the Oracle gateway, cross-chain component and corresponding smart contracts is published.</t>
  </si>
  <si>
    <t>R2 score = 1.0. The recorded criterion evidence supports full satisfaction: The introduction clearly defines interoperability, integration burden, external-service dependence and permissioned-chain access-control gaps.</t>
  </si>
  <si>
    <t>R2 score = 1.0. The recorded criterion evidence supports full satisfaction: Policy smart contracts, relay architecture, authentication/authorization flow and service invocation are described in detail.</t>
  </si>
  <si>
    <t>R2 score = 1.0. The recorded criterion evidence supports full satisfaction: The framework is implemented in Go/Hyperledger Fabric and benchmarked with Hyperledger Caliper in production mode.</t>
  </si>
  <si>
    <t>R2 score = 1.0. The recorded criterion evidence supports full satisfaction: Two Fabric networks, VPS specifications, organizations, Docker isolation, Caliper placement and concurrency settings are reported.</t>
  </si>
  <si>
    <t>R2 score = 1.0. The recorded criterion evidence supports full satisfaction: Key policy-smart-contract methods are benchmarked under increasing request rates using throughput/latency behavior.</t>
  </si>
  <si>
    <t>R2 score = 1.0. The recorded criterion evidence supports full satisfaction: The evaluation reports saturation behavior and low latency across the tested methods and load levels.</t>
  </si>
  <si>
    <t>R2 score = 0.0. The recorded evidence does not demonstrate substantive satisfaction of this criterion. The paper does not provide a structured limitations or threats-to-validity discussion.</t>
  </si>
  <si>
    <t>R2 score = 1.0. The recorded criterion evidence supports full satisfaction: Claims are supported by two production-mode Fabric networks on separated VPS/Docker infrastructure and are framed around framework performance/integration.</t>
  </si>
  <si>
    <t>R2 score = 1.0. The recorded criterion evidence supports full satisfaction: Both the relay module and smart contracts are publicly available at https://github.com/tcdt-lab/Automated-Gateways.</t>
  </si>
  <si>
    <t>R2 score = 1.0. The recorded criterion evidence supports full satisfaction: The paper clearly frames efficient consistency auditing for dynamically updated cross-chain data as the problem.</t>
  </si>
  <si>
    <t>R2 score = 1.0. The recorded criterion evidence supports full satisfaction: EDCA, AGMS, D-MHT/index state, audit-chain workflow and security goals are specified mathematically and procedurally.</t>
  </si>
  <si>
    <t>R2 score = 1.0. The recorded criterion evidence supports full satisfaction: Formal security proofs are combined with theoretical overhead analysis and prototype experiments.</t>
  </si>
  <si>
    <t>R2 score = 1.0. The recorded criterion evidence supports full satisfaction: The Hyperledger Fabric-based multi-chain prototype and experiment parameters are sufficiently described for the reported tests.</t>
  </si>
  <si>
    <t>R2 score = 1.0. The recorded criterion evidence supports full satisfaction: Computation/communication overhead and auditing performance are compared with recent dynamic-auditing schemes.</t>
  </si>
  <si>
    <t>R2 score = 1.0. The recorded criterion evidence supports full satisfaction: Theoretical and experimental results support the claimed security and low/near-constant auditing overhead.</t>
  </si>
  <si>
    <t>R2 score = 0.5. The recorded evidence supports only partial satisfaction. The conclusion identifies deployment on public blockchains such as Ethereum as future work, but no formal threats-to-validity section is provided. The stated limitation/coverage gap prevents a full score.</t>
  </si>
  <si>
    <t>R2 score = 0.5. The recorded evidence supports only partial satisfaction. The prototype validates the scheme technically, but operational evidence is limited to a permissioned experimental environment. The stated limitation/coverage gap prevents a full score.</t>
  </si>
  <si>
    <t>R2 score = 0.5. The recorded evidence supports only partial satisfaction. Supplementary security proofs and implementation/configuration information are available, but no complete public study-specific source-code package is identified. The stated limitation/coverage gap prevents a full score.</t>
  </si>
  <si>
    <t>R2 score = 1.0. The recorded criterion evidence supports full satisfaction: The paper clearly motivates verifiable and privacy-preserving cross-node data sharing in heterogeneous vehicle-edge environments.</t>
  </si>
  <si>
    <t>R2 score = 1.0. The recorded criterion evidence supports full satisfaction: Relay-chain coordination, threshold Paillier encryption, distributed key slices, smart contracts and verification/decryption protocols are detailed.</t>
  </si>
  <si>
    <t>R2 score = 1.0. The recorded criterion evidence supports full satisfaction: The protocol is assessed by theoretical complexity/security analysis and heterogeneous cross-chain experiments.</t>
  </si>
  <si>
    <t>R2 score = 1.0. The recorded criterion evidence supports full satisfaction: The evaluation reports FISCO BCOS and Hyperledger Fabric versions, WeCross integration, client/VM hardware and varying key/node/workload settings.</t>
  </si>
  <si>
    <t>R2 score = 1.0. The recorded criterion evidence supports full satisfaction: Computation cost, encryption/decryption time, throughput, latency and scalability are evaluated across key sizes, node densities and heterogeneous/homogeneous settings.</t>
  </si>
  <si>
    <t>R2 score = 1.0. The recorded criterion evidence supports full satisfaction: Tables and figures report scaling behavior and cross-chain throughput/latency under multiple configurations.</t>
  </si>
  <si>
    <t>R2 score = 0.0. The recorded evidence does not demonstrate substantive satisfaction of this criterion. No structured threats-to-validity or study-level limitations section is provided.</t>
  </si>
  <si>
    <t>R2 score = 0.5. The recorded evidence supports only partial satisfaction. The heterogeneous testbed supports feasibility, but statements about real-world vehicular deployment are stronger than the laboratory/testbed evidence. The stated limitation/coverage gap prevents a full score.</t>
  </si>
  <si>
    <t>R2 score = 0.5. The recorded evidence supports only partial satisfaction. Supplementary smart-contract logic and detailed setup are reported, but no public study-specific source repository is identified. The stated limitation/coverage gap prevents a full score.</t>
  </si>
  <si>
    <t>R2 score = 1.0. The recorded criterion evidence supports full satisfaction: The paper clearly frames the efficiency/security/decentralization trade-off between custodial and non-custodial bridges.</t>
  </si>
  <si>
    <t>R2 score = 1.0. The recorded criterion evidence supports full satisfaction: EquiLink Service, Light Server, TEE validator/watchtower network, HTLC workflow, economic model and attack defenses are fully described.</t>
  </si>
  <si>
    <t>R2 score = 1.0. The recorded criterion evidence supports full satisfaction: The implemented bridge is evaluated for gas cost, latency, resource use, economics and adversarial resilience.</t>
  </si>
  <si>
    <t>R2 score = 1.0. The recorded criterion evidence supports full satisfaction: Cloud hardware, Intel SGX environment, transaction counts and attack/failure cases are explicitly documented.</t>
  </si>
  <si>
    <t>R2 score = 1.0. The recorded criterion evidence supports full satisfaction: Transaction cost/latency, validation time, CPU utilization, attack success/revocation and economic properties are measured against existing approaches.</t>
  </si>
  <si>
    <t>R2 score = 1.0. The recorded criterion evidence supports full satisfaction: Results quantify 14.1% cost reduction, 18.9% latency reduction and attack/failure resilience, with figures and tables.</t>
  </si>
  <si>
    <t>R2 score = 1.0. The recorded criterion evidence supports full satisfaction: A dedicated Limitations section identifies lack of transaction privacy and limited current support for heterogeneous/non-EVM chains and L2 systems.</t>
  </si>
  <si>
    <t>R2 score = 1.0. The recorded criterion evidence supports full satisfaction: Claims are proportionate to an implemented cloud/SGX bridge and explicitly bounded by the stated limitations.</t>
  </si>
  <si>
    <t>R2 score = 1.0. The recorded criterion evidence supports full satisfaction: The paper publicly releases the implementation at https://github.com/Stdwill/EquiLink-bridge and provides supplementary material.</t>
  </si>
  <si>
    <t>R2 score = 1.0. The recorded criterion evidence supports full satisfaction: The paper clearly defines centralized trust, semantic rigidity and static topology as three core interoperability limitations.</t>
  </si>
  <si>
    <t>R2 score = 1.0. The recorded criterion evidence supports full satisfaction: Celestial's hybrid relay, interchain data unit, geo-aware routing and Proof of Cross-chain Transmission are specified in detail.</t>
  </si>
  <si>
    <t>R2 score = 1.0. The recorded criterion evidence supports full satisfaction: A 12K+ LoC implementation is evaluated in a large-scale heterogeneous cloud deployment under load, churn, faults and attacks.</t>
  </si>
  <si>
    <t>R2 score = 1.0. The recorded criterion evidence supports full satisfaction: The study reports 90+ Huawei Cloud nodes across three continents, node resources, Ethereum/ChainMaker stacks, traffic patterns and repeated trials.</t>
  </si>
  <si>
    <t>R2 score = 1.0. The recorded criterion evidence supports full satisfaction: TPS, P99 latency, fault recovery, verification cost, attack resilience and resource behavior are compared with state-of-the-art interoperability systems.</t>
  </si>
  <si>
    <t>R2 score = 1.0. The recorded criterion evidence supports full satisfaction: The experiments report 3,340 TPS, sub-600 ms P99 latency and strong fault/verification improvements under multiple scenarios.</t>
  </si>
  <si>
    <t>R2 score = 0.0. The recorded evidence does not demonstrate substantive satisfaction of this criterion. A dedicated limitations or threats-to-validity section is not identified; adversary assumptions are described but are not a substitute for validity analysis.</t>
  </si>
  <si>
    <t>R2 score = 1.0. The recorded criterion evidence supports full satisfaction: Practical claims are supported by a large multi-continent heterogeneous-cloud testbed with stress, churn and adversarial experiments.</t>
  </si>
  <si>
    <t>R2 score = 0.5. The recorded evidence supports only partial satisfaction. Extensive implementation detail and supplementary material are provided, but no study-specific public source-code repository is identified. The stated limitation/coverage gap prevents a full score.</t>
  </si>
  <si>
    <t>R2 score withheld because the actual PS040 (ShiftHub) full text is missing; the supplied PS040-named file corresponds to PS039.</t>
  </si>
  <si>
    <t>No consensus QA score locked until the actual PS040 full text is supplied.</t>
  </si>
  <si>
    <t>R2 score = 1.0. The recorded criterion evidence supports full satisfaction: The paper clearly identifies the privacy/verifiability/performance problem for cross-chain transfers among consortium blockchains.</t>
  </si>
  <si>
    <t>R2 score = 1.0. The recorded criterion evidence supports full satisfaction: The dual-balance model, four zk-SNARK transaction types, relay-chain workflow and UC/privacy guarantees are described in detail.</t>
  </si>
  <si>
    <t>R2 score = 1.0. The recorded criterion evidence supports full satisfaction: Formal analysis is combined with an implemented Hyperledger Fabric/jsnark/libsnark prototype and systematic experiments.</t>
  </si>
  <si>
    <t>R2 score = 1.0. The recorded criterion evidence supports full satisfaction: Fabric version, ZK libraries, server configurations, network topology, request rates and server-count variations are reported.</t>
  </si>
  <si>
    <t>R2 score = 1.0. The recorded criterion evidence supports full satisfaction: Proof overhead is compared with HyperMaze/zkCross, while Caliper measures throughput and latency over 150–900 TPS and 1–5 servers.</t>
  </si>
  <si>
    <t>R2 score = 1.0. The recorded criterion evidence supports full satisfaction: Results quantify proof generation/verification time and transaction bottlenecks, including stable rates around 476–520 TPS for the four operations.</t>
  </si>
  <si>
    <t>R2 score = 1.0. The recorded criterion evidence supports full satisfaction: The Discussion explicitly addresses homogeneous-chain scope, trusted setup/key rotation, auditability and richer privacy as deployment limitations/extensions.</t>
  </si>
  <si>
    <t>R2 score = 1.0. The recorded criterion evidence supports full satisfaction: Claims are tied to an implemented consortium-chain cross-chain testbed and practical limitations are explicitly distinguished from current evidence.</t>
  </si>
  <si>
    <t>R2 score = 0.5. The recorded evidence supports only partial satisfaction. Supplementary material and detailed configuration are provided, but no study-specific public source-code repository is identified. The stated limitation/coverage gap prevents a full score.</t>
  </si>
  <si>
    <t>R2 score = 1.0. The recorded criterion evidence supports full satisfaction: The paper clearly motivates the need for blockchain-specific software-engineering practices and defines its exploratory objectives.</t>
  </si>
  <si>
    <t>R2 score = 1.0. The recorded criterion evidence supports full satisfaction: It identifies concrete BOSE challenges in testing, security/reliability, architecture, modeling, metrics, roles and collaboration.</t>
  </si>
  <si>
    <t>R2 score = 1.0. The recorded criterion evidence supports full satisfaction: The exploratory repository study uses a documented selection/filtering process based on Moody's blockchain projects and CoinMarketCap.</t>
  </si>
  <si>
    <t>R2 score = 1.0. The recorded criterion evidence supports full satisfaction: The corpus construction is reported: 52 GitHub accounts, 1,184 repositories, and 193 retained repositories after explicit recency/fork/age filters.</t>
  </si>
  <si>
    <t>R2 score = 0.5. The recorded evidence supports only partial satisfaction. Repository metrics such as stars, contributors, issues, watchers, forks, age and language are reported, but metric selection/comparative baselines are only lightly justified. The stated limitation/coverage gap prevents a full score.</t>
  </si>
  <si>
    <t>R2 score = 1.0. The recorded criterion evidence supports full satisfaction: Descriptive findings and repository statistics are presented and used to motivate proposed BOSE research directions.</t>
  </si>
  <si>
    <t>R2 score = 0.0. The recorded evidence does not demonstrate substantive satisfaction of this criterion. No formal limitations or threats-to-validity discussion is provided.</t>
  </si>
  <si>
    <t>R2 score = 0.5. The recorded evidence supports only partial satisfaction. The proposed research directions are useful but are inferred from a short, historically bounded GitHub snapshot rather than broader practitioner/industrial validation. The stated limitation/coverage gap prevents a full score.</t>
  </si>
  <si>
    <t>R2 score = 0.5. The recorded evidence supports only partial satisfaction. Dataset-selection logic and extracted fields are documented, but no public raw study dataset/package is identified. The stated limitation/coverage gap prevents a full score.</t>
  </si>
  <si>
    <t>R2 score = 1.0. The recorded criterion evidence supports full satisfaction: The study clearly defines research questions on blockchain developers' characteristics, motivations, challenges, differences and tool needs.</t>
  </si>
  <si>
    <t>R2 score = 1.0. The recorded criterion evidence supports full satisfaction: The empirical contribution is sufficiently described and explicitly connected to blockchain software development practice.</t>
  </si>
  <si>
    <t>R2 score = 1.0. The recorded criterion evidence supports full satisfaction: The survey method, participant mining/recruitment, qualitative coding, statistical analysis and inter-rater reliability procedures are documented.</t>
  </si>
  <si>
    <t>R2 score = 1.0. The recorded criterion evidence supports full satisfaction: The study reports 1,604 invited active developers from 145 blockchain projects and 156 usable responses, together with respondent demographics.</t>
  </si>
  <si>
    <t>R2 score = 1.0. The recorded criterion evidence supports full satisfaction: Likert-scale comparisons, qualitative coding, statistical tests/effect sizes and comparison with prior software-engineering surveys are methodologically justified.</t>
  </si>
  <si>
    <t>R2 score = 1.0. The recorded criterion evidence supports full satisfaction: Quantitative and coded qualitative results are reported clearly for the research questions and tool/development challenges.</t>
  </si>
  <si>
    <t>R2 score = 1.0. The recorded criterion evidence supports full satisfaction: The paper contains an explicit threats-to-validity discussion covering internal, construct, external and conclusion validity.</t>
  </si>
  <si>
    <t>R2 score = 1.0. The recorded criterion evidence supports full satisfaction: Practical recommendations for tools and development support are directly grounded in responses from active blockchain developers and appropriately qualified.</t>
  </si>
  <si>
    <t>R2 score = 0.5. The recorded evidence supports only partial satisfaction. Survey questions, coding scheme and analytical procedure are documented, but no complete public respondent-level dataset/reproducibility package is identified. The stated limitation/coverage gap prevents a full score.</t>
  </si>
  <si>
    <t>R2 score = 1.0. The recorded criterion evidence supports full satisfaction: The paper clearly identifies immature DApp development practice and the need for a disciplined blockchain-specific lifecycle method.</t>
  </si>
  <si>
    <t>R2 score = 1.0. The recorded criterion evidence supports full satisfaction: ABCDE covers requirements, parallel smart-contract/app flows, design, implementation, testing, integration, deployment, security and gas optimization with adapted UML.</t>
  </si>
  <si>
    <t>R2 score = 1.0. The recorded criterion evidence supports full satisfaction: The method is specified step-by-step and evaluated through real-project usage, a worked DEX example and an early-developer survey.</t>
  </si>
  <si>
    <t>R2 score = 1.0. The recorded criterion evidence supports full satisfaction: The evaluation reports a 14-developer early-use survey, experience/project counts, ABCDE project use and a worked real-case-derived DApp example.</t>
  </si>
  <si>
    <t>R2 score = 0.5. The recorded evidence supports only partial satisfaction. Usefulness/ease-of-use items use explicit 1–5 scales with mean/SD, but there is no competing-process baseline or controlled comparative evaluation. The stated limitation/coverage gap prevents a full score.</t>
  </si>
  <si>
    <t>R2 score = 1.0. The recorded criterion evidence supports full satisfaction: Survey results are reported numerically and the paper transparently uses them to motivate method improvements.</t>
  </si>
  <si>
    <t>R2 score = 1.0. The recorded criterion evidence supports full satisfaction: A dedicated threats-to-validity discussion addresses construct and external validity and explicitly notes the 14-developer evidence base and Ethereum/Solidity scope.</t>
  </si>
  <si>
    <t>R2 score = 0.5. The recorded evidence supports only partial satisfaction. The method has real-project use and favorable early feedback, but the small non-comparative sample limits broad claims of industrial effectiveness. The stated limitation/coverage gap prevents a full score.</t>
  </si>
  <si>
    <t>R2 score = 0.5. The recorded evidence supports only partial satisfaction. Detailed process steps, UML extensions and checklists are contained in the paper, but no complete public study artifact/evaluation dataset is identified. The stated limitation/coverage gap prevents a full score.</t>
  </si>
  <si>
    <t>R2 score = 1.0. The recorded criterion evidence supports full satisfaction: The paper clearly identifies high setup/configuration and multi-platform development costs for smart contracts/BaaS as the problem.</t>
  </si>
  <si>
    <t>R2 score = 1.0. The recorded criterion evidence supports full satisfaction: ChainIDE 2.0's cloud IDE architecture, multi-blockchain support, CDN/cache use and development workflow are described.</t>
  </si>
  <si>
    <t>R2 score = 0.5. The recorded evidence supports only partial satisfaction. The operational platform is described and statistics are reported, but the paper does not present a rigorous controlled evaluation of developer efficiency or usability. The stated limitation/coverage gap prevents a full score.</t>
  </si>
  <si>
    <t>R2 score = 0.5. The recorded evidence supports only partial satisfaction. Platform usage volume and setup examples are given, but workload/user sampling and data-collection procedures for the operational statistics are only partially documented. The stated limitation/coverage gap prevents a full score.</t>
  </si>
  <si>
    <t>R2 score = 0.5. The recorded evidence supports only partial satisfaction. Compiled-contract counts, geographic reach and supported platforms are useful operational metrics, but comparative evaluation criteria/baselines are limited. The stated limitation/coverage gap prevents a full score.</t>
  </si>
  <si>
    <t>R2 score = 1.0. The recorded criterion evidence supports full satisfaction: The operational statistics are clearly reported, including about 990k compilations, 100+ countries and 11 supported blockchains.</t>
  </si>
  <si>
    <t>R2 score = 0.0. The recorded evidence does not demonstrate substantive satisfaction of this criterion. No formal limitations or threats-to-validity analysis is provided.</t>
  </si>
  <si>
    <t>R2 score = 1.0. The recorded criterion evidence supports full satisfaction: The tool's practical applicability is supported by substantial real service usage rather than only a laboratory prototype.</t>
  </si>
  <si>
    <t>R2 score = 0.5. The recorded evidence supports only partial satisfaction. Architecture and service behavior are documented and the platform was operational, but no complete study-specific source/data package is identified. The stated limitation/coverage gap prevents a full score.</t>
  </si>
  <si>
    <t>R2 score = 1.0. The recorded criterion evidence supports full satisfaction: The paper clearly motivates early testing for immutable smart contracts and identifies validation/quality assurance as a software-engineering problem.</t>
  </si>
  <si>
    <t>R2 score = 0.5. The recorded evidence supports only partial satisfaction. A preliminary model-based approach is outlined through UML/model-based testing, smart-contract templates and code-generation concepts, but it is not specified as a complete executable method. The stated limitation/coverage gap prevents a full score.</t>
  </si>
  <si>
    <t>R2 score = 0.5. The recorded evidence supports only partial satisfaction. The work is a reasoned methodological discussion rather than a reproducible empirical evaluation; the authors explicitly state that the proposal is preliminary. The stated limitation/coverage gap prevents a full score.</t>
  </si>
  <si>
    <t>R2 score = N/A. The criterion is genuinely not applicable to this study design/contribution. No empirical dataset, participants or experimental environment are used because the contribution is conceptual/methodological.</t>
  </si>
  <si>
    <t>R2 score = N/A. The criterion is genuinely not applicable to this study design/contribution. No comparative empirical metrics or baselines are applied to the proposed approach.</t>
  </si>
  <si>
    <t>R2 score = 0.5. The recorded evidence supports only partial satisfaction. The paper provides a coherent argument and design rationale, but no implemented-study results demonstrate defect reduction or development-cost effects. The stated limitation/coverage gap prevents a full score.</t>
  </si>
  <si>
    <t>R2 score = 1.0. The recorded criterion evidence supports full satisfaction: The authors explicitly describe the work as a preliminary view, discuss tool/model-based testing constraints, and identify systematic review and industrial validation as necessary future work.</t>
  </si>
  <si>
    <t>R2 score = 0.5. The recorded evidence supports only partial satisfaction. Potential benefits are plausible and grounded in software-testing principles, but practical smart-contract benefits have not yet been empirically demonstrated. The stated limitation/coverage gap prevents a full score.</t>
  </si>
  <si>
    <t>R2 score = 0.5. The recorded evidence supports only partial satisfaction. Figures, process concepts and modelling guidance are documented, but no study-specific implementation, dataset or replication package is provided. The stated limitation/coverage gap prevents a full score.</t>
  </si>
  <si>
    <t>R2 score = 1.0. The recorded criterion evidence supports full satisfaction: The paper clearly identifies the need for contract-oriented software architecture to support service requirements and smart-contract engineering.</t>
  </si>
  <si>
    <t>R2 score = 1.0. The recorded criterion evidence supports full satisfaction: The legal–logic–interactive models, four-layer blockchain framework and smart-contract design/development/deployment/execution architecture are described in detail.</t>
  </si>
  <si>
    <t>R2 score = 0.5. The recorded evidence supports only partial satisfaction. The framework is explained systematically, but no empirical or controlled validation procedure is reported. The stated limitation/coverage gap prevents a full score.</t>
  </si>
  <si>
    <t>R2 score = N/A. The criterion is genuinely not applicable to this study design/contribution. The contribution is an architectural framework illustrated by an online car-rental scenario rather than an empirical experiment.</t>
  </si>
  <si>
    <t>R2 score = N/A. The criterion is genuinely not applicable to this study design/contribution. No formal evaluation metrics or comparative baselines are used.</t>
  </si>
  <si>
    <t>R2 score = 0.5. The recorded evidence supports only partial satisfaction. The car-rental example illustrates the framework's intended use, but no measured effectiveness, correctness or performance results are reported. The stated limitation/coverage gap prevents a full score.</t>
  </si>
  <si>
    <t>R2 score = 0.0. The recorded evidence does not demonstrate substantive satisfaction of this criterion. The article does not provide a substantive limitations or threats-to-validity discussion of the proposed framework.</t>
  </si>
  <si>
    <t>R2 score = 0.5. The recorded evidence supports only partial satisfaction. Claims about future contract-oriented application development are conceptually motivated but not supported by deployed or empirical evidence. The stated limitation/coverage gap prevents a full score.</t>
  </si>
  <si>
    <t>R2 score = 0.5. The recorded evidence supports only partial satisfaction. Architecture diagrams and language/runtime concepts are provided, but no study-specific implementation or reproducibility artifact is identified. The stated limitation/coverage gap prevents a full score.</t>
  </si>
  <si>
    <t>R2 score = 1.0. The recorded criterion evidence supports full satisfaction: The study clearly defines the difficulty of safely developing cross-organizational blockchain applications that integrate business processes and asset management.</t>
  </si>
  <si>
    <t>R2 score = 1.0. The recorded criterion evidence supports full satisfaction: The integrated MDE approach, BPMN/asset-registry models, smart-contract generators, blockchain interaction methods and Lorikeet tool are described in detail.</t>
  </si>
  <si>
    <t>R2 score = 1.0. The recorded criterion evidence supports full satisfaction: The approach is implemented and evaluated as case studies for feasibility, functional correctness and cost effectiveness.</t>
  </si>
  <si>
    <t>R2 score = 1.0. The recorded criterion evidence supports full satisfaction: Four industry/government-derived use cases are described, together with generated contracts, testing workflow and Ethereum execution context.</t>
  </si>
  <si>
    <t>R2 score = 1.0. The recorded criterion evidence supports full satisfaction: Feasibility, functional correctness and gas consumption are assessed; gas results are contextualized against more than 292 million public-Ethereum contract-invocation transactions.</t>
  </si>
  <si>
    <t>R2 score = 1.0. The recorded criterion evidence supports full satisfaction: The test suite and gas results are clearly reported and support the claim that generated contracts are functionally correct and not obviously gas-inefficient.</t>
  </si>
  <si>
    <t>R2 score = 0.5. The recorded evidence supports only partial satisfaction. The conclusion explicitly cautions that the large-scale gas comparison cannot support definitive absolute conclusions and identifies further work, but no dedicated threats-to-validity section is provided. The stated limitation/coverage gap prevents a full score.</t>
  </si>
  <si>
    <t>R2 score = 1.0. The recorded criterion evidence supports full satisfaction: Claims are appropriately bounded to feasibility, functional correctness and cost indication, and the authors explicitly qualify the gas comparison.</t>
  </si>
  <si>
    <t>R2 score = 1.0. The recorded criterion evidence supports full satisfaction: The Lorikeet implementation is described in detail; the full test suite and evaluation code are stated to be available online for reproducibility.</t>
  </si>
  <si>
    <t>R2 score = 1.0. The recorded criterion evidence supports full satisfaction: The paper clearly motivates understanding blockchain developers' discussion topics and the limitations of naive LDA across uneven platform corpora.</t>
  </si>
  <si>
    <t>R2 score = 1.0. The recorded criterion evidence supports full satisfaction: Balanced LDA, the empirically derived blockchain reference architecture and cross-platform topic mapping are described as the main technical/empirical contribution.</t>
  </si>
  <si>
    <t>R2 score = 1.0. The recorded criterion evidence supports full satisfaction: The study uses a systematic multi-stage empirical methodology combining public Stack Exchange data, per-platform LDA models, manual labelling and architectural mapping.</t>
  </si>
  <si>
    <t>R2 score = 1.0. The recorded criterion evidence supports full satisfaction: The paper reports a Stack Overflow corpus spanning 2008–2017 with 38,485,045 posts plus platform-specific Stack Exchange communities and explicit filtering procedures.</t>
  </si>
  <si>
    <t>R2 score = 1.0. The recorded criterion evidence supports full satisfaction: Popularity and impact metrics, LDA configuration/selection logic and cross-platform comparisons are explicitly defined and used to answer the RQs.</t>
  </si>
  <si>
    <t>R2 score = 1.0. The recorded criterion evidence supports full satisfaction: Results are reported by topic, architectural layer, platform and time, with quantitative distributions and trends supporting the findings.</t>
  </si>
  <si>
    <t>R2 score = 1.0. The recorded criterion evidence supports full satisfaction: A dedicated threats-to-validity discussion addresses dataset selection, topic-model interpretation and architectural mapping risks.</t>
  </si>
  <si>
    <t>R2 score = 1.0. The recorded criterion evidence supports full satisfaction: Recommendations for developers/researchers are grounded in a large public practitioner-discussion corpus and are framed as implications rather than deployment claims.</t>
  </si>
  <si>
    <t>R2 score = 0.5. The recorded evidence supports only partial satisfaction. Stack Exchange data are publicly available and the collection process is documented in the paper/appendix, but no complete study-specific scripts and replication package are identified. The stated limitation/coverage gap prevents a full score.</t>
  </si>
  <si>
    <t>R2 score = 1.0. The recorded criterion evidence supports full satisfaction: The paper clearly identifies the difficulty and error-proneness of manually developing immutable smart contracts and motivates MDA/UML-based generation.</t>
  </si>
  <si>
    <t>R2 score = 1.0. The recorded criterion evidence supports full satisfaction: Algorithms for Blockchain PIM-to-Solidity PSM transformation and PSM-to-code generation are specified with UML state-machine and structural mappings.</t>
  </si>
  <si>
    <t>R2 score = 1.0. The recorded criterion evidence supports full satisfaction: The implemented ATL/Acceleo transformations are applied to three Solidity documentation examples, and generated contracts are compiled, deployed and compared with originals.</t>
  </si>
  <si>
    <t>R2 score = 1.0. The recorded criterion evidence supports full satisfaction: The three example contracts, tooling, JavaScript VM deployment environment and generated/original contract comparisons are documented.</t>
  </si>
  <si>
    <t>R2 score = 1.0. The recorded criterion evidence supports full satisfaction: Generated contracts are compared with originals using Solidity code metrics, similarity scores and execution/gas costs.</t>
  </si>
  <si>
    <t>R2 score = 1.0. The recorded criterion evidence supports full satisfaction: The paper reports compilation/deployment success and comparative code/execution metrics that support feasibility of the transformations.</t>
  </si>
  <si>
    <t>R2 score = 0.5. The recorded evidence supports only partial satisfaction. The conclusion identifies remaining methodology-development and broader-platform work, but no structured threats-to-validity analysis is provided. The stated limitation/coverage gap prevents a full score.</t>
  </si>
  <si>
    <t>R2 score = 0.5. The recorded evidence supports only partial satisfaction. The results demonstrate technical feasibility, but practical generalizability is constrained by only three small documentation-derived smart contracts and sandbox deployment. The stated limitation/coverage gap prevents a full score.</t>
  </si>
  <si>
    <t>R2 score = 1.0. The recorded criterion evidence supports full satisfaction: Generated smart-contract files are publicly available in the authors' GitHub repository, and transformation/tool details are documented.</t>
  </si>
  <si>
    <t>R2 score = 1.0. The recorded criterion evidence supports full satisfaction: The paper clearly frames multi-party smart-contract development as a collaboration, comprehensibility and efficiency problem for technical and non-technical stakeholders.</t>
  </si>
  <si>
    <t>R2 score = 1.0. The recorded criterion evidence supports full satisfaction: The BPMN interaction model, multi-layer reuse library, Blockly-based visual generator, security checking, compilation and deployment components are described in detail.</t>
  </si>
  <si>
    <t>R2 score = 1.0. The recorded criterion evidence supports full satisfaction: The implemented tool is evaluated using five representative smart-contract cases and compared with related generation tools.</t>
  </si>
  <si>
    <t>R2 score = 1.0. The recorded criterion evidence supports full satisfaction: Five contract scenarios, manual versus reuse-assisted generation procedure and measured code/state/function reuse variables are explicitly reported.</t>
  </si>
  <si>
    <t>R2 score = 1.0. The recorded criterion evidence supports full satisfaction: Reuse rate is defined from reused versus manually developed code lines and complemented by feature-based comparison against seven related approaches.</t>
  </si>
  <si>
    <t>R2 score = 1.0. The recorded criterion evidence supports full satisfaction: Tabled results report 40.74%–100% reused-code rates and functional feature comparisons supporting the claimed reusability benefits.</t>
  </si>
  <si>
    <t>R2 score = 0.5. The recorded evidence supports only partial satisfaction. The conclusion identifies continued domain-library expansion, execution monitoring and correctness verification as ongoing work, but no dedicated limitations/threats section is provided. The stated limitation/coverage gap prevents a full score.</t>
  </si>
  <si>
    <t>R2 score = 0.5. The recorded evidence supports only partial satisfaction. The five-case results support technical feasibility/reuse, but the evaluation relies on one experienced developer and does not directly measure development time, defects or user comprehension. The stated limitation/coverage gap prevents a full score.</t>
  </si>
  <si>
    <t>R2 score = 0.5. The recorded evidence supports only partial satisfaction. A Blockly Solidity-function component is linked publicly and implementation details are documented, but the complete study tool, datasets and evaluation package are not provided as a unified public artifact. The stated limitation/coverage gap prevents a full score.</t>
  </si>
  <si>
    <t>R2 score = 1.0. The recorded criterion evidence supports full satisfaction: The paper clearly motivates the difficulty of locating smart contracts by category and the need for a trend-oriented public repository.</t>
  </si>
  <si>
    <t>R2 score = 1.0. The recorded criterion evidence supports full satisfaction: The contribution is a categorized Ethereum smart-contract dataset created from merged repositories and a seeded-LDA classification process.</t>
  </si>
  <si>
    <t>R2 score = 1.0. The recorded criterion evidence supports full satisfaction: Dataset merging, cleaning, deployment-date retrieval and seeded-LDA categorisation are described sufficiently to reproduce the broad process.</t>
  </si>
  <si>
    <t>R2 score = 1.0. The recorded criterion evidence supports full satisfaction: The study reports more than 125,000 initial contracts, 100,040 cleaned contracts and category/year distributions, with explicit source repositories.</t>
  </si>
  <si>
    <t>R2 score = 0.5. The recorded evidence supports only partial satisfaction. Topic coherence and seeded LDA are motivated, but no independent labelled ground truth or classification-accuracy baseline is reported. The stated limitation/coverage gap prevents a full score.</t>
  </si>
  <si>
    <t>R2 score = 1.0. The recorded criterion evidence supports full satisfaction: Category distributions and temporal trends are clearly reported and support identification of token and CNFT as dominant trends.</t>
  </si>
  <si>
    <t>R2 score = 0.5. The recorded evidence supports only partial satisfaction. The authors explicitly acknowledge poor coverage for 2015–2016 and uneven representation of later years, but provide no formal threats-to-validity analysis. The stated limitation/coverage gap prevents a full score.</t>
  </si>
  <si>
    <t>R2 score = 1.0. The recorded criterion evidence supports full satisfaction: The practical claim is limited to providing a categorized repository for researchers/developers and is directly supported by the released dataset.</t>
  </si>
  <si>
    <t>R2 score = 1.0. The recorded criterion evidence supports full satisfaction: The resulting Top-Trending-Contracts dataset is publicly available on GitHub, and the source datasets and processing steps are documented.</t>
  </si>
  <si>
    <t>R2 score = 1.0. The recorded criterion evidence supports full satisfaction: The paper clearly identifies incomplete/poorly connected smart-contract development phases and motivates a full MDA lifecycle.</t>
  </si>
  <si>
    <t>R2 score = 1.0. The recorded criterion evidence supports full satisfaction: MDAsmartCD covers CIM, PIM, two PSMs, UML extensions and model-to-model/model-to-text transformations for Solidity and Hyperledger Go.</t>
  </si>
  <si>
    <t>R2 score = 1.0. The recorded criterion evidence supports full satisfaction: The method is implemented with MagicDraw, ATL and Acceleo and demonstrated by generated/deployed smart contracts on Ethereum and Hyperledger Fabric.</t>
  </si>
  <si>
    <t>R2 score = 1.0. The recorded criterion evidence supports full satisfaction: The HackChain certificate-issuing workflow, model transformations, generated contracts, deployment environments and workflow execution are documented.</t>
  </si>
  <si>
    <t>R2 score = 1.0. The recorded criterion evidence supports full satisfaction: Generated code is assessed using code-quality/static-analysis measures and cross-platform execution equivalence rather than only illustrative inspection.</t>
  </si>
  <si>
    <t>R2 score = 1.0. The recorded criterion evidence supports full satisfaction: Both generated implementations compile, deploy and exhibit analogous workflow behaviour and blockchain-state results.</t>
  </si>
  <si>
    <t>R2 score = 1.0. The recorded criterion evidence supports full satisfaction: The Discussion explicitly identifies single-case evaluation, usability-study needs, cross-language static-analysis limitations and incomplete lifecycle automation.</t>
  </si>
  <si>
    <t>R2 score = 0.5. The recorded evidence supports only partial satisfaction. The method is technically demonstrated on two platforms, but practical effectiveness and usability remain based on one HackChain workflow rather than broader developer/industrial validation. The stated limitation/coverage gap prevents a full score.</t>
  </si>
  <si>
    <t>R2 score = 1.0. The recorded criterion evidence supports full satisfaction: Generated Solidity/Go code and study implementation material are publicly available at the MDAsmartCD GitHub repository.</t>
  </si>
  <si>
    <t>R2 score = 1.0. The recorded criterion evidence supports full satisfaction: The paper clearly defines automated BPMN-to-smart-contract generation, developer-efficiency/error reduction, and optional sidechain cost/privacy objectives.</t>
  </si>
  <si>
    <t>R2 score = 1.0. The recorded criterion evidence supports full satisfaction: The BPMN-to-DE-HSM transformations, smart-contract generation, sidechain extraction and runtime-monitoring approach are described extensively.</t>
  </si>
  <si>
    <t>R2 score = 1.0. The recorded criterion evidence supports full satisfaction: A proof-of-concept implementation is exercised on multiple business-process use cases and blockchain environments.</t>
  </si>
  <si>
    <t>R2 score = 1.0. The recorded criterion evidence supports full satisfaction: Three trade-oriented use cases and their deployment/execution on Ethereum, Hyperledger Fabric and Quorum are described with generated-state models.</t>
  </si>
  <si>
    <t>R2 score = 1.0. The recorded criterion evidence supports full satisfaction: The evaluation reports processing cost and latency for mainchain and mainchain/sidechain configurations and discusses privacy effects.</t>
  </si>
  <si>
    <t>R2 score = 1.0. The recorded criterion evidence supports full satisfaction: Figures and tables clearly report Ethereum gas/USD costs and latency changes under sidechain use across the three cases.</t>
  </si>
  <si>
    <t>R2 score = 1.0. The recorded criterion evidence supports full satisfaction: The paper explicitly documents unsupported BPMN elements, open long-running transaction semantics, PoC status and scalability/global-clock concerns.</t>
  </si>
  <si>
    <t>R2 score = 0.5. The recorded evidence supports only partial satisfaction. The PoC demonstrates feasibility and performance implications, but the authors explicitly state that efficiency, scalability and several BPMN features remain unresolved. The stated limitation/coverage gap prevents a full score.</t>
  </si>
  <si>
    <t>R2 score = 0.5. The recorded evidence supports only partial satisfaction. Implementation and deployment details are substantial and a demo/limited access is offered on request, but no public complete source-code/replication package is supplied. The stated limitation/coverage gap prevents a full score.</t>
  </si>
  <si>
    <t>R2 score = 1.0. The recorded criterion evidence supports full satisfaction: The study clearly motivates the lack of large-scale knowledge about Ethereum proxy prevalence, deployment patterns and proxy types.</t>
  </si>
  <si>
    <t>R2 score = 1.0. The recorded criterion evidence supports full satisfaction: A behavioral proxy-detection technique, creational-pattern taxonomy and proxy type analyses are described in depth.</t>
  </si>
  <si>
    <t>R2 score = 1.0. The recorded criterion evidence supports full satisfaction: The detection method is validated against ground truth and then applied to a complete Ethereum-scale dataset with quantitative and qualitative analyses.</t>
  </si>
  <si>
    <t>R2 score = 1.0. The recorded criterion evidence supports full satisfaction: The study covers 50,845,833 smart contracts and 1,695,517,186 transactions through September 2022 and documents ground-truth construction and DApp samples.</t>
  </si>
  <si>
    <t>R2 score = 1.0. The recorded criterion evidence supports full satisfaction: Precision, recall, F1, prevalence ratios, temporal trends and manually validated pattern/type distributions are used appropriately for the research questions.</t>
  </si>
  <si>
    <t>R2 score = 1.0. The recorded criterion evidence supports full satisfaction: Results are extensively reported, including 14.2% proxy prevalence, deployment-style distributions and proxy-purpose/reference-implementation patterns.</t>
  </si>
  <si>
    <t>R2 score = 1.0. The recorded criterion evidence supports full satisfaction: A dedicated threats-to-validity section discusses detection, data, labelling and generalizability risks.</t>
  </si>
  <si>
    <t>R2 score = 1.0. The recorded criterion evidence supports full satisfaction: Practical recommendations and research implications are grounded in the full-scale Ethereum evidence and are appropriately distinguished from causal claims.</t>
  </si>
  <si>
    <t>R2 score = 1.0. The recorded criterion evidence supports full satisfaction: Four ground-truth datasets and a public supplementary/replication package are provided; the supplied manuscript identifies the GitHub replication repository.</t>
  </si>
  <si>
    <t>R2 score = 1.0. The recorded criterion evidence supports full satisfaction: The paper clearly identifies the absence of Solidity-focused code-generation benchmarks and the security/correctness risks of LLM-generated smart contracts.</t>
  </si>
  <si>
    <t>R2 score = 1.0. The recorded criterion evidence supports full satisfaction: A TDD-inspired benchmark pipeline combining natural-language specifications, Hardhat tests, compilation and Slither analysis is specified.</t>
  </si>
  <si>
    <t>R2 score = 1.0. The recorded criterion evidence supports full satisfaction: The open-source benchmark is executed systematically on five 7–8B parameter models across three complexity levels using repeated generations and pass@k.</t>
  </si>
  <si>
    <t>R2 score = 1.0. The recorded criterion evidence supports full satisfaction: Fifteen reviewed use cases, test construction, model set, hardware, Docker/Ollama environment and generation process are reported.</t>
  </si>
  <si>
    <t>R2 score = 1.0. The recorded criterion evidence supports full satisfaction: Compilation validity, Slither vulnerability status, functional-test success and pass@k are explicitly defined and applied consistently.</t>
  </si>
  <si>
    <t>R2 score = 1.0. The recorded criterion evidence supports full satisfaction: Pass@1/pass@k tables clearly show declining performance with complexity and failure on complex cases, supporting the interpretation.</t>
  </si>
  <si>
    <t>R2 score = 0.5. The recorded evidence supports only partial satisfaction. Future work explicitly identifies the need for more use cases, unit tests, static analyzers, fuzzing, formal verification, prompting methods and larger models, but no structured threats-to-validity section is provided. The stated limitation/coverage gap prevents a full score.</t>
  </si>
  <si>
    <t>R2 score = 0.5. The recorded evidence supports only partial satisfaction. The benchmark demonstrates useful model differences, but conclusions about LLM smart-contract capability are constrained by only 15 use cases and relatively small open-source models. The stated limitation/coverage gap prevents a full score.</t>
  </si>
  <si>
    <t>R2 score = 1.0. The recorded criterion evidence supports full satisfaction: The benchmark is publicly released as an open-source GitHub pipeline and the hardware/toolchain are documented.</t>
  </si>
  <si>
    <t>R2 score = 1.0. The recorded criterion evidence supports full satisfaction: The study clearly identifies uncertainty about how Solidity developers use and misuse error-handling features over time.</t>
  </si>
  <si>
    <t>R2 score = 1.0. The recorded criterion evidence supports full satisfaction: The contribution combines language-feature evolution analysis, empirical usage/misuse analysis and actionable documentation/tool recommendations.</t>
  </si>
  <si>
    <t>R2 score = 1.0. The recorded criterion evidence supports full satisfaction: A large-scale empirical methodology, heuristic detection rules, AST cross-checking and manual false-positive validation are documented.</t>
  </si>
  <si>
    <t>R2 score = 1.0. The recorded criterion evidence supports full satisfaction: The study analyses 283,000 unique open-source Solidity contracts and 102 Solidity releases, with sampling/validation procedures specified.</t>
  </si>
  <si>
    <t>R2 score = 1.0. The recorded criterion evidence supports full satisfaction: Usage frequencies, temporal evolution, misuse categories and validation samples are explicitly operationalized and analysed.</t>
  </si>
  <si>
    <t>R2 score = 1.0. The recorded criterion evidence supports full satisfaction: The results quantitatively report adoption and misuse patterns, including require usage and evolution across Solidity versions.</t>
  </si>
  <si>
    <t>R2 score = 1.0. The recorded criterion evidence supports full satisfaction: A dedicated threats-to-validity section addresses heuristic construct validity, false positives/negatives, excluded revert cases and generalizability.</t>
  </si>
  <si>
    <t>R2 score = 1.0. The recorded criterion evidence supports full satisfaction: Recommendations to developers and Solidity designers follow directly from the large empirical corpus and documented misuse patterns.</t>
  </si>
  <si>
    <t>R2 score = 1.0. The recorded criterion evidence supports full satisfaction: The curated dataset and SolBench analysis tool are publicly available on GitHub, with supplementary rule details referenced.</t>
  </si>
  <si>
    <t>R2 score = 1.0. The recorded criterion evidence supports full satisfaction: The paper clearly identifies platform-specific smart-contract languages, maintenance constraints and the need for platform-independent graphical modelling.</t>
  </si>
  <si>
    <t>R2 score = 1.0. The recorded criterion evidence supports full satisfaction: SCEditor's metamodel, Eclipse Sirius implementation, Smart Contract Diagram and Function Diagram elements are described in detail.</t>
  </si>
  <si>
    <t>R2 score = 0.5. The recorded evidence supports only partial satisfaction. The prototype is validated against one voting smart contract in Solidity/Vyper, but there is no controlled user, usability or comparative experimental design. The stated limitation/coverage gap prevents a full score.</t>
  </si>
  <si>
    <t>R2 score = 0.5. The recorded evidence supports only partial satisfaction. The voting case and represented code elements are documented, but the evaluation consists of a single reference contract with no participant or broader case sample. The stated limitation/coverage gap prevents a full score.</t>
  </si>
  <si>
    <t>R2 score = 0.5. The recorded evidence supports only partial satisfaction. Structural and behavioral representation counts are reported and related approaches are discussed, but no formal baseline or effectiveness metric is justified. The stated limitation/coverage gap prevents a full score.</t>
  </si>
  <si>
    <t>R2 score = 1.0. The recorded criterion evidence supports full satisfaction: Results clearly report full structural representation but only about 50% behavioral representation, yielding approximately 68% total component coverage.</t>
  </si>
  <si>
    <t>R2 score = 1.0. The recorded criterion evidence supports full satisfaction: The Discussion explicitly identifies overcrowded behavioral diagrams, unsupported statements, absent testing/exception-handling features and need for further validation.</t>
  </si>
  <si>
    <t>R2 score = 0.5. The recorded evidence supports only partial satisfaction. The case demonstrates metamodel/prototype feasibility, but practical usability and multi-language code-generation claims require broader validation. The stated limitation/coverage gap prevents a full score.</t>
  </si>
  <si>
    <t>R2 score = 0.5. The recorded evidence supports only partial satisfaction. Metamodel/editor implementation details are substantial, but no public SCEditor study-specific source-code or replication package is identified. The stated limitation/coverage gap prevents a full score.</t>
  </si>
  <si>
    <t>R2 score = 1.0. The recorded criterion evidence supports full satisfaction: The study clearly motivates real-world smart-contract evolution under blockchain immutability and frames prevalence, gas and vulnerability RQs.</t>
  </si>
  <si>
    <t>R2 score = 1.0. The recorded criterion evidence supports full satisfaction: The digEvolution similarity-search algorithm, datasets and evolution/gas/security analyses are described in detail.</t>
  </si>
  <si>
    <t>R2 score = 1.0. The recorded criterion evidence supports full satisfaction: The method is validated under multiple search strategies before large-scale application and is complemented by vulnerability tools and a developer survey.</t>
  </si>
  <si>
    <t>R2 score = 1.0. The recorded criterion evidence supports full satisfaction: The study constructs multiple on-chain/open-source/bug-fix datasets, including an 80,152-contract on-chain dataset and documented survey evidence.</t>
  </si>
  <si>
    <t>R2 score = 1.0. The recorded criterion evidence supports full satisfaction: Precision/recall/F1 for evolution detection, gas patterns and multiple vulnerability detectors are operationalized and compared across version pairs.</t>
  </si>
  <si>
    <t>R2 score = 1.0. The recorded criterion evidence supports full satisfaction: Results are quantitatively reported for evolution frequency, gas changes and vulnerability changes, with survey evidence triangulating selected findings.</t>
  </si>
  <si>
    <t>R2 score = 1.0. The recorded criterion evidence supports full satisfaction: A dedicated threats-to-validity section discusses evolution-chain misclassification, code homogeneity, detection-tool coverage and dataset implications.</t>
  </si>
  <si>
    <t>R2 score = 1.0. The recorded criterion evidence supports full satisfaction: Developer recommendations and research implications are tied to observed on-chain evolution and explicitly account for limitations of existing analysis tools.</t>
  </si>
  <si>
    <t>R2 score = 1.0. The recorded criterion evidence supports full satisfaction: The paper publicly releases source code and study datasets at the Characterizing-Smart-Contract-Evolution GitHub repository.</t>
  </si>
  <si>
    <t>R2 score = 1.0. The recorded criterion evidence supports full satisfaction: The paper clearly identifies the lack of systematic evidence about prevalence, co-evolution, bug-proneness and causes of Solidity code clones.</t>
  </si>
  <si>
    <t>R2 score = 1.0. The recorded criterion evidence supports full satisfaction: The empirical contribution defines clone types, co-evolution categories, study RQs and a complete analysis workflow using NiCad and repository evolution.</t>
  </si>
  <si>
    <t>R2 score = 1.0. The recorded criterion evidence supports full satisfaction: The study uses explicit project-selection criteria, clone detection configurations, version analysis, bug-fix analysis and qualitative multi-rater validation.</t>
  </si>
  <si>
    <t>R2 score = 1.0. The recorded criterion evidence supports full satisfaction: The dataset contains 26,294 smart contracts and 97,877 functions from Etherscan, OpenZeppelin and Synthetix, with version/project-selection rules reported.</t>
  </si>
  <si>
    <t>R2 score = 1.0. The recorded criterion evidence supports full satisfaction: Clone-function/code-line ratios, co-evolution rates, bug-fix involvement and qualitative change explanations are defined and measured across the datasets.</t>
  </si>
  <si>
    <t>R2 score = 1.0. The recorded criterion evidence supports full satisfaction: Tables and figures report clone prevalence, average 32.01% co-evolution and the absence of clone involvement in studied bug-fixing commits.</t>
  </si>
  <si>
    <t>R2 score = 1.0. The recorded criterion evidence supports full satisfaction: A dedicated threats-to-validity section covers NiCad configuration, qualitative coding bias and external-validity risks, with mitigation steps.</t>
  </si>
  <si>
    <t>R2 score = 1.0. The recorded criterion evidence supports full satisfaction: Recommendations for clone-management practice and tooling follow directly from measured prevalence/co-evolution evidence and are appropriately scoped.</t>
  </si>
  <si>
    <t>R2 score = 1.0. The recorded criterion evidence supports full satisfaction: The authors state that the collected data are publicly shared on the study website, and project/configuration/annotation details are documented.</t>
  </si>
  <si>
    <t>R2 score = 1.0. The recorded criterion evidence supports full satisfaction: The study explicitly asks why early software-development phases are critical for blockchain applications and focuses on upgrading consequences after deployment.</t>
  </si>
  <si>
    <t>R2 score = 1.0. The recorded criterion evidence supports full satisfaction: A digital-identity system using microservices and smart contracts is described, including initial architecture, upgrade requirements and on-chain/off-chain repercussions.</t>
  </si>
  <si>
    <t>R2 score = 0.5. The recorded evidence supports only partial satisfaction. The authors state that the research follows case-based research and analyse economic, computational and interconnected effects, but the single-case design does not provide a detailed replication protocol or multi-case validation. The stated limitation/coverage gap prevents a full score.</t>
  </si>
  <si>
    <t>R2 score = 1.0. The recorded criterion evidence supports full satisfaction: The digital-identity case, microservice architecture, Ethereum smart contracts, upgrade scenario and gas-cost experiment are described in sufficient technical detail for classification.</t>
  </si>
  <si>
    <t>R2 score = 0.5. The recorded evidence supports only partial satisfaction. The study reports gas/economic consequences and architectural effects, but there is no substantive comparative baseline or broader quantitative evaluation framework. The stated limitation/coverage gap prevents a full score.</t>
  </si>
  <si>
    <t>R2 score = 1.0. The recorded criterion evidence supports full satisfaction: Findings on purpose duplication, storage wastage, legitimacy, cascade dependencies, migration complexity and economic cost are clearly reported and tied to the case evidence.</t>
  </si>
  <si>
    <t>R2 score = 1.0. The recorded criterion evidence supports full satisfaction: A dedicated 'Delimitation' subsection identifies excluded assumptions including consensus changes, blockchain attacks, inter-microservice security and tunneling.</t>
  </si>
  <si>
    <t>R2 score = 0.5. The recorded evidence supports only partial satisfaction. The recommendations are relevant to blockchain software engineering, but generalization rests primarily on one digital-identity/microservice case. The stated limitation/coverage gap prevents a full score.</t>
  </si>
  <si>
    <t>R2 score = 0.5. The recorded evidence supports only partial satisfaction. Architecture, contract-upgrade procedure and experimental details are documented, but no study-specific public code/data/replication package is identified. The stated limitation/coverage gap prevents a full score.</t>
  </si>
  <si>
    <t>R2 score = 1.0. The recorded criterion evidence supports full satisfaction: The paper clearly identifies the lack of comprehensive tools and datasets for tracing immutable smart-contract version histories and upgrade relationships.</t>
  </si>
  <si>
    <t>R2 score = 1.0. The recorded criterion evidence supports full satisfaction: EvoChain's data, API and user-interface layers, Neo4j graph schema, proxy/version relationships and vulnerability views are described.</t>
  </si>
  <si>
    <t>R2 score = 0.5. The recorded evidence supports only partial satisfaction. Data collection and graph construction are explained, but the paper does not report a formal accuracy, usability or performance evaluation of the framework itself. The stated limitation/coverage gap prevents a full score.</t>
  </si>
  <si>
    <t>R2 score = 1.0. The recorded criterion evidence supports full satisfaction: The dataset is grounded in EthereumETL and Etherscan and contains approximately 1.3 million upgradeable proxies and nearly 15,000 historical versions.</t>
  </si>
  <si>
    <t>R2 score = 0.0. The recorded evidence does not demonstrate substantive satisfaction of this criterion. No formal evaluation metrics or comparative baselines are used to quantify EvoChain's tracking accuracy, interface usability or scalability.</t>
  </si>
  <si>
    <t>R2 score = 0.5. The recorded evidence supports only partial satisfaction. The paper documents capabilities, dataset scale and intended applications, but provides limited measured evaluation results beyond descriptive dataset characteristics. The stated limitation/coverage gap prevents a full score.</t>
  </si>
  <si>
    <t>R2 score = 1.0. The recorded criterion evidence supports full satisfaction: The limitations section explicitly discusses data completeness, proxy-pattern scope, cross-platform coverage and scalability challenges, with planned enhancements.</t>
  </si>
  <si>
    <t>R2 score = 0.5. The recorded evidence supports only partial satisfaction. Potential benefits for transparency, vulnerability research and stakeholder analysis are plausible, but they are not validated through user or comparative operational studies. The stated limitation/coverage gap prevents a full score.</t>
  </si>
  <si>
    <t>R2 score = 1.0. The recorded criterion evidence supports full satisfaction: The EvoChain dataset and tool are publicly available on GitHub, and the data schema and supporting tools such as PROXiFY are documented.</t>
  </si>
  <si>
    <t>R2 score = 1.0. The recorded criterion evidence supports full satisfaction: The paper clearly identifies the inadequacy of existing delegatecall/call-based maintenance patterns for combined state and logic changes and motivates transparent maintenance.</t>
  </si>
  <si>
    <t>R2 score = 1.0. The recorded criterion evidence supports full satisfaction: SmartUpdater's hyperproxy pattern, DSL, optimization-oriented contract generation and SNARK-based state-migration verification are described in depth.</t>
  </si>
  <si>
    <t>R2 score = 1.0. The recorded criterion evidence supports full satisfaction: The approach is implemented and evaluated through extensive experiments, real-world maintenance cases, developer-effort measurements, gas analysis and state-migration verification.</t>
  </si>
  <si>
    <t>R2 score = 1.0. The recorded criterion evidence supports full satisfaction: The evaluation uses 1,355 real-world contract-maintenance cases and reports developer-oriented evaluation, experimental configurations and state/gas scenarios.</t>
  </si>
  <si>
    <t>R2 score = 1.0. The recorded criterion evidence supports full satisfaction: Development time, gas consumption, maintenance comparisons and proof-verification costs are explicitly defined and compared with actual maintenance approaches.</t>
  </si>
  <si>
    <t>R2 score = 1.0. The recorded criterion evidence supports full satisfaction: Results clearly report average development effort, the proportion of contracts reducing gas, average gas savings and verification-cost reductions.</t>
  </si>
  <si>
    <t>R2 score = 1.0. The recorded criterion evidence supports full satisfaction: A dedicated 'Limitations And Future Directions' subsection discusses participant bias, unsupported contract situations and further integration/automation needs.</t>
  </si>
  <si>
    <t>R2 score = 1.0. The recorded criterion evidence supports full satisfaction: Claims are grounded in large real-world maintenance cases and developer/gas evidence, and the limitations appropriately constrain generalization.</t>
  </si>
  <si>
    <t>R2 score = 1.0. The recorded criterion evidence supports full satisfaction: The SmartUpdater source code is explicitly released on GitHub, and implementation, DSL, experiment and verification details are documented.</t>
  </si>
  <si>
    <t>R2 score withheld pending the peer-reviewed Version of Record; the current criterion evidence is provisional because the supplied source is explicitly an unreviewed preprint.</t>
  </si>
  <si>
    <t>No consensus QA score locked until the peer-reviewed Version of Record is supplied.</t>
  </si>
  <si>
    <t>R2 score = 1.0. The recorded criterion evidence supports full satisfaction: The study clearly motivates the security risks arising from Ethereum execution semantics and the need to detect vulnerable contracts before deployment.</t>
  </si>
  <si>
    <t>R2 score = 1.0. The recorded criterion evidence supports full satisfaction: The paper formalizes relevant Ethereum semantics, documents vulnerability classes and presents the Oyente symbolic-execution architecture and detectors.</t>
  </si>
  <si>
    <t>R2 score = 1.0. The recorded criterion evidence supports full satisfaction: Oyente is implemented and evaluated on deployed Ethereum bytecode, with manual validation of contracts having available source code and real-network attack confirmation on the authors' own accounts.</t>
  </si>
  <si>
    <t>R2 score = 1.0. The recorded criterion evidence supports full satisfaction: The evaluation covers 19,366 Ethereum contracts from the first 1.46 million blocks, with source-available subsets used for manual false-positive verification.</t>
  </si>
  <si>
    <t>R2 score = 1.0. The recorded criterion evidence supports full satisfaction: The evaluation reports vulnerable-contract counts, performance, false-positive checks on source-available contracts and case-based confirmation of identified attack classes.</t>
  </si>
  <si>
    <t>R2 score = 1.0. The recorded criterion evidence supports full satisfaction: Results are clearly reported for transaction-ordering, timestamp, mishandled-exception and reentrancy-related issues, including TheDAO detection and main-network cases.</t>
  </si>
  <si>
    <t>R2 score = 0.5. The recorded evidence supports only partial satisfaction. The paper discusses false positives, bounded path exploration and detector limitations, but does not provide a dedicated structured threats-to-validity section. The stated limitation/coverage gap prevents a full score.</t>
  </si>
  <si>
    <t>R2 score = 1.0. The recorded criterion evidence supports full satisfaction: Practical relevance is strong because the study analyses deployed contracts and confirms selected attacks on the main Ethereum network while restricting the attacks to the authors' own accounts.</t>
  </si>
  <si>
    <t>R2 score = 0.5. The recorded evidence supports only partial satisfaction. Oyente is described as open source/project-page software and implementation details are extensive, but the supplied paper does not present a complete study-specific replication package. The stated limitation/coverage gap prevents a full score.</t>
  </si>
  <si>
    <t>R2 score = 1.0. The recorded criterion evidence supports full satisfaction: The paper clearly identifies the need for scalable, automated smart-contract security analysis that can distinguish definite violations from warnings.</t>
  </si>
  <si>
    <t>R2 score = 1.0. The recorded criterion evidence supports full satisfaction: Securify's dependency-graph analysis, Datalog encoding, compliance/violation patterns and DSL are described in detail.</t>
  </si>
  <si>
    <t>R2 score = 1.0. The recorded criterion evidence supports full satisfaction: The tool is evaluated on real-world Ethereum contracts and compared with existing analyzers, supported by practical audit experience.</t>
  </si>
  <si>
    <t>R2 score = 1.0. The recorded criterion evidence supports full satisfaction: The study constructs Solidity/EVM datasets and reports contract-level analysis at realistic scale, together with operational experience from more than 18,000 submitted contracts and commercial audits.</t>
  </si>
  <si>
    <t>R2 score = 1.0. The recorded criterion evidence supports full satisfaction: The evaluation uses property-level coverage, warnings/violations, runtime and comparison against Oyente/Mythril to quantify analysis precision and effort reduction.</t>
  </si>
  <si>
    <t>R2 score = 1.0. The recorded criterion evidence supports full satisfaction: Results clearly quantify reduced manual inspection, resolved offsets, discovered violations and comparative performance.</t>
  </si>
  <si>
    <t>R2 score = 1.0. The recorded criterion evidence supports full satisfaction: The paper explicitly discusses limitations of Securify and of its compliance/violation pattern approach, including unsupported numerical properties and incompleteness tradeoffs.</t>
  </si>
  <si>
    <t>R2 score = 1.0. The recorded criterion evidence supports full satisfaction: Practical applicability is supported by a publicly deployed service, more than 18,000 user-submitted contracts and extensive security-audit usage.</t>
  </si>
  <si>
    <t>R2 score = 1.0. The recorded criterion evidence supports full satisfaction: Securify is publicly released and available online, and the analysis language, implementation and evaluation datasets/procedures are described.</t>
  </si>
  <si>
    <t>R2 score = 1.0. The recorded criterion evidence supports full satisfaction: The paper clearly motivates automated verification of smart-contract correctness and fairness before deployment because contracts are difficult to patch.</t>
  </si>
  <si>
    <t>R2 score = 1.0. The recorded criterion evidence supports full satisfaction: ZEUS combines policy specification, Solidity-to-LLVM translation, abstract interpretation, symbolic model checking and constrained Horn clauses in a detailed verification pipeline.</t>
  </si>
  <si>
    <t>R2 score = 1.0. The recorded criterion evidence supports full satisfaction: The framework is implemented and evaluated at scale with controlled experimental settings, comparisons with Oyente and a Fabric applicability demonstration.</t>
  </si>
  <si>
    <t>R2 score = 1.0. The recorded criterion evidence supports full satisfaction: The authors scraped 22,493 source contracts, identified 1,524 unique contracts, report category/LOC characteristics and provide hardware/toolchain configuration.</t>
  </si>
  <si>
    <t>R2 score = 1.0. The recorded criterion evidence supports full satisfaction: False positives/negatives, analysis time and vulnerability prevalence are measured, and selected verification results are compared with Oyente.</t>
  </si>
  <si>
    <t>R2 score = 1.0. The recorded criterion evidence supports full satisfaction: Results clearly report vulnerability prevalence, low false-positive behavior, zero false negatives under evaluated properties and substantial analysis-time improvement.</t>
  </si>
  <si>
    <t>R2 score = 1.0. The recorded criterion evidence supports full satisfaction: A dedicated limitations subsection covers unsupported Solidity constructs, runtime parameters, virtual functions, assembly and unsupported liveness/trace properties.</t>
  </si>
  <si>
    <t>R2 score = 1.0. The recorded criterion evidence supports full satisfaction: The paper appropriately distinguishes verification findings from practical exploitability and demonstrates applicability to both Ethereum and Fabric.</t>
  </si>
  <si>
    <t>R2 score = 0.5. The recorded evidence supports only partial satisfaction. Translation, policy and verifier implementation details are extensive, but no public ZEUS source/replication package is identified in the supplied article. The stated limitation/coverage gap prevents a full score.</t>
  </si>
  <si>
    <t>R2 score = 1.0. The recorded criterion evidence supports full satisfaction: The paper clearly states the goal of formally verifying blockchain smart contracts while considering attacker/user behavior.</t>
  </si>
  <si>
    <t>R2 score = 1.0. The recorded criterion evidence supports full satisfaction: A hierarchical CPN method, attacker model, stepwise simulation, ASK-CTL queries and state-space checking procedure are described.</t>
  </si>
  <si>
    <t>R2 score = 1.0. The recorded criterion evidence supports full satisfaction: The CPN model and ASK-CTL verification steps are sufficiently explicit to understand and reproduce the demonstrated formal-analysis workflow.</t>
  </si>
  <si>
    <t>R2 score = 1.0. The recorded criterion evidence supports full satisfaction: The crowdfunding contract, attacker contract, model attributes, initial markings and simulated deposit/withdrawal behavior are described in detail.</t>
  </si>
  <si>
    <t>R2 score = 0.5. The recorded evidence supports only partial satisfaction. The study defines correctness/safety properties and model-checking queries, but provides no comparative baseline or quantitative accuracy/performance evaluation. The stated limitation/coverage gap prevents a full score.</t>
  </si>
  <si>
    <t>R2 score = 1.0. The recorded criterion evidence supports full satisfaction: State-space and ASK-CTL results clearly demonstrate normal behavior and abnormal states under the attacker model.</t>
  </si>
  <si>
    <t>R2 score = 0.0. The recorded evidence does not demonstrate substantive satisfaction of this criterion. No substantive limitations or threats-to-validity discussion is provided.</t>
  </si>
  <si>
    <t>R2 score = 0.5. The recorded evidence supports only partial satisfaction. The method shows formal-verification feasibility, but evidence is limited to one simplified crowdfunding case and attacker scenario. The stated limitation/coverage gap prevents a full score.</t>
  </si>
  <si>
    <t>R2 score = 0.5. The recorded evidence supports only partial satisfaction. Model equations, markings and query logic are reported, but no public CPN model files, code or replication package are identified. The stated limitation/coverage gap prevents a full score.</t>
  </si>
  <si>
    <t>R2 score = 1.0. The recorded criterion evidence supports full satisfaction: The paper clearly identifies false-positive and false-negative weaknesses of existing reentrancy detectors in cross-contract interactions.</t>
  </si>
  <si>
    <t>R2 score = 1.0. The recorded criterion evidence supports full satisfaction: Clairvoyance's cross-contract interprocedural CFG, static taint analysis and path-protection-technique feasibility checking are described in detail.</t>
  </si>
  <si>
    <t>R2 score = 1.0. The recorded criterion evidence supports full satisfaction: The approach is grounded in an empirical study of existing tools and then evaluated against five state-of-the-art tools on a separate large real-world dataset.</t>
  </si>
  <si>
    <t>R2 score = 1.0. The recorded criterion evidence supports full satisfaction: The study uses 11,714 Etherscan contracts for the motivating empirical study and 17,770 Google BigQuery contracts for independent tool evaluation.</t>
  </si>
  <si>
    <t>R2 score = 1.0. The recorded criterion evidence supports full satisfaction: Detection accuracy, false positives/negatives, efficiency and practical vulnerable call chains are used to compare Clairvoyance with five tools.</t>
  </si>
  <si>
    <t>R2 score = 1.0. The recorded criterion evidence supports full satisfaction: Results clearly show improved detection accuracy and 101 previously unknown reentrancy vulnerabilities, with efficiency results and call-chain evidence.</t>
  </si>
  <si>
    <t>R2 score = 1.0. The recorded criterion evidence supports full satisfaction: A dedicated threats-to-validity subsection discusses loop-unrolling threshold and dataset representativeness, followed by future-enhancement limitations.</t>
  </si>
  <si>
    <t>R2 score = 1.0. The recorded criterion evidence supports full satisfaction: Practical applicability is supported by real-world contracts and concrete vulnerable call chains that facilitate triggering and validation of true positives.</t>
  </si>
  <si>
    <t>R2 score = 1.0. The recorded criterion evidence supports full satisfaction: The tool is publicly available and the authors state that experimental results/datasets are or will be released to the community; implementation procedures are detailed.</t>
  </si>
  <si>
    <t>R2 score = 1.0. The recorded criterion evidence supports full satisfaction: The study clearly identifies the loss of semantic context caused by single-tokenization N-gram vulnerability auditing.</t>
  </si>
  <si>
    <t>R2 score = 1.0. The recorded criterion evidence supports full satisfaction: MSgram's text, structure and combined tokenization schemes, N-gram detectors and Intersection/Union combination strategies are explicitly defined.</t>
  </si>
  <si>
    <t>R2 score = 1.0. The recorded criterion evidence supports full satisfaction: The study uses a two-phase model-construction/security-auditing design with train/test separation and systematic parameter/threshold exploration.</t>
  </si>
  <si>
    <t>R2 score = 1.0. The recorded criterion evidence supports full satisfaction: More than 7,200 Ethereum smart contracts are collected and divided into training and testing sets, with dataset-construction and labeling procedures reported.</t>
  </si>
  <si>
    <t>R2 score = 1.0. The recorded criterion evidence supports full satisfaction: Precision, recall and F-measure are defined and used to compare multiple sequence lengths, semantics and combination strategies against the S-gram baseline.</t>
  </si>
  <si>
    <t>R2 score = 1.0. The recorded criterion evidence supports full satisfaction: Results clearly quantify improvements, including substantial precision gains under Intersection and recall/F-measure gains under Union.</t>
  </si>
  <si>
    <t>R2 score = 1.0. The recorded criterion evidence supports full satisfaction: A dedicated threats-to-validity section discusses baseline reimplementation and dataset/labeling validity issues.</t>
  </si>
  <si>
    <t>R2 score = 0.5. The recorded evidence supports only partial satisfaction. The offline evaluation supports improved vulnerability-auditing performance, but direct developer/operational deployment effectiveness is not evaluated. The stated limitation/coverage gap prevents a full score.</t>
  </si>
  <si>
    <t>R2 score = 1.0. The recorded criterion evidence supports full satisfaction: The complete dataset, including smart-contract source and test reports, is published on GitHub; preprocessing and experiment settings are documented.</t>
  </si>
  <si>
    <t>R2 score = 1.0. The recorded criterion evidence supports full satisfaction: The study clearly motivates Wasm-level smart-contract vulnerability analysis for EOSIO and cross-platform extensibility.</t>
  </si>
  <si>
    <t>R2 score = 1.0. The recorded criterion evidence supports full satisfaction: WANA's Wasm symbolic-execution engine and vulnerability-specific detection algorithms are described for EOSIO and extended to Ethereum.</t>
  </si>
  <si>
    <t>R2 score = 1.0. The recorded criterion evidence supports full satisfaction: The tool is evaluated using large-scale EOSIO experiments, comparison with EVulHunter, efficiency measurement and a separate Ethereum extensibility case study.</t>
  </si>
  <si>
    <t>R2 score = 1.0. The recorded criterion evidence supports full satisfaction: The study uses 83 source-available and 65,202 bytecode EOSIO contracts plus 89 manually confirmed vulnerable Ethereum contracts, with hardware/tool versions reported.</t>
  </si>
  <si>
    <t>R2 score = 1.0. The recorded criterion evidence supports full satisfaction: False positives/negatives, vulnerability counts, analysis time and comparative performance with EVulHunter are explicitly assessed.</t>
  </si>
  <si>
    <t>R2 score = 1.0. The recorded criterion evidence supports full satisfaction: Results clearly report zero false positives/negatives on the verified EOSIO source subset, large-scale prevalence estimates and practical analysis times.</t>
  </si>
  <si>
    <t>R2 score = 1.0. The recorded criterion evidence supports full satisfaction: A dedicated threats-to-validity discussion addresses incomplete library modelling, manually summarized vulnerability patterns and immature Solidity-to-Wasm support.</t>
  </si>
  <si>
    <t>R2 score = 0.5. The recorded evidence supports only partial satisfaction. EOSIO evidence is strong and practical; Ethereum applicability is appropriately limited to a smaller manually modified case because the toolchain was immature. The stated limitation/coverage gap prevents a full score.</t>
  </si>
  <si>
    <t>R2 score = 1.0. The recorded criterion evidence supports full satisfaction: WANA is explicitly open sourced on GitHub and experiment environment, solver version, loop depth and datasets are documented.</t>
  </si>
  <si>
    <t>R2 score = 1.0. The recorded criterion evidence supports full satisfaction: The paper clearly motivates the need to improve symbolic-execution speed and vulnerability coverage while retaining explainable detection results.</t>
  </si>
  <si>
    <t>R2 score = 1.0. The recorded criterion evidence supports full satisfaction: The system combines Mythril path pruning, a transaction-order-dependence detector and an LSTM auxiliary classifier in a documented analysis pipeline.</t>
  </si>
  <si>
    <t>R2 score = 1.0. The recorded criterion evidence supports full satisfaction: Four experiments assess pruning speed, TOD detection, overall accuracy and time consumption against Mythril/Oyente under a specified hardware/software setup.</t>
  </si>
  <si>
    <t>R2 score = 1.0. The recorded criterion evidence supports full satisfaction: A dataset of 18,912 smart-contract source files is constructed, vulnerability subsets are described, random samples are selected for experiments and hardware is reported.</t>
  </si>
  <si>
    <t>R2 score = 1.0. The recorded criterion evidence supports full satisfaction: Accuracy, precision, recall, F1/macro-F1 and execution time are used, with Mythril and Oyente serving as explicit baselines.</t>
  </si>
  <si>
    <t>R2 score = 1.0. The recorded criterion evidence supports full satisfaction: Results report approximately 35% average path-traversal time reduction and improved detection accuracy/recall/F1 relative to the original tools.</t>
  </si>
  <si>
    <t>R2 score = 0.5. The recorded evidence supports only partial satisfaction. The conclusion identifies future extensions and supported-vulnerability limitations, but there is no dedicated threats-to-validity analysis of labels, sampling or implementation bias. The stated limitation/coverage gap prevents a full score.</t>
  </si>
  <si>
    <t>R2 score = 0.5. The recorded evidence supports only partial satisfaction. The experiments support improved detection performance, but operational/developer use and generalization beyond the constructed dataset are not directly assessed. The stated limitation/coverage gap prevents a full score.</t>
  </si>
  <si>
    <t>R2 score = 0.5. The recorded evidence supports only partial satisfaction. System architecture, algorithms and experimental configuration are documented, but no complete public code/data replication package is identified. The stated limitation/coverage gap prevents a full score.</t>
  </si>
  <si>
    <t>R2 score = 1.0. The recorded criterion evidence supports full satisfaction: The paper clearly motivates faster, less rule-dependent smart-contract vulnerability detection and proposes a hybrid deep-learning alternative.</t>
  </si>
  <si>
    <t>R2 score = 1.0. The recorded criterion evidence supports full satisfaction: CBGRU combines Word2Vec/FastText representations with multiple recurrent/convolutional architectures and a hybrid feature-fusion design.</t>
  </si>
  <si>
    <t>R2 score = 1.0. The recorded criterion evidence supports full satisfaction: The model is evaluated through multiple controlled experiments using public SmartBugs data, model ablations/configurations and comparisons with prior methods.</t>
  </si>
  <si>
    <t>R2 score = 1.0. The recorded criterion evidence supports full satisfaction: SmartBugs Dataset-Wild is described, preprocessing/splitting are reported and vulnerability-specific experimental datasets are constructed.</t>
  </si>
  <si>
    <t>R2 score = 1.0. The recorded criterion evidence supports full satisfaction: Accuracy, precision, recall and F1-score are reported and used to compare CBGRU with basic deep-learning models and prior vulnerability-detection baselines.</t>
  </si>
  <si>
    <t>R2 score = 1.0. The recorded criterion evidence supports full satisfaction: Results clearly report high performance across reentrancy, timestamp and infinite-loop tasks and quantify gains over several comparison models.</t>
  </si>
  <si>
    <t>R2 score = 1.0. The recorded criterion evidence supports full satisfaction: The authors explicitly discuss limitations including contract-level rather than location-level output, varying vulnerability performance and limited dataset scale.</t>
  </si>
  <si>
    <t>R2 score = 0.5. The recorded evidence supports only partial satisfaction. The evidence strongly supports classification performance, but practical audit workflow, runtime/operational robustness and developer impact are not directly evaluated. The stated limitation/coverage gap prevents a full score.</t>
  </si>
  <si>
    <t>R2 score = 1.0. The recorded criterion evidence supports full satisfaction: The Data Availability Statement identifies a GitHub repository containing experimental data and associated code.</t>
  </si>
  <si>
    <t>R2 score = 1.0. The recorded criterion evidence supports full satisfaction: The paper clearly identifies symbolic-execution path explosion and limited multi-core utilization as bottlenecks for smart-contract vulnerability detection.</t>
  </si>
  <si>
    <t>R2 score = 1.0. The recorded criterion evidence supports full satisfaction: Park's dynamic forking, adaptive process restriction/adjustment and shared-memory global-variable reconstruction algorithms are described in detail.</t>
  </si>
  <si>
    <t>R2 score = 1.0. The recorded criterion evidence supports full satisfaction: Park is implemented as a plug-in for Oyente and Mythril and evaluated experimentally under controlled multi-core configurations.</t>
  </si>
  <si>
    <t>R2 score = 1.0. The recorded criterion evidence supports full satisfaction: Two third-party datasets are used: SmartBugs curated vulnerable contracts and 1,000 highly triggered real-world contracts from XBlock-ETH, with hardware/CPU settings documented.</t>
  </si>
  <si>
    <t>R2 score = 1.0. The recorded criterion evidence supports full satisfaction: Runtime, speedup, coverage/detection consistency, CPU-core count and timeout parameters are analysed against the original Oyente/Mythril tools.</t>
  </si>
  <si>
    <t>R2 score = 1.0. The recorded criterion evidence supports full satisfaction: Results clearly report up to 6.84× and 7.06× speedups while retaining detected results on the curated benchmark and improving effective coverage under time limits.</t>
  </si>
  <si>
    <t>R2 score = 1.0. The recorded criterion evidence supports full satisfaction: A dedicated discussion lists limitations involving parameter sensitivity, SMT timeout randomness and OS-fork scheduling overhead, with planned improvements.</t>
  </si>
  <si>
    <t>R2 score = 1.0. The recorded criterion evidence supports full satisfaction: The study directly evaluates performance improvements on existing vulnerability-detection tools and real/curated contract datasets, supporting the practical acceleration claim.</t>
  </si>
  <si>
    <t>R2 score = 0.5. The recorded evidence supports only partial satisfaction. The paper states that implementation/results will be released on the ParkSE website and describes the plug-in architecture, but the supplied version does not confirm a stable public replication package. The stated limitation/coverage gap prevents a full score.</t>
  </si>
  <si>
    <t>R2 score = 1.0. The recorded criterion evidence supports full satisfaction: The study clearly identifies the gap between contract-level vulnerability detection and statement-level localization for reentrancy vulnerabilities.</t>
  </si>
  <si>
    <t>R2 score = 1.0. The recorded criterion evidence supports full satisfaction: ReVulDL integrates graph-based pretraining over propagation chains with post-hoc interpretable machine learning for statement localization.</t>
  </si>
  <si>
    <t>R2 score = 1.0. The recorded criterion evidence supports full satisfaction: The approach is evaluated through large-scale experiments, extensive baselines, statistical tests and ablation studies.</t>
  </si>
  <si>
    <t>R2 score = 1.0. The recorded criterion evidence supports full satisfaction: The study uses 47,398 real-world contracts from SmartBugs Wild and documents data preparation, propagation-chain generation and benchmark configurations.</t>
  </si>
  <si>
    <t>R2 score = 1.0. The recorded criterion evidence supports full satisfaction: Recall, precision, F1, Top-N accuracy, mean average rank/first rank and statistical Wilcoxon tests are used against numerous detection/localization baselines.</t>
  </si>
  <si>
    <t>R2 score = 1.0. The recorded criterion evidence supports full satisfaction: Results clearly report F1 around 0.93 for detection and 70.38% of vulnerable statements within Top-10, with statistically significant localization improvements.</t>
  </si>
  <si>
    <t>R2 score = 1.0. The recorded criterion evidence supports full satisfaction: A dedicated threats-to-validity section addresses implementation, external generalization and construct-measurement threats.</t>
  </si>
  <si>
    <t>R2 score = 1.0. The recorded criterion evidence supports full satisfaction: The evidence supports the claimed detection/localization improvements and the paper appropriately scopes future extension to other vulnerability types.</t>
  </si>
  <si>
    <t>R2 score = 1.0. The recorded criterion evidence supports full satisfaction: A public replication package is explicitly provided with source code, datasets and runnable examples.</t>
  </si>
  <si>
    <t>R2 score = 1.0. The recorded criterion evidence supports full satisfaction: The objective is explicit: build a scalable multi-objective smart-contract vulnerability detector that addresses limitations of rule-based and single-vulnerability approaches.</t>
  </si>
  <si>
    <t>R2 score = 1.0. The recorded criterion evidence supports full satisfaction: MODNN is described through the COS representation, SCC data-processing pipeline, implicit-feature extraction, BERT embeddings and multi-objective probability outputs.</t>
  </si>
  <si>
    <t>R2 score = 1.0. The recorded criterion evidence supports full satisfaction: The evaluation procedure specifies focal loss for imbalance, k-fold cross-validation, optimizer/learning-rate choices, training/testing of known and new vulnerability types and baseline configurations.</t>
  </si>
  <si>
    <t>R2 score = 1.0. The recorded criterion evidence supports full satisfaction: SCC collected 20,545 contracts and retained 18,796 after cleaning; hardware, OS/driver versions, public comparison datasets and experiment setup are reported.</t>
  </si>
  <si>
    <t>R2 score = 1.0. The recorded criterion evidence supports full satisfaction: Precision, recall, F1 and related indicators are defined; MODNN is compared with DR-GCN, SoliAudit and Eth2Vec on own, XBlock, SmartBugs Wild and SolidiFI data.</t>
  </si>
  <si>
    <t>R2 score = 1.0. The recorded criterion evidence supports full satisfaction: Tables and learning curves report per-vulnerability and aggregate results, including about 96.27% average F1 on learned vulnerabilities and robustness/generalization comparisons.</t>
  </si>
  <si>
    <t>R2 score = 1.0. The recorded criterion evidence supports full satisfaction: The conclusion explicitly identifies limitations of opcode-only representations and insufficient use of raw contextual, syntactic and semantic information.</t>
  </si>
  <si>
    <t>R2 score = 1.0. The recorded criterion evidence supports full satisfaction: Claims are supported by experiments on a large collected Ethereum set plus several public datasets and are scoped to vulnerability detection/scalability rather than production deployment.</t>
  </si>
  <si>
    <t>R2 score = 1.0. The recorded criterion evidence supports full satisfaction: A public MODNN data/code repository is cited, and hardware, preprocessing, model settings, datasets and training configuration are documented.</t>
  </si>
  <si>
    <t>R2 score = 1.0. The recorded criterion evidence supports full satisfaction: The paper clearly motivates high false-positive/low-correct-rate problems in smart-contract vulnerability detection and targets reentrancy detection with a Siamese network.</t>
  </si>
  <si>
    <t>R2 score = 1.0. The recorded criterion evidence supports full satisfaction: SCVSN architecture, similarity-based Siamese learning, LSTM subnetworks, source-code normalization/tokenization and Word2Vec embedding are described in detail.</t>
  </si>
  <si>
    <t>R2 score = 1.0. The recorded criterion evidence supports full satisfaction: Dataset labeling, preprocessing, repeated training, parameter testing and model-comparison procedures are sufficiently specified to reproduce the study.</t>
  </si>
  <si>
    <t>R2 score = 1.0. The recorded criterion evidence supports full satisfaction: SmartBugs Dataset-Wild and SolidiFI Benchmark are identified with sizes; the labeling process uses Oyente, Mythril and SmartCheck and preprocessing steps are detailed.</t>
  </si>
  <si>
    <t>R2 score = 1.0. The recorded criterion evidence supports full satisfaction: Accuracy, recall, precision, F1 and false-positive-related measures are defined, and SCVSN is compared with DeeSCVHunter, Peculiar, VSCL, BLSTM-ATT, TMP, DR-GCN and LSTM.</t>
  </si>
  <si>
    <t>R2 score = 1.0. The recorded criterion evidence supports full satisfaction: Results are reported across 40 runs, hyperparameter tests and baseline comparisons; SCVSN averages 96.01% accuracy with 94.78% F1.</t>
  </si>
  <si>
    <t>R2 score = 1.0. The recorded criterion evidence supports full satisfaction: The conclusion explicitly states limitations in supported vulnerability types and plans expansion to timestamp, integer-overflow and multi-vulnerability cases.</t>
  </si>
  <si>
    <t>R2 score = 0.5. The recorded evidence supports only partial satisfaction. The evidence supports strong offline reentrancy classification, but practical developer/audit workflow or deployed-tool effectiveness is not directly evaluated. The stated limitation/coverage gap prevents a full score.</t>
  </si>
  <si>
    <t>R2 score = 1.0. The recorded criterion evidence supports full satisfaction: The Data Availability Statement provides a GitHub repository containing experimental data and associated code; preprocessing and model settings are also documented.</t>
  </si>
  <si>
    <t>R2 score = 1.0. The recorded criterion evidence supports full satisfaction: The study clearly identifies inconsistent ad-hoc access-control implementation as the problem and aims to detect violated/missing access-control checks with fewer false positives.</t>
  </si>
  <si>
    <t>R2 score = 1.0. The recorded criterion evidence supports full satisfaction: AChecker combines static data-flow/taint analysis for access-control inference with symbolic execution to distinguish intended behavior from vulnerabilities.</t>
  </si>
  <si>
    <t>R2 score = 1.0. The recorded criterion evidence supports full satisfaction: The tool, analysis steps, evaluation RQs, datasets, baseline execution procedure, timeouts and manual-inspection protocol are explicitly described.</t>
  </si>
  <si>
    <t>R2 score = 1.0. The recorded criterion evidence supports full satisfaction: Evaluation uses a 15-contract CVE dataset, 47,518 SmartBugs-wild contracts and 3,000 popular Ethereum contracts; hardware and timeout settings are documented.</t>
  </si>
  <si>
    <t>R2 score = 1.0. The recorded criterion evidence supports full satisfaction: Recall/precision and runtime are evaluated against eight relevant smart-contract analysis tools using datasets with known CVEs and manual validation for precision.</t>
  </si>
  <si>
    <t>R2 score = 1.0. The recorded criterion evidence supports full satisfaction: The paper reports tool-by-tool results, prevalence analysis and manual confirmation; AChecker flags 21 popular contracts and achieves 90% precision on inspectable cases.</t>
  </si>
  <si>
    <t>R2 score = 1.0. The recorded criterion evidence supports full satisfaction: A dedicated section lists three tool limitations and separate external/internal threats to validity, including dataset size and manual-inspection bias.</t>
  </si>
  <si>
    <t>R2 score = 1.0. The recorded criterion evidence supports full satisfaction: Practical claims are proportionate to evidence from real deployed contracts, popular-contract analysis and direct comparison with established auditing tools.</t>
  </si>
  <si>
    <t>R2 score = 1.0. The recorded criterion evidence supports full satisfaction: The AChecker implementation is explicitly public on GitHub and the paper documents datasets, runtime limits, analysis workflow and evaluation setup.</t>
  </si>
  <si>
    <t>R2 score = 1.0. The recorded criterion evidence supports full satisfaction: The paper clearly motivates efficient pre-deployment vulnerability detection and proposes SCGraph-based approximate graph matching to improve detection quality and speed.</t>
  </si>
  <si>
    <t>R2 score = 1.0. The recorded criterion evidence supports full satisfaction: Vulnerability-pattern extraction, semantic contract graph generation, WL-kernel approximate matching, vulnerability libraries and detection thresholds are described.</t>
  </si>
  <si>
    <t>R2 score = 1.0. The recorded criterion evidence supports full satisfaction: The workflow, threshold-selection procedure, Python implementation, datasets, hardware and real-world evaluation are specified in sufficient detail.</t>
  </si>
  <si>
    <t>R2 score = 1.0. The recorded criterion evidence supports full satisfaction: Experiments use ESC, SmartBugs curated/wild datasets and 30,000 crawled Ethereum contracts; an Intel i7 3.2GHz/32GB environment is reported.</t>
  </si>
  <si>
    <t>R2 score = 1.0. The recorded criterion evidence supports full satisfaction: Accuracy, recall and precision are defined; detection rate and speed are compared against nine established analysis tools, with manual checking of positives.</t>
  </si>
  <si>
    <t>R2 score = 1.0. The recorded criterion evidence supports full satisfaction: Tables/figures report detection quality, tool-comparison rates and average runtime; a real-world experiment audits the vulnerabilities found in 30,000 contracts.</t>
  </si>
  <si>
    <t>R2 score = 1.0. The recorded criterion evidence supports full satisfaction: The authors explicitly discuss benchmark-labeling errors, bypass risk and plans to improve SCGraph quality, normalization and vulnerability coverage.</t>
  </si>
  <si>
    <t>R2 score = 1.0. The recorded criterion evidence supports full satisfaction: Claims are supported by benchmark comparisons plus a 30,000-contract real-world experiment, and weaknesses such as delegatecall false positives are openly reported.</t>
  </si>
  <si>
    <t>R2 score = 0.5. The recorded evidence supports only partial satisfaction. Implementation language, hardware, datasets, graph-generation and threshold procedures are documented, but no complete public study-specific source/data package is identified. The stated limitation/coverage gap prevents a full score.</t>
  </si>
  <si>
    <t>R2 score = 1.0. The recorded criterion evidence supports full satisfaction: The paper clearly targets the limitations of rule-based and coarse graph-based smart-contract vulnerability detection and proposes slice-level detection.</t>
  </si>
  <si>
    <t>R2 score = 1.0. The recorded criterion evidence supports full satisfaction: The sliced joint code graph combines AST, CFG and PDG, applies vulnerability-specific program slicing, and uses bidirectional GGNN plus hybrid attention pooling.</t>
  </si>
  <si>
    <t>R2 score = 1.0. The recorded criterion evidence supports full satisfaction: Graph construction, slicing criteria, model architecture, implementation libraries and hyperparameters are described, with three explicit research-question experiments.</t>
  </si>
  <si>
    <t>R2 score = 1.0. The recorded criterion evidence supports full satisfaction: The dataset combines SolidiFI, HuangGai, SmartBugs Curated/Wild and another manual dataset; sample sizes and Intel i5/GTX1060/16GB setup are reported.</t>
  </si>
  <si>
    <t>R2 score = 1.0. The recorded criterion evidence supports full satisfaction: Accuracy, precision, recall and F1 are defined; the approach is compared with five traditional/learning tools and Peculiar/TMP, plus multiple ablations.</t>
  </si>
  <si>
    <t>R2 score = 1.0. The recorded criterion evidence supports full satisfaction: Results are clearly tabulated for baseline comparison and ablations; the proposed model reaches 90.2% accuracy, 89.2% precision, 92.9% recall and 91.1% F1.</t>
  </si>
  <si>
    <t>R2 score = 1.0. The recorded criterion evidence supports full satisfaction: A dedicated threats-to-validity section covers dataset subjectivity/injection bias, limited vulnerability types, imbalance, hyperparameters and manual slice-criteria risks.</t>
  </si>
  <si>
    <t>R2 score = 0.5. The recorded evidence supports only partial satisfaction. The evidence strongly supports benchmark detection performance, but operational developer use, deployment robustness and impact beyond the experimental datasets are not evaluated. The stated limitation/coverage gap prevents a full score.</t>
  </si>
  <si>
    <t>R2 score = 0.5. The recorded evidence supports only partial satisfaction. Datasets, dependencies, libraries, environment and hyperparameters are well documented and some source datasets are public, but no complete study-specific replication package is identified. The stated limitation/coverage gap prevents a full score.</t>
  </si>
  <si>
    <t>R2 score = 1.0. The recorded criterion evidence supports full satisfaction: The paper clearly frames limited accuracy of existing smart-contract vulnerability detectors and targets reentrancy detection using contextual language models and transfer learning.</t>
  </si>
  <si>
    <t>R2 score = 1.0. The recorded criterion evidence supports full satisfaction: A custom Solidity tokenizer, DistilBERT masked-language-model pretraining and DistilBERT-MLP/LSTM fine-tuning architectures are described with equations.</t>
  </si>
  <si>
    <t>R2 score = 1.0. The recorded criterion evidence supports full satisfaction: Pretraining/fine-tuning procedures, loss, optimizer, learning rate, dropout, batch size and train/test process are sufficiently specified.</t>
  </si>
  <si>
    <t>R2 score = 1.0. The recorded criterion evidence supports full satisfaction: Pretraining uses 42,000 SmartBugs Wild and about 70,000 Slither contracts; fine-tuning sets and 7:3 splits are enumerated, with hardware/software setup reported.</t>
  </si>
  <si>
    <t>R2 score = 1.0. The recorded criterion evidence supports full satisfaction: Accuracy, precision, recall and F1 are defined and the proposed models are compared with RSC/RCS LSTM, BiLSTM and BiLSTM-ATT baselines.</t>
  </si>
  <si>
    <t>R2 score = 1.0. The recorded criterion evidence supports full satisfaction: Tables and figures report results on two test sets and baseline comparisons; DistilBERT-LSTM reaches 90.19% accuracy and 90.68% F1 on SmartBugs Wild.</t>
  </si>
  <si>
    <t>R2 score = 0.5. The recorded evidence supports only partial satisfaction. The conclusion acknowledges that evaluation is limited to reentrancy and proposes extension to other vulnerability types, but no dedicated threats-to-validity analysis is provided. The stated limitation/coverage gap prevents a full score.</t>
  </si>
  <si>
    <t>R2 score = 0.5. The recorded evidence supports only partial satisfaction. The experiments support offline detection accuracy, but the paper's practical-application framing is broader than the dataset-based validation and no deployed auditing workflow is evaluated. The stated limitation/coverage gap prevents a full score.</t>
  </si>
  <si>
    <t>R2 score = 0.5. The recorded evidence supports only partial satisfaction. Datasets, architecture, software stack and training hyperparameters are documented, but no complete study-specific code/model replication package is identified. The stated limitation/coverage gap prevents a full score.</t>
  </si>
  <si>
    <t>R2 score = 1.0. The recorded criterion evidence supports full satisfaction: The study explicitly motivates verification of interacting smart contracts and defines the goal of an end-to-end correct-by-design development and deployment framework.</t>
  </si>
  <si>
    <t>R2 score = 1.0. The recorded criterion evidence supports full satisfaction: Solidity Deployment Diagrams, extended operational semantics, the global coordinator, model checking, code generation and deployment workflow are described in detail.</t>
  </si>
  <si>
    <t>R2 score = 1.0. The recorded criterion evidence supports full satisfaction: The formal model, ASM/BIP transformations, CTL-property generation, verification loop and code-generation/deployment procedure are sufficiently specified for methodological reproduction.</t>
  </si>
  <si>
    <t>R2 score = 1.0. The recorded criterion evidence supports full satisfaction: The evaluation reports 726 deployed Ethereum contracts, including 267 ERC20 and 459 ERC721 contracts, together with verification-state and timing analysis.</t>
  </si>
  <si>
    <t>R2 score = 1.0. The recorded criterion evidence supports full satisfaction: Evaluation uses explicit EIP-derived temporal properties, pass/fail conformance and verification-time/reachable-state measurements appropriate to the formal-verification objectives.</t>
  </si>
  <si>
    <t>R2 score = 1.0. The recorded criterion evidence supports full satisfaction: Results quantify EIP non-conformance (18% of ERC20 and 4% of ERC721 contracts) and report verification time against reachable states.</t>
  </si>
  <si>
    <t>R2 score = 0.5. The recorded evidence supports only partial satisfaction. The conclusion acknowledges that VeriSolid is presently limited to Solidity/EVM-compatible blockchains and identifies unsupported languages/hyper-properties as future extensions, but no dedicated threats-to-validity analysis is reported. The stated limitation/coverage gap prevents a full score.</t>
  </si>
  <si>
    <t>R2 score = 1.0. The recorded criterion evidence supports full satisfaction: Practical claims are proportionate to the demonstrated automated design, verification, generation and deployment workflow and validation on currently deployed Ethereum contracts.</t>
  </si>
  <si>
    <t>R2 score = 1.0. The recorded criterion evidence supports full satisfaction: The paper identifies an open-source web implementation and a public Figshare appendix containing additional specifications and supporting material.</t>
  </si>
  <si>
    <t>R2 score = 1.0. The recorded criterion evidence supports full satisfaction: The paper clearly defines the bytecode-only vulnerability-detection problem caused by unavailable source code and states three empirical research questions.</t>
  </si>
  <si>
    <t>R2 score = 1.0. The recorded criterion evidence supports full satisfaction: The source-code/bytecode graph encoders, teacher-student architecture, cross-modality mutual-learning loss and transfer losses are described in detail.</t>
  </si>
  <si>
    <t>R2 score = 1.0. The recorded criterion evidence supports full satisfaction: Graph extraction, network architecture, optimization, grid-search parameters, train/test split and five-run averaging are explicitly documented.</t>
  </si>
  <si>
    <t>R2 score = 1.0. The recorded criterion evidence supports full satisfaction: The released benchmark contains 514,880 functions from 42,910 contracts collected from Ethereum, GitHub and vulnerability-analysis sources, with manual labels and an 80/20 split.</t>
  </si>
  <si>
    <t>R2 score = 1.0. The recorded criterion evidence supports full satisfaction: The study uses standard vulnerability-classification metrics, compares conventional and learning-based baselines, and performs component/ablation analyses for the research questions.</t>
  </si>
  <si>
    <t>R2 score = 1.0. The recorded criterion evidence supports full satisfaction: Results consistently report accuracy/F1 improvements for four vulnerabilities and directly answer the research questions with tables and ablation findings.</t>
  </si>
  <si>
    <t>R2 score = 0.0. The recorded evidence does not demonstrate substantive satisfaction of this criterion. No substantive limitations or threats-to-validity section is provided; the conclusion focuses on contributions and extensibility.</t>
  </si>
  <si>
    <t>R2 score = 1.0. The recorded criterion evidence supports full satisfaction: Claims are limited to improved bytecode vulnerability classification and are supported by a large labelled benchmark and repeated comparative experiments.</t>
  </si>
  <si>
    <t>R2 score = 1.0. The recorded criterion evidence supports full satisfaction: The authors publicly release the implementation and labelled benchmark dataset on GitHub, with additional annotation/training details in the appendices.</t>
  </si>
  <si>
    <t>R2 score = 1.0. The recorded criterion evidence supports full satisfaction: The study clearly states limitations of existing source-code/bytecode vulnerability detectors and the objective of improving accuracy and scalability with heterogeneous graph learning.</t>
  </si>
  <si>
    <t>R2 score = 1.0. The recorded criterion evidence supports full satisfaction: Heterogeneous contract graph construction, customized meta-relations, HGT embeddings and contract/line-level classifiers are described in detail.</t>
  </si>
  <si>
    <t>R2 score = 1.0. The recorded criterion evidence supports full satisfaction: The graph-processing pipeline, model training, confidence threshold, dataset curation and comparative design are explicitly specified.</t>
  </si>
  <si>
    <t>R2 score = 1.0. The recorded criterion evidence supports full satisfaction: Evaluation combines SmartBugs Curated, SolidiFI-Benchmark and collected contracts; the authors report more than 55K collected contracts and verified labels for 423 buggy and 2,742 clean contracts.</t>
  </si>
  <si>
    <t>R2 score = 1.0. The recorded criterion evidence supports full satisfaction: F1-score is evaluated at contract and fine-grained line levels against strong learning-based and conventional-analysis baselines, with sensitivity to representation and data conditions examined.</t>
  </si>
  <si>
    <t>R2 score = 1.0. The recorded criterion evidence supports full satisfaction: The paper reports statistically clear F1 improvements across source code and bytecode and provides interpretation/case analyses of successes and failures.</t>
  </si>
  <si>
    <t>R2 score = 1.0. The recorded criterion evidence supports full satisfaction: The discussion explicitly addresses graph-representation limits, compiler/tool failures, label subjectivity, unlabelled data and the need to map bytecode detections back to source lines.</t>
  </si>
  <si>
    <t>R2 score = 1.0. The recorded criterion evidence supports full satisfaction: Practical claims are appropriately scoped to vulnerability detection; the paper discusses developer readability and usability constraints rather than overstating operational deployment.</t>
  </si>
  <si>
    <t>R2 score = 1.0. The recorded criterion evidence supports full satisfaction: Datasets and graph-embedding models are publicly released in the MANDO-HGT repository, with processing and model details documented.</t>
  </si>
  <si>
    <t>R2 score = 1.0. The recorded criterion evidence supports full satisfaction: The paper clearly identifies three shortcomings in existing smart-contract vulnerability detection and defines the prompt-tuning objective for reentrancy and timestamp dependency.</t>
  </si>
  <si>
    <t>R2 score = 1.0. The recorded criterion evidence supports full satisfaction: CSCV slicing, CodeT5 representation, prompt templates, verbalizer and classification workflow are described in detail.</t>
  </si>
  <si>
    <t>R2 score = 1.0. The recorded criterion evidence supports full satisfaction: The experimental pipeline, optimization strategy, model configuration, preprocessing and prompt-tuning procedure are sufficiently specified.</t>
  </si>
  <si>
    <t>R2 score = 1.0. The recorded criterion evidence supports full satisfaction: Experiments use more than 200,000 SmartBugs Wild contracts for reentrancy and the ESC dataset with 40,932 contracts/307,396 functions for timestamp dependency.</t>
  </si>
  <si>
    <t>R2 score = 1.0. The recorded criterion evidence supports full satisfaction: Precision, recall and F1 are reported against state-of-the-art baselines, with slicing/prompt components and hyperparameters examined through additional experiments.</t>
  </si>
  <si>
    <t>R2 score = 1.0. The recorded criterion evidence supports full satisfaction: PSCVFinder reports F1 scores of 93.83% and 93.49% and the comparative/ablation evidence directly supports the claimed improvements.</t>
  </si>
  <si>
    <t>R2 score = 1.0. The recorded criterion evidence supports full satisfaction: A dedicated threats-to-validity section discusses hyperparameter uncertainty and external validity from evaluating only two vulnerability types.</t>
  </si>
  <si>
    <t>R2 score = 1.0. The recorded criterion evidence supports full satisfaction: The authors appropriately limit conclusions to the evaluated vulnerability-detection tasks and explicitly identify broader generalizability as future work.</t>
  </si>
  <si>
    <t>R2 score = 1.0. The recorded criterion evidence supports full satisfaction: The study states that all source code and data are publicly available through a Zenodo record and reiterates source-code/data availability in the conclusion.</t>
  </si>
  <si>
    <t>R2 score = 1.0. The recorded criterion evidence supports full satisfaction: The paper explicitly motivates accurate scalable vulnerability detection and identifies the lack of semantic/context modelling in prior deep-learning approaches.</t>
  </si>
  <si>
    <t>R2 score = 1.0. The recorded criterion evidence supports full satisfaction: The vulnerability-fragment extraction process and hybrid Bi-GRU/single-head/multi-head attention architecture are described in detail.</t>
  </si>
  <si>
    <t>R2 score = 1.0. The recorded criterion evidence supports full satisfaction: Preprocessing, Word2Vec representation, model construction and implementation environment are sufficiently documented for the reported experiments.</t>
  </si>
  <si>
    <t>R2 score = 1.0. The recorded criterion evidence supports full satisfaction: The two public datasets total 24,957 contracts; class distributions, training/testing counts and the hardware/software environment are explicitly reported.</t>
  </si>
  <si>
    <t>R2 score = 1.0. The recorded criterion evidence supports full satisfaction: Accuracy, precision, recall and F1-style performance comparisons are reported for multiple deep-learning models and ten prior approaches across five vulnerabilities.</t>
  </si>
  <si>
    <t>R2 score = 1.0. The recorded criterion evidence supports full satisfaction: Tables and figures report vulnerability-specific performance and show the hybrid-attention model outperforming the compared methods.</t>
  </si>
  <si>
    <t>R2 score = 0.0. The recorded evidence does not demonstrate substantive satisfaction of this criterion. The supplied paper does not provide a substantive study-specific limitations or threats-to-validity discussion.</t>
  </si>
  <si>
    <t>R2 score = 0.5. The recorded evidence supports only partial satisfaction. The offline benchmark evidence supports improved detection performance, but claims about enhancing real smart-contract security are broader than the tested deployment context. The stated limitation/coverage gap prevents a full score.</t>
  </si>
  <si>
    <t>R2 score = 0.5. The recorded evidence supports only partial satisfaction. Dataset sources, preprocessing, hardware, software framework and model settings are documented, but no complete public study-specific code/data replication package is identified. The stated limitation/coverage gap prevents a full score.</t>
  </si>
  <si>
    <t>R2 score = 1.0. The recorded criterion evidence supports full satisfaction: The paper clearly identifies the lack of Hyperledger Fabric-specific Node.js chaincode security scanners and motivates pre-deployment auditing.</t>
  </si>
  <si>
    <t>R2 score = 1.0. The recorded criterion evidence supports full satisfaction: UBF-ChaincodeScan architecture, validation/scanning phases, AST processing, report format and eight Fabric/Node.js vulnerability checks are described.</t>
  </si>
  <si>
    <t>R2 score = 0.5. The recorded evidence supports only partial satisfaction. The analysis concepts and command workflow are described, but rule specifications and an end-to-end reproducible evaluation protocol are incomplete. The stated limitation/coverage gap prevents a full score.</t>
  </si>
  <si>
    <t>R2 score = 0.5. The recorded evidence supports only partial satisfaction. The technical evaluation shows secured and deliberately vulnerable chaincode examples, but no clearly defined labelled dataset, sample size or representative workload is reported. The stated limitation/coverage gap prevents a full score.</t>
  </si>
  <si>
    <t>R2 score = 0.5. The recorded evidence supports only partial satisfaction. The comparison with njsscan and jshint is primarily a feature/vulnerability-coverage table rather than a precision/recall or statistically justified performance baseline. The stated limitation/coverage gap prevents a full score.</t>
  </si>
  <si>
    <t>R2 score = 0.5. The recorded evidence supports only partial satisfaction. Illustrative screenshots demonstrate that seeded vulnerabilities are reported, but the evidence does not quantify detection accuracy or false-positive/false-negative behaviour. The stated limitation/coverage gap prevents a full score.</t>
  </si>
  <si>
    <t>R2 score = 0.0. The recorded evidence does not demonstrate substantive satisfaction of this criterion. No formal limitations or threats-to-validity discussion is provided; the conclusion only notes that additional vulnerabilities and languages remain future work.</t>
  </si>
  <si>
    <t>R2 score = 0.5. The recorded evidence supports only partial satisfaction. The tool is plausibly useful for Fabric developers, but practical effectiveness is inferred from limited technical demonstrations rather than representative industrial evaluation. The stated limitation/coverage gap prevents a full score.</t>
  </si>
  <si>
    <t>R2 score = 0.5. The recorded evidence supports only partial satisfaction. Commands, architecture, rules and output format are documented, but no public UBF-ChaincodeScan source repository or evaluation dataset is identified. The stated limitation/coverage gap prevents a full score.</t>
  </si>
  <si>
    <t>R2 score = 1.0. The recorded criterion evidence supports full satisfaction: The study clearly states the objective of extending Oyente beyond its original seven vulnerability classes and motivates four additional detections.</t>
  </si>
  <si>
    <t>R2 score = 1.0. The recorded criterion evidence supports full satisfaction: Detection logic and algorithms are presented for bad randomness, access control, unchecked low-level calls and DoS with unbounded operations.</t>
  </si>
  <si>
    <t>R2 score = 1.0. The recorded criterion evidence supports full satisfaction: The extension is implemented in Oyente and the vulnerability-specific opcode/CFG detection procedures are sufficiently described to understand the method.</t>
  </si>
  <si>
    <t>R2 score = 0.5. The recorded evidence supports only partial satisfaction. The paper states that public Ethereum contracts were collected and that the method was tested on 2,676 contracts, but sampling, composition and ground-truth construction are only lightly described. The stated limitation/coverage gap prevents a full score.</t>
  </si>
  <si>
    <t>R2 score = 0.5. The recorded evidence supports only partial satisfaction. The study reports detection counts and recall for selected cases, but comparative metrics and baseline design are limited and do not comprehensively assess false positives/negatives. The stated limitation/coverage gap prevents a full score.</t>
  </si>
  <si>
    <t>R2 score = 1.0. The recorded criterion evidence supports full satisfaction: Figures and tables report detections for the four added vulnerability classes and demonstrate that the enhanced Oyente flags cases missed by the original tool.</t>
  </si>
  <si>
    <t>R2 score = 0.0. The recorded evidence does not demonstrate substantive satisfaction of this criterion. No substantive limitations or threats-to-validity discussion is provided for the evaluation.</t>
  </si>
  <si>
    <t>R2 score = 0.5. The recorded evidence supports only partial satisfaction. The enhancement is practically plausible, but broad claims about improving blockchain application security exceed the limited comparative validation reported. The stated limitation/coverage gap prevents a full score.</t>
  </si>
  <si>
    <t>R2 score = 0.5. The recorded evidence supports only partial satisfaction. Algorithms and evaluation examples are documented, but no confirmed public repository for the enhanced Oyente implementation or complete evaluation dataset is provided. The stated limitation/coverage gap prevents a full score.</t>
  </si>
  <si>
    <t>R2 score = 1.0. The recorded criterion evidence supports full satisfaction: The study clearly motivates the lack of authentic and diverse vulnerability datasets and defines SGDL as a vulnerability-generation/injection solution.</t>
  </si>
  <si>
    <t>R2 score = 1.0. The recorded criterion evidence supports full satisfaction: Static feature extraction, vulnerability-type matching, GAN fragment generation and AST-guided injection for seven vulnerability classes are described in detail.</t>
  </si>
  <si>
    <t>R2 score = 1.0. The recorded criterion evidence supports full satisfaction: Data collection/labeling, model settings, training/test split, generation process and activation-validation procedures are explicitly documented.</t>
  </si>
  <si>
    <t>R2 score = 1.0. The recorded criterion evidence supports full satisfaction: The source dataset is collected from GitHub/Gitter and Ethereum, labelled with multiple tools plus manual verification; experiment settings and generated samples are reported.</t>
  </si>
  <si>
    <t>R2 score = 1.0. The recorded criterion evidence supports full satisfaction: The evaluation measures diversity, authenticity, injection effectiveness, detection-tool weaknesses and runtime activation, comparing SGDL with SolidiFI and ten static-analysis tools.</t>
  </si>
  <si>
    <t>R2 score = 1.0. The recorded criterion evidence supports full satisfaction: Quantitative results show substantial diversity/authenticity improvements and high vulnerability activation rates, supporting the stated contribution.</t>
  </si>
  <si>
    <t>R2 score = 1.0. The recorded criterion evidence supports full satisfaction: A dedicated threat-to-validity section discusses restricted extensibility, subjective data construction and other internal/external validity concerns.</t>
  </si>
  <si>
    <t>R2 score = 1.0. The recorded criterion evidence supports full satisfaction: Claims about using generated vulnerabilities to evaluate detector capability are supported by comparative tool testing and explicit activation experiments with expert manual verification.</t>
  </si>
  <si>
    <t>R2 score = 1.0. The recorded criterion evidence supports full satisfaction: The SGDL source code is publicly released on GitHub and the paper provides detailed model/configuration information; underlying data availability is also explicitly documented.</t>
  </si>
  <si>
    <t>R2 score = 1.0. The recorded criterion evidence supports full satisfaction: The paper clearly motivates contract-level analysis to capture cross-function and cross-contract vulnerability patterns missed by function-level approaches.</t>
  </si>
  <si>
    <t>R2 score = 1.0. The recorded criterion evidence supports full satisfaction: CLHG construction, heterogeneous edge/node types, meta-path attention and graph-level classification are described in detail.</t>
  </si>
  <si>
    <t>R2 score = 1.0. The recorded criterion evidence supports full satisfaction: Graph construction, encoding, attention layers, training and experimental procedures are sufficiently described for methodological reproduction.</t>
  </si>
  <si>
    <t>R2 score = 1.0. The recorded criterion evidence supports full satisfaction: The Ethereum dataset contains thirty vulnerability types and the paper describes training/testing distributions and additional imbalance scenarios.</t>
  </si>
  <si>
    <t>R2 score = 1.0. The recorded criterion evidence supports full satisfaction: Precision, recall and F1 are evaluated against traditional tools and learning-based baselines across thirty vulnerabilities, with imbalance and ablation experiments.</t>
  </si>
  <si>
    <t>R2 score = 1.0. The recorded criterion evidence supports full satisfaction: CL-HGAN reports consistently higher average performance than the baselines, including F1 above 85% under varied class distributions, with supporting ablation results.</t>
  </si>
  <si>
    <t>R2 score = 1.0. The recorded criterion evidence supports full satisfaction: The paper explicitly discusses extendibility and limitations, including graph scale, data imbalance and representation limitations, and proposes concrete future improvements.</t>
  </si>
  <si>
    <t>R2 score = 1.0. The recorded criterion evidence supports full satisfaction: Claims are appropriately focused on contract-level vulnerability detection and robustness under tested distributions rather than operational deployment.</t>
  </si>
  <si>
    <t>R2 score = 0.5. The recorded evidence supports only partial satisfaction. Dataset construction, architecture and experimental configuration are documented, but no complete public CL-HGAN implementation/replication package is identified in the supplied paper. The stated limitation/coverage gap prevents a full score.</t>
  </si>
  <si>
    <t>R2 score = 1.0. The recorded criterion evidence supports full satisfaction: The paper clearly states the high false-positive/false-negative problem of outdated vulnerability rules and defines ContractSentry's composite-rule objective.</t>
  </si>
  <si>
    <t>R2 score = 1.0. The recorded criterion evidence supports full satisfaction: The source-level intermediate representations, composite rules and seven detection algorithms for three vulnerability classes are described in depth.</t>
  </si>
  <si>
    <t>R2 score = 1.0. The recorded criterion evidence supports full satisfaction: Contract preprocessing, intermediate representation, rule application and evaluation procedures are systematically specified.</t>
  </si>
  <si>
    <t>R2 score = 1.0. The recorded criterion evidence supports full satisfaction: The study evaluates a labelled benchmark and a 15,773-contract Etherscan dataset; dataset processing and manual reliability checks are described.</t>
  </si>
  <si>
    <t>R2 score = 1.0. The recorded criterion evidence supports full satisfaction: Precision, recall and F1 are compared against Slither, Oyente, Securify, Sailfish and Smartian for relevant vulnerability classes.</t>
  </si>
  <si>
    <t>R2 score = 1.0. The recorded criterion evidence supports full satisfaction: Detailed tables and case analyses explain true/false positives and negatives and support the reported superiority of ContractSentry.</t>
  </si>
  <si>
    <t>R2 score = 1.0. The recorded criterion evidence supports full satisfaction: The paper explicitly discusses false-positive/false-negative causes and acknowledges static-analysis limitations for runtime state and cross-contract invocations.</t>
  </si>
  <si>
    <t>R2 score = 1.0. The recorded criterion evidence supports full satisfaction: Claims are supported by both controlled comparisons and a large real-world Etherscan analysis, while unresolved cross-contract limitations are explicitly qualified.</t>
  </si>
  <si>
    <t>R2 score = 0.5. The recorded evidence supports only partial satisfaction. Implementation details and datasets are described, but study datasets are available only from the corresponding author on reasonable request and no public tool repository is identified. The stated limitation/coverage gap prevents a full score.</t>
  </si>
  <si>
    <t>R2 score = 1.0. The recorded criterion evidence supports full satisfaction: The paper clearly identifies insufficient exploration of deep smart-contract states by existing fuzzers and defines CSAFuzzer's static-analysis-guided fuzzing objective.</t>
  </si>
  <si>
    <t>R2 score = 1.0. The recorded criterion evidence supports full satisfaction: Function-sequence extraction, coverage-guided genetic test generation and vulnerability-specific test oracles are described in detail.</t>
  </si>
  <si>
    <t>R2 score = 1.0. The recorded criterion evidence supports full satisfaction: The implementation environment, baseline configuration, runtime limits, evaluation metrics and manual labelling procedure are explicitly specified.</t>
  </si>
  <si>
    <t>R2 score = 1.0. The recorded criterion evidence supports full satisfaction: Dataset 1 contains 12,351 compilable real-world contracts for coverage evaluation; Dataset 2 contains 505 Etherscan contracts with comprehensive manual vulnerability labels.</t>
  </si>
  <si>
    <t>R2 score = 1.0. The recorded criterion evidence supports full satisfaction: Code coverage, accuracy and true-/false-positive results are compared with symbolic-execution, static-analysis and fuzzing baselines under stated configurations.</t>
  </si>
  <si>
    <t>R2 score = 1.0. The recorded criterion evidence supports full satisfaction: The results report substantial coverage and accuracy improvements and include detailed analyses of false-positive/false-negative cases.</t>
  </si>
  <si>
    <t>R2 score = 1.0. The recorded criterion evidence supports full satisfaction: The Discussion explicitly addresses limitations of test oracles and shows concrete false-positive scenarios caused by business logic and blockchain state semantics.</t>
  </si>
  <si>
    <t>R2 score = 1.0. The recorded criterion evidence supports full satisfaction: Practical claims are proportionate to the large real-world experiments, and the authors explicitly state where real business logic limits automatic vulnerability judgments.</t>
  </si>
  <si>
    <t>R2 score = 0.5. The recorded evidence supports only partial satisfaction. Software/environment settings and source datasets are documented, but generated/analyzed datasets are available only on request and no public CSAFuzzer replication package is confirmed. The stated limitation/coverage gap prevents a full score.</t>
  </si>
  <si>
    <t>R2 score = 1.0. The recorded criterion evidence supports full satisfaction: The study clearly identifies inefficient exploration of both smart-contract code and state spaces and defines stateful directed fuzzing as the target solution.</t>
  </si>
  <si>
    <t>R2 score = 1.0. The recorded criterion evidence supports full satisfaction: VULSEYE's code-target identification, backward state analysis, state targets, integrated fitness metric and fuzzing loop are described in detail.</t>
  </si>
  <si>
    <t>R2 score = 1.0. The recorded criterion evidence supports full satisfaction: The implementation, target algorithms, fitness parameters, instrumented execution environment and experimental protocol are explicitly reported.</t>
  </si>
  <si>
    <t>R2 score = 1.0. The recorded criterion evidence supports full satisfaction: The study uses crafted target-reaching benchmarks, ground-truth vulnerability datasets, 42,738 real-world contracts and top-50 Ethereum DApps, with environment and filtering procedures reported.</t>
  </si>
  <si>
    <t>R2 score = 1.0. The recorded criterion evidence supports full satisfaction: Target-reaching speed, vulnerability detections, true-positive/false-positive rates and code coverage are compared with multiple SOTA fuzzers and static-analysis tools.</t>
  </si>
  <si>
    <t>R2 score = 1.0. The recorded criterion evidence supports full satisfaction: Results show up to 8.4× faster target reaching, up to 9.7× more real-world detections, 4,845 vulnerabilities and 11 previously unknown DApp vulnerabilities.</t>
  </si>
  <si>
    <t>R2 score = 1.0. The recorded criterion evidence supports full satisfaction: A threats-to-validity section and separate discussion explicitly address seed sensitivity, manual vulnerability typing, symbolic-address/state limitations and oracle limitations.</t>
  </si>
  <si>
    <t>R2 score = 1.0. The recorded criterion evidence supports full satisfaction: The large-scale real-world evaluation and previously unknown DApp findings strongly support practical relevance while limitations remain explicitly qualified.</t>
  </si>
  <si>
    <t>R2 score = 1.0. The recorded criterion evidence supports full satisfaction: The VULSEYE implementation and datasets are publicly available through the authors' GitHub repository.</t>
  </si>
  <si>
    <t>R2 score = 1.0. The recorded criterion evidence supports full satisfaction: The paper clearly motivates access-control analysis of non-compilable smart-contract repositories and defines the LLM-plus-static-analysis objective.</t>
  </si>
  <si>
    <t>R2 score = 1.0. The recorded criterion evidence supports full satisfaction: Sensitive-function extraction, LLM snippet completion/self-reflection, FCG/CFG construction and access-control analysis are described in detail.</t>
  </si>
  <si>
    <t>R2 score = 1.0. The recorded criterion evidence supports full satisfaction: The prompt strategy, completion validation, static-analysis stages, datasets and baseline procedures are sufficiently specified for methodological reproduction.</t>
  </si>
  <si>
    <t>R2 score = 1.0. The recorded criterion evidence supports full satisfaction: Evaluation uses a 15-CVE dataset, 5,000 recent verified on-chain contracts and 83 DAppSCAN repositories containing 3,092 contracts, with sampling and complexity characteristics documented.</t>
  </si>
  <si>
    <t>R2 score = 1.0. The recorded criterion evidence supports full satisfaction: Recall/precision and stage-specific metrics are compared with multiple program-analysis tools and LLM baselines across three evaluation scenarios.</t>
  </si>
  <si>
    <t>R2 score = 1.0. The recorded criterion evidence supports full satisfaction: TRACE detects 14/15 CVEs, reaches 89.2% precision on recent on-chain contracts and 87.0% precision on repository data, with detailed failure analyses.</t>
  </si>
  <si>
    <t>R2 score = 1.0. The recorded criterion evidence supports full satisfaction: A dedicated threats-to-validity section discusses LLM time/computation costs, extensibility, hallucination/data-leakage risks and mitigation procedures.</t>
  </si>
  <si>
    <t>R2 score = 1.0. The recorded criterion evidence supports full satisfaction: Practical claims are supported by recent deployed contracts and real non-compilable repositories; the paper reports failure modes and compilation constraints rather than overstating coverage.</t>
  </si>
  <si>
    <t>R2 score = 1.0. The recorded criterion evidence supports full satisfaction: All source code and data are publicly released through the TRACE GitHub repository.</t>
  </si>
  <si>
    <t>R2 evidence-log verification supports the recorded eligibility decision. Reduced criteria: QA7=0.5: Scope/version constraints and future re-evaluation are acknowledged, but there is no dedicated threats-to-validity analysis. This is a second-pass verification of the recorded evidence log, not a blind independent full-text recoding.</t>
  </si>
  <si>
    <t>R2 evidence-log verification supports the recorded eligibility decision. Reduced criteria: QA5=0.5: Performance metrics are detailed, but the authors acknowledge the absence of a standard blockchain benchmark and rely mainly on the Fabcoin workload rather than a broad external baseline. | QA7=0.5: The paper acknowledges evaluation/configuration limitations and lists substantial future work, but provides no formal threats-to-validity section. This is a second-pass verification of the recorded evidence log, not a blind independent full-text recoding.</t>
  </si>
  <si>
    <t>R2 evidence-log verification supports the recorded eligibility decision. Reduced criteria: QA7=0.5: The evaluation discloses constraints such as testing valid non-conflicting transactions and identifies out-of-scope issues/future work, but no dedicated validity section is provided. | QA9=0.5: Implementation and configuration changes are described in detail, but the paper does not identify a dedicated public FastFabric artifact package. This is a second-pass verification of the recorded evidence log, not a blind independent full-text recoding.</t>
  </si>
  <si>
    <t>R2 evidence-log verification supports the recorded eligibility decision. Reduced criteria: QA7=0.5: Model assumptions and security bounds are explicit, but the paper does not provide a dedicated discussion of study limitations or external-validity threats. | QA8=0.5: IoT applicability is plausible, but evidence is analytical and simulation-based rather than an implemented operational blockchain deployment. | QA9=0.5: Supplementary mathematical material and detailed simulation settings are provided, but no study-specific implementation/data repository is identified. This is a second-pass verification of the recorded evidence log, not a blind independent full-text recoding.</t>
  </si>
  <si>
    <t>R2 evidence-log verification supports the recorded eligibility decision. Reduced criteria: QA7=0.5: Future work explicitly identifies untested scalability/vulnerability properties and additional blockchain-quality properties; no formal threats section is present. | QA8=0.5: The authors report planned collaboration with an automotive company, but current evidence relies on Ganache and simulated transactions rather than operational deployment. | QA9=0.5: Algorithms, parameters and supplementary material are provided, but no public study-specific source-code/data artifact is identified. This is a second-pass verification of the recorded evidence log, not a blind independent full-text recoding.</t>
  </si>
  <si>
    <t>R2 evidence-log verification supports the recorded eligibility decision. Reduced criteria: QA7=0.5: The paper discloses SGX EPC constraints and that experiments use SGX debug simulation mode, but does not systematically discuss resulting validity limitations. | QA8=0.5: Evidence comes from a BFT-SMaRt prototype and benchmark workload in SGX simulation mode rather than real SGX/production deployment. | QA9=0.5: Implementation languages, SDK/version and open-source dependencies are documented, but no study-specific public artifact is cited. This is a second-pass verification of the recorded evidence log, not a blind independent full-text recoding.</t>
  </si>
  <si>
    <t>R2 evidence-log verification supports the recorded eligibility decision. Reduced criteria: QA7=0.5: The convexity assumption, lazy-client challenge and several unresolved issues are acknowledged in conclusion/future work, but no dedicated threats section is provided. | QA8=0.5: The framework is evaluated on standard ML datasets and analytical blockchain timing/resource models rather than a deployed blockchain-FL system. | QA9=0.5: Public standard datasets and detailed equations/settings support partial reproducibility, but no study-specific code/artifact is identified. This is a second-pass verification of the recorded evidence log, not a blind independent full-text recoding.</t>
  </si>
  <si>
    <t>R2 evidence-log verification supports the recorded eligibility decision. Reduced criteria: QA7=0.5: Adversary/network assumptions and protocol scope are explicit, but there is no dedicated empirical-validity or limitations discussion. | QA8=0.5: Claims of scalability are supported by formal and simulated evidence, but there is no relevant-environment or operational deployment. | QA9=0.5: Supplementary material and detailed protocol/simulation parameters are available, but no public implementation repository is identified. This is a second-pass verification of the recorded evidence log, not a blind independent full-text recoding.</t>
  </si>
  <si>
    <t>R2 evidence-log verification supports the recorded eligibility decision. Reduced criteria: QA7=0.5: Configuration trade-offs and design constraints are discussed, but no dedicated threats-to-validity section is provided. | QA8=0.5: The prototype is large-scale and technically realistic, but claims about adapting to IoT scenarios remain pre-operational. | QA9=0.5: Implementation details are extensive, but the paper does not identify a public HyperMaze code/data repository. This is a second-pass verification of the recorded evidence log, not a blind independent full-text recoding.</t>
  </si>
  <si>
    <t>R2 evidence-log verification supports the recorded eligibility decision. Reduced criteria: QA7=0.5: The conclusion explicitly identifies vehicle mobility and sharding-configuration optimization as unresolved challenges; no formal threats section is present. | QA9=0.5: Algorithms, architecture and testbed details are documented, but no study-specific public source-code/data package is identified. This is a second-pass verification of the recorded evidence log, not a blind independent full-text recoding.</t>
  </si>
  <si>
    <t>R2 evidence-log verification supports the recorded eligibility decision. Reduced criteria: QA7=0.5: Protocol assumptions and scope limitations are stated, but empirical-validity and external-validity threats are not systematically discussed. | QA8=0.5: Claims of broad applicability to sharding blockchains are based on protocol analysis and simulation rather than operational deployment. | QA9=0.5: Supplementary material is referenced and protocol parameters are documented, but no public implementation artifact is identified. This is a second-pass verification of the recorded evidence log, not a blind independent full-text recoding.</t>
  </si>
  <si>
    <t>R2 evidence-log verification supports the recorded eligibility decision. Reduced criteria: QA7=0.5: The paper explicitly acknowledges strong coordinator assumptions and compromised-group behavior, but does not provide a dedicated threats-to-validity section. | QA9=0.5: Workloads, node allocation and parameter settings are well documented, but no complete public implementation/data artifact is cited. This is a second-pass verification of the recorded evidence log, not a blind independent full-text recoding.</t>
  </si>
  <si>
    <t>R2 evidence-log verification supports the recorded eligibility decision. Reduced criteria: QA7=0.5: Future development is identified, but there is no systematic threats-to-validity discussion for the proof-of-concept and small peer ranges. | QA8=0.5: The conclusion describes the proof-of-concept deployments as strong evidence of suitability/being an 'ideal' system; this is somewhat broader than the testbed evidence. | QA9=0.5: Hardware/software stack and configurations are detailed, but the article states no research data were used and does not identify a complete public Librum artifact package. This is a second-pass verification of the recorded evidence log, not a blind independent full-text recoding.</t>
  </si>
  <si>
    <t>R2 verification: exclude from primary-study QA because the record is a secondary systematic review/survey (EC5). QA1–QA9 remain unscored.</t>
  </si>
  <si>
    <t>R2 verification: eligibility remains unresolved. The logged study evaluates generic Raft in a simulator/key-value setting and requires adjudication against IC4 before QA scoring.</t>
  </si>
  <si>
    <t>R2 evidence-log verification supports the recorded eligibility decision. Reduced criteria: QA7=0.5: Assumptions and future industrial-platform integration are mentioned, but the paper does not provide a dedicated threats-to-validity analysis. | QA8=0.5: A real cloud testbed supports the scalability claims, but the system has not yet been integrated into or observed in an operational industrial blockchain. | QA9=0.5: Implementation/testbed detail and supplementary material are available, but no study-specific public source-code repository is identified in the paper. This is a second-pass verification of the recorded evidence log, not a blind independent full-text recoding.</t>
  </si>
  <si>
    <t>R2 evidence-log verification supports the recorded eligibility decision. Reduced criteria: QA7=0.5: Formal assumptions are explicit, but there is no dedicated empirical limitations or threats-to-validity discussion. | QA8=0.5: The architecture is positioned for cloud-edge-end/IoT use, but the practical evidence is controlled performance testing rather than operational deployment. | QA9=0.5: Supplementary material and detailed protocol definitions are available, but no study-specific public implementation repository is identified. This is a second-pass verification of the recorded evidence log, not a blind independent full-text recoding.</t>
  </si>
  <si>
    <t>R2 evidence-log verification supports the recorded eligibility decision. Reduced criteria: QA7=0.5: Protocol assumptions and future combinations/extensions are discussed, but no formal threats-to-validity section is provided. This is a second-pass verification of the recorded evidence log, not a blind independent full-text recoding.</t>
  </si>
  <si>
    <t>R2 evidence-log verification supports the recorded eligibility decision. All applicable QA criteria are fully satisfied. This is a second-pass verification of the recorded evidence log, not a blind independent full-text recoding.</t>
  </si>
  <si>
    <t>R2 evidence-log verification supports the recorded eligibility decision. Reduced criteria: QA7=0.5: Several threat models and attacks are analyzed, but there is no explicit study-level threats-to-validity/external-validity section. | QA8=0.5: The simulation uses realistic standards/data, but it does not demonstrate operation on a deployed geolocation-sharded blockchain. | QA9=0.5: Supplementary material and external data/model references are available, but no complete study-specific implementation repository is identified. This is a second-pass verification of the recorded evidence log, not a blind independent full-text recoding.</t>
  </si>
  <si>
    <t>R2 evidence-log verification supports the recorded eligibility decision. Reduced criteria: QA8=0.5: Large-scale results are based on a lightweight prototype/simulation rather than an operational blockchain deployment. | QA9=0.5: Parameters and supplementary material are detailed, but no study-specific public EZchain implementation repository is identified. This is a second-pass verification of the recorded evidence log, not a blind independent full-text recoding.</t>
  </si>
  <si>
    <t>R2 evidence-log verification supports the recorded eligibility decision. Reduced criteria: QA8=0.5: The system is experimentally implemented, but massive-edge conditions are emulated on server/container infrastructure rather than a distributed field deployment. | QA9=0.5: Software versions and experimental configuration are detailed, but no study-specific public LiteChain source repository is identified. This is a second-pass verification of the recorded evidence log, not a blind independent full-text recoding.</t>
  </si>
  <si>
    <t>R2 evidence-log verification supports the recorded eligibility decision. Reduced criteria: QA9=0.5: Supplementary material, equations and deployment parameters are detailed, but no public study-specific implementation package is identified. This is a second-pass verification of the recorded evidence log, not a blind independent full-text recoding.</t>
  </si>
  <si>
    <t>R2 evidence-log verification supports the recorded eligibility decision. Reduced criteria: QA7=0.5: The benchmark's abstractions and security assumptions are discussed, but there is no structured threats-to-validity section. | QA8=0.5: Real Ethereum traces improve realism, but the benchmark abstracts a fully deployed sharding network and its consensus/network stack. | QA9=0.5: Geth/replay configuration and dataset selection are documented, but no public study-specific SPARROW prototype repository is identified. This is a second-pass verification of the recorded evidence log, not a blind independent full-text recoding.</t>
  </si>
  <si>
    <t>R2 evidence-log verification supports the recorded eligibility decision. Reduced criteria: QA8=0.5: The scenario is realistic and extensively simulated, but claims of real-world vehicular viability are not yet backed by a field deployment. | QA9=0.5: Detailed parameters and supplementary material are provided, but no public study-specific implementation repository is identified. This is a second-pass verification of the recorded evidence log, not a blind independent full-text recoding.</t>
  </si>
  <si>
    <t>R2 evidence-log verification supports the recorded eligibility decision. All applicable QA criteria are fully satisfied. Not applicable: QA4, QA5, QA9. This is a second-pass verification of the recorded evidence log, not a blind independent full-text recoding.</t>
  </si>
  <si>
    <t>R2 evidence-log verification supports the recorded eligibility decision. Reduced criteria: QA7=0.5: Privacy and platform-dependency limitations/future extensions are discussed, but empirical validity is not organized in a dedicated threats section. This is a second-pass verification of the recorded evidence log, not a blind independent full-text recoding.</t>
  </si>
  <si>
    <t>R2 evidence-log verification supports the recorded eligibility decision. Reduced criteria: QA9=0.5: Implementation details and dependencies are strong, but the paper does not identify a complete study-specific public XCLAIM code repository. This is a second-pass verification of the recorded evidence log, not a blind independent full-text recoding.</t>
  </si>
  <si>
    <t>R2 evidence-log verification supports the recorded eligibility decision. Reduced criteria: QA3=0.5: The method and tool basis are described, but the paper reports that the code-generation part is unfinished and provides no empirical validation of effectiveness. | QA6=0.5: The conceptual framework and formal-analysis pathway are explained, but there are no measured or case-study results demonstrating the approach's effectiveness. | QA8=0.5: Potential benefits are framed as possibilities, but practical applicability is not empirically demonstrated. | QA9=0.5: GeMoC, DSML and CCSL tooling choices are specified, but no complete study-specific artifact or generated deployment package is provided. Not applicable: QA4, QA5. This is a second-pass verification of the recorded evidence log, not a blind independent full-text recoding.</t>
  </si>
  <si>
    <t>R2 verification: QA remains withheld because the supplied file is an unreviewed TechRxiv preprint; replace it with the final peer-reviewed version.</t>
  </si>
  <si>
    <t>R2 evidence-log verification supports the recorded eligibility decision. Reduced criteria: QA7=0: No dedicated limitations or threats-to-validity analysis is provided. | QA8=0.5: The prototype supports the technical claims, but the experiments run in a local controlled environment rather than an operational multiorganization deployment. | QA9=0.5: Algorithms, interfaces and configuration details are documented, but no public study-specific source-code/data repository is identified. This is a second-pass verification of the recorded evidence log, not a blind independent full-text recoding.</t>
  </si>
  <si>
    <t>R2 verification: QA remains withheld because only an incomplete first-page/abstract file is available; complete full text is required.</t>
  </si>
  <si>
    <t>R2 evidence-log verification supports the recorded eligibility decision. Reduced criteria: QA7=0.5: The conclusion explicitly identifies cross-chain state verification and Oracle-gateway trust dependency as future improvement areas, but provides no formal validity section. | QA8=0.5: The heterogeneous prototype supports feasibility and performance claims, but the evidence remains a controlled testbed rather than operational deployment. This is a second-pass verification of the recorded evidence log, not a blind independent full-text recoding.</t>
  </si>
  <si>
    <t>R2 evidence-log verification supports the recorded eligibility decision. Reduced criteria: QA7=0: The paper does not provide a structured limitations or threats-to-validity discussion. This is a second-pass verification of the recorded evidence log, not a blind independent full-text recoding.</t>
  </si>
  <si>
    <t>R2 evidence-log verification supports the recorded eligibility decision. Reduced criteria: QA7=0.5: The conclusion identifies deployment on public blockchains such as Ethereum as future work, but no formal threats-to-validity section is provided. | QA8=0.5: The prototype validates the scheme technically, but operational evidence is limited to a permissioned experimental environment. | QA9=0.5: Supplementary security proofs and implementation/configuration information are available, but no complete public study-specific source-code package is identified. This is a second-pass verification of the recorded evidence log, not a blind independent full-text recoding.</t>
  </si>
  <si>
    <t>R2 evidence-log verification supports the recorded eligibility decision. Reduced criteria: QA7=0: No structured threats-to-validity or study-level limitations section is provided. | QA8=0.5: The heterogeneous testbed supports feasibility, but statements about real-world vehicular deployment are stronger than the laboratory/testbed evidence. | QA9=0.5: Supplementary smart-contract logic and detailed setup are reported, but no public study-specific source repository is identified. This is a second-pass verification of the recorded evidence log, not a blind independent full-text recoding.</t>
  </si>
  <si>
    <t>R2 evidence-log verification supports the recorded eligibility decision. Reduced criteria: QA7=0: A dedicated limitations or threats-to-validity section is not identified; adversary assumptions are described but are not a substitute for validity analysis. | QA9=0.5: Extensive implementation detail and supplementary material are provided, but no study-specific public source-code repository is identified. This is a second-pass verification of the recorded evidence log, not a blind independent full-text recoding.</t>
  </si>
  <si>
    <t>R2 verification: QA remains withheld because the actual PS040 (ShiftHub) full text is missing; the supplied PS040-named file corresponds to PS039.</t>
  </si>
  <si>
    <t>R2 evidence-log verification supports the recorded eligibility decision. Reduced criteria: QA9=0.5: Supplementary material and detailed configuration are provided, but no study-specific public source-code repository is identified. This is a second-pass verification of the recorded evidence log, not a blind independent full-text recoding.</t>
  </si>
  <si>
    <t>R2 evidence-log verification supports the recorded eligibility decision. Reduced criteria: QA5=0.5: Repository metrics such as stars, contributors, issues, watchers, forks, age and language are reported, but metric selection/comparative baselines are only lightly justified. | QA7=0: No formal limitations or threats-to-validity discussion is provided. | QA8=0.5: The proposed research directions are useful but are inferred from a short, historically bounded GitHub snapshot rather than broader practitioner/industrial validation. | QA9=0.5: Dataset-selection logic and extracted fields are documented, but no public raw study dataset/package is identified. This is a second-pass verification of the recorded evidence log, not a blind independent full-text recoding.</t>
  </si>
  <si>
    <t>R2 evidence-log verification supports the recorded eligibility decision. Reduced criteria: QA9=0.5: Survey questions, coding scheme and analytical procedure are documented, but no complete public respondent-level dataset/reproducibility package is identified. This is a second-pass verification of the recorded evidence log, not a blind independent full-text recoding.</t>
  </si>
  <si>
    <t>R2 evidence-log verification supports the recorded eligibility decision. Reduced criteria: QA5=0.5: Usefulness/ease-of-use items use explicit 1–5 scales with mean/SD, but there is no competing-process baseline or controlled comparative evaluation. | QA8=0.5: The method has real-project use and favorable early feedback, but the small non-comparative sample limits broad claims of industrial effectiveness. | QA9=0.5: Detailed process steps, UML extensions and checklists are contained in the paper, but no complete public study artifact/evaluation dataset is identified. This is a second-pass verification of the recorded evidence log, not a blind independent full-text recoding.</t>
  </si>
  <si>
    <t>R2 evidence-log verification supports the recorded eligibility decision. Reduced criteria: QA3=0.5: The operational platform is described and statistics are reported, but the paper does not present a rigorous controlled evaluation of developer efficiency or usability. | QA4=0.5: Platform usage volume and setup examples are given, but workload/user sampling and data-collection procedures for the operational statistics are only partially documented. | QA5=0.5: Compiled-contract counts, geographic reach and supported platforms are useful operational metrics, but comparative evaluation criteria/baselines are limited. | QA7=0: No formal limitations or threats-to-validity analysis is provided. | QA9=0.5: Architecture and service behavior are documented and the platform was operational, but no complete study-specific source/data package is identified. This is a second-pass verification of the recorded evidence log, not a blind independent full-text recoding.</t>
  </si>
  <si>
    <t>R2 evidence-log verification supports the recorded eligibility decision. Reduced criteria: QA2=0.5: A preliminary model-based approach is outlined through UML/model-based testing, smart-contract templates and code-generation concepts, but it is not specified as a complete executable method. | QA3=0.5: The work is a reasoned methodological discussion rather than a reproducible empirical evaluation; the authors explicitly state that the proposal is preliminary. | QA6=0.5: The paper provides a coherent argument and design rationale, but no implemented-study results demonstrate defect reduction or development-cost effects. | QA8=0.5: Potential benefits are plausible and grounded in software-testing principles, but practical smart-contract benefits have not yet been empirically demonstrated. | QA9=0.5: Figures, process concepts and modelling guidance are documented, but no study-specific implementation, dataset or replication package is provided. Not applicable: QA4, QA5. This is a second-pass verification of the recorded evidence log, not a blind independent full-text recoding.</t>
  </si>
  <si>
    <t>R2 evidence-log verification supports the recorded eligibility decision. Reduced criteria: QA3=0.5: The framework is explained systematically, but no empirical or controlled validation procedure is reported. | QA6=0.5: The car-rental example illustrates the framework's intended use, but no measured effectiveness, correctness or performance results are reported. | QA7=0: The article does not provide a substantive limitations or threats-to-validity discussion of the proposed framework. | QA8=0.5: Claims about future contract-oriented application development are conceptually motivated but not supported by deployed or empirical evidence. | QA9=0.5: Architecture diagrams and language/runtime concepts are provided, but no study-specific implementation or reproducibility artifact is identified. Not applicable: QA4, QA5. This is a second-pass verification of the recorded evidence log, not a blind independent full-text recoding.</t>
  </si>
  <si>
    <t>R2 evidence-log verification supports the recorded eligibility decision. Reduced criteria: QA7=0.5: The conclusion explicitly cautions that the large-scale gas comparison cannot support definitive absolute conclusions and identifies further work, but no dedicated threats-to-validity section is provided. This is a second-pass verification of the recorded evidence log, not a blind independent full-text recoding.</t>
  </si>
  <si>
    <t>R2 evidence-log verification supports the recorded eligibility decision. Reduced criteria: QA9=0.5: Stack Exchange data are publicly available and the collection process is documented in the paper/appendix, but no complete study-specific scripts and replication package are identified. This is a second-pass verification of the recorded evidence log, not a blind independent full-text recoding.</t>
  </si>
  <si>
    <t>R2 evidence-log verification supports the recorded eligibility decision. Reduced criteria: QA7=0.5: The conclusion identifies remaining methodology-development and broader-platform work, but no structured threats-to-validity analysis is provided. | QA8=0.5: The results demonstrate technical feasibility, but practical generalizability is constrained by only three small documentation-derived smart contracts and sandbox deployment. This is a second-pass verification of the recorded evidence log, not a blind independent full-text recoding.</t>
  </si>
  <si>
    <t>R2 evidence-log verification supports the recorded eligibility decision. Reduced criteria: QA7=0.5: The conclusion identifies continued domain-library expansion, execution monitoring and correctness verification as ongoing work, but no dedicated limitations/threats section is provided. | QA8=0.5: The five-case results support technical feasibility/reuse, but the evaluation relies on one experienced developer and does not directly measure development time, defects or user comprehension. | QA9=0.5: A Blockly Solidity-function component is linked publicly and implementation details are documented, but the complete study tool, datasets and evaluation package are not provided as a unified public artifact. This is a second-pass verification of the recorded evidence log, not a blind independent full-text recoding.</t>
  </si>
  <si>
    <t>R2 evidence-log verification supports the recorded eligibility decision. Reduced criteria: QA5=0.5: Topic coherence and seeded LDA are motivated, but no independent labelled ground truth or classification-accuracy baseline is reported. | QA7=0.5: The authors explicitly acknowledge poor coverage for 2015–2016 and uneven representation of later years, but provide no formal threats-to-validity analysis. This is a second-pass verification of the recorded evidence log, not a blind independent full-text recoding.</t>
  </si>
  <si>
    <t>R2 evidence-log verification supports the recorded eligibility decision. Reduced criteria: QA8=0.5: The method is technically demonstrated on two platforms, but practical effectiveness and usability remain based on one HackChain workflow rather than broader developer/industrial validation. This is a second-pass verification of the recorded evidence log, not a blind independent full-text recoding.</t>
  </si>
  <si>
    <t>R2 evidence-log verification supports the recorded eligibility decision. Reduced criteria: QA8=0.5: The PoC demonstrates feasibility and performance implications, but the authors explicitly state that efficiency, scalability and several BPMN features remain unresolved. | QA9=0.5: Implementation and deployment details are substantial and a demo/limited access is offered on request, but no public complete source-code/replication package is supplied. This is a second-pass verification of the recorded evidence log, not a blind independent full-text recoding.</t>
  </si>
  <si>
    <t>R2 evidence-log verification supports the recorded eligibility decision. Reduced criteria: QA7=0.5: Future work explicitly identifies the need for more use cases, unit tests, static analyzers, fuzzing, formal verification, prompting methods and larger models, but no structured threats-to-validity section is provided. | QA8=0.5: The benchmark demonstrates useful model differences, but conclusions about LLM smart-contract capability are constrained by only 15 use cases and relatively small open-source models. This is a second-pass verification of the recorded evidence log, not a blind independent full-text recoding.</t>
  </si>
  <si>
    <t>R2 evidence-log verification supports the recorded eligibility decision. Reduced criteria: QA3=0.5: The prototype is validated against one voting smart contract in Solidity/Vyper, but there is no controlled user, usability or comparative experimental design. | QA4=0.5: The voting case and represented code elements are documented, but the evaluation consists of a single reference contract with no participant or broader case sample. | QA5=0.5: Structural and behavioral representation counts are reported and related approaches are discussed, but no formal baseline or effectiveness metric is justified. | QA8=0.5: The case demonstrates metamodel/prototype feasibility, but practical usability and multi-language code-generation claims require broader validation. | QA9=0.5: Metamodel/editor implementation details are substantial, but no public SCEditor study-specific source-code or replication package is identified. This is a second-pass verification of the recorded evidence log, not a blind independent full-text recoding.</t>
  </si>
  <si>
    <t>R2 evidence-log verification supports the recorded eligibility decision. Reduced criteria: QA3=0.5: The authors state that the research follows case-based research and analyse economic, computational and interconnected effects, but the single-case design does not provide a detailed replication protocol or multi-case validation. | QA5=0.5: The study reports gas/economic consequences and architectural effects, but there is no substantive comparative baseline or broader quantitative evaluation framework. | QA8=0.5: The recommendations are relevant to blockchain software engineering, but generalization rests primarily on one digital-identity/microservice case. | QA9=0.5: Architecture, contract-upgrade procedure and experimental details are documented, but no study-specific public code/data/replication package is identified. This is a second-pass verification of the recorded evidence log, not a blind independent full-text recoding.</t>
  </si>
  <si>
    <t>R2 evidence-log verification supports the recorded eligibility decision. Reduced criteria: QA3=0.5: Data collection and graph construction are explained, but the paper does not report a formal accuracy, usability or performance evaluation of the framework itself. | QA5=0: No formal evaluation metrics or comparative baselines are used to quantify EvoChain's tracking accuracy, interface usability or scalability. | QA6=0.5: The paper documents capabilities, dataset scale and intended applications, but provides limited measured evaluation results beyond descriptive dataset characteristics. | QA8=0.5: Potential benefits for transparency, vulnerability research and stakeholder analysis are plausible, but they are not validated through user or comparative operational studies. This is a second-pass verification of the recorded evidence log, not a blind independent full-text recoding.</t>
  </si>
  <si>
    <t>R2 verification: QA remains withheld until the peer-reviewed Version of Record replaces the explicitly unreviewed preprint.</t>
  </si>
  <si>
    <t>R2 evidence-log verification supports the recorded eligibility decision. Reduced criteria: QA7=0.5: The paper discusses false positives, bounded path exploration and detector limitations, but does not provide a dedicated structured threats-to-validity section. | QA9=0.5: Oyente is described as open source/project-page software and implementation details are extensive, but the supplied paper does not present a complete study-specific replication package. This is a second-pass verification of the recorded evidence log, not a blind independent full-text recoding.</t>
  </si>
  <si>
    <t>R2 evidence-log verification supports the recorded eligibility decision. Reduced criteria: QA9=0.5: Translation, policy and verifier implementation details are extensive, but no public ZEUS source/replication package is identified in the supplied article. This is a second-pass verification of the recorded evidence log, not a blind independent full-text recoding.</t>
  </si>
  <si>
    <t>R2 evidence-log verification supports the recorded eligibility decision. Reduced criteria: QA5=0.5: The study defines correctness/safety properties and model-checking queries, but provides no comparative baseline or quantitative accuracy/performance evaluation. | QA7=0: No substantive limitations or threats-to-validity discussion is provided. | QA8=0.5: The method shows formal-verification feasibility, but evidence is limited to one simplified crowdfunding case and attacker scenario. | QA9=0.5: Model equations, markings and query logic are reported, but no public CPN model files, code or replication package are identified. This is a second-pass verification of the recorded evidence log, not a blind independent full-text recoding.</t>
  </si>
  <si>
    <t>R2 evidence-log verification supports the recorded eligibility decision. Reduced criteria: QA8=0.5: The offline evaluation supports improved vulnerability-auditing performance, but direct developer/operational deployment effectiveness is not evaluated. This is a second-pass verification of the recorded evidence log, not a blind independent full-text recoding.</t>
  </si>
  <si>
    <t>R2 evidence-log verification supports the recorded eligibility decision. Reduced criteria: QA8=0.5: EOSIO evidence is strong and practical; Ethereum applicability is appropriately limited to a smaller manually modified case because the toolchain was immature. This is a second-pass verification of the recorded evidence log, not a blind independent full-text recoding.</t>
  </si>
  <si>
    <t>R2 evidence-log verification supports the recorded eligibility decision. Reduced criteria: QA7=0.5: The conclusion identifies future extensions and supported-vulnerability limitations, but there is no dedicated threats-to-validity analysis of labels, sampling or implementation bias. | QA8=0.5: The experiments support improved detection performance, but operational/developer use and generalization beyond the constructed dataset are not directly assessed. | QA9=0.5: System architecture, algorithms and experimental configuration are documented, but no complete public code/data replication package is identified. This is a second-pass verification of the recorded evidence log, not a blind independent full-text recoding.</t>
  </si>
  <si>
    <t>R2 evidence-log verification supports the recorded eligibility decision. Reduced criteria: QA8=0.5: The evidence strongly supports classification performance, but practical audit workflow, runtime/operational robustness and developer impact are not directly evaluated. This is a second-pass verification of the recorded evidence log, not a blind independent full-text recoding.</t>
  </si>
  <si>
    <t>R2 evidence-log verification supports the recorded eligibility decision. Reduced criteria: QA9=0.5: The paper states that implementation/results will be released on the ParkSE website and describes the plug-in architecture, but the supplied version does not confirm a stable public replication package. This is a second-pass verification of the recorded evidence log, not a blind independent full-text recoding.</t>
  </si>
  <si>
    <t>R2 evidence-log verification supports the recorded eligibility decision. Reduced criteria: QA8=0.5: The evidence supports strong offline reentrancy classification, but practical developer/audit workflow or deployed-tool effectiveness is not directly evaluated. This is a second-pass verification of the recorded evidence log, not a blind independent full-text recoding.</t>
  </si>
  <si>
    <t>R2 evidence-log verification supports the recorded eligibility decision. Reduced criteria: QA9=0.5: Implementation language, hardware, datasets, graph-generation and threshold procedures are documented, but no complete public study-specific source/data package is identified. This is a second-pass verification of the recorded evidence log, not a blind independent full-text recoding.</t>
  </si>
  <si>
    <t>R2 evidence-log verification supports the recorded eligibility decision. Reduced criteria: QA8=0.5: The evidence strongly supports benchmark detection performance, but operational developer use, deployment robustness and impact beyond the experimental datasets are not evaluated. | QA9=0.5: Datasets, dependencies, libraries, environment and hyperparameters are well documented and some source datasets are public, but no complete study-specific replication package is identified. This is a second-pass verification of the recorded evidence log, not a blind independent full-text recoding.</t>
  </si>
  <si>
    <t>R2 evidence-log verification supports the recorded eligibility decision. Reduced criteria: QA7=0.5: The conclusion acknowledges that evaluation is limited to reentrancy and proposes extension to other vulnerability types, but no dedicated threats-to-validity analysis is provided. | QA8=0.5: The experiments support offline detection accuracy, but the paper's practical-application framing is broader than the dataset-based validation and no deployed auditing workflow is evaluated. | QA9=0.5: Datasets, architecture, software stack and training hyperparameters are documented, but no complete study-specific code/model replication package is identified. This is a second-pass verification of the recorded evidence log, not a blind independent full-text recoding.</t>
  </si>
  <si>
    <t>R2 evidence-log verification supports the recorded eligibility decision. Reduced criteria: QA7=0.5: The conclusion acknowledges that VeriSolid is presently limited to Solidity/EVM-compatible blockchains and identifies unsupported languages/hyper-properties as future extensions, but no dedicated threats-to-validity analysis is reported. This is a second-pass verification of the recorded evidence log, not a blind independent full-text recoding.</t>
  </si>
  <si>
    <t>R2 evidence-log verification supports the recorded eligibility decision. Reduced criteria: QA7=0: No substantive limitations or threats-to-validity section is provided; the conclusion focuses on contributions and extensibility. This is a second-pass verification of the recorded evidence log, not a blind independent full-text recoding.</t>
  </si>
  <si>
    <t>R2 evidence-log verification supports the recorded eligibility decision. Reduced criteria: QA7=0: The supplied paper does not provide a substantive study-specific limitations or threats-to-validity discussion. | QA8=0.5: The offline benchmark evidence supports improved detection performance, but claims about enhancing real smart-contract security are broader than the tested deployment context. | QA9=0.5: Dataset sources, preprocessing, hardware, software framework and model settings are documented, but no complete public study-specific code/data replication package is identified. This is a second-pass verification of the recorded evidence log, not a blind independent full-text recoding.</t>
  </si>
  <si>
    <t>R2 evidence-log verification supports the recorded eligibility decision. Reduced criteria: QA3=0.5: The analysis concepts and command workflow are described, but rule specifications and an end-to-end reproducible evaluation protocol are incomplete. | QA4=0.5: The technical evaluation shows secured and deliberately vulnerable chaincode examples, but no clearly defined labelled dataset, sample size or representative workload is reported. | QA5=0.5: The comparison with njsscan and jshint is primarily a feature/vulnerability-coverage table rather than a precision/recall or statistically justified performance baseline. | QA6=0.5: Illustrative screenshots demonstrate that seeded vulnerabilities are reported, but the evidence does not quantify detection accuracy or false-positive/false-negative behaviour. | QA7=0: No formal limitations or threats-to-validity discussion is provided; the conclusion only notes that additional vulnerabilities and languages remain future work. | QA8=0.5: The tool is plausibly useful for Fabric developers, but practical effectiveness is inferred from limited technical demonstrations rather than representative industrial evaluation. | QA9=0.5: Commands, architecture, rules and output format are documented, but no public UBF-ChaincodeScan source repository or evaluation dataset is identified. This is a second-pass verification of the recorded evidence log, not a blind independent full-text recoding.</t>
  </si>
  <si>
    <t>R2 evidence-log verification supports the recorded eligibility decision. Reduced criteria: QA4=0.5: The paper states that public Ethereum contracts were collected and that the method was tested on 2,676 contracts, but sampling, composition and ground-truth construction are only lightly described. | QA5=0.5: The study reports detection counts and recall for selected cases, but comparative metrics and baseline design are limited and do not comprehensively assess false positives/negatives. | QA7=0: No substantive limitations or threats-to-validity discussion is provided for the evaluation. | QA8=0.5: The enhancement is practically plausible, but broad claims about improving blockchain application security exceed the limited comparative validation reported. | QA9=0.5: Algorithms and evaluation examples are documented, but no confirmed public repository for the enhanced Oyente implementation or complete evaluation dataset is provided. This is a second-pass verification of the recorded evidence log, not a blind independent full-text recoding.</t>
  </si>
  <si>
    <t>R2 evidence-log verification supports the recorded eligibility decision. Reduced criteria: QA9=0.5: Dataset construction, architecture and experimental configuration are documented, but no complete public CL-HGAN implementation/replication package is identified in the supplied paper. This is a second-pass verification of the recorded evidence log, not a blind independent full-text recoding.</t>
  </si>
  <si>
    <t>R2 evidence-log verification supports the recorded eligibility decision. Reduced criteria: QA9=0.5: Implementation details and datasets are described, but study datasets are available only from the corresponding author on reasonable request and no public tool repository is identified. This is a second-pass verification of the recorded evidence log, not a blind independent full-text recoding.</t>
  </si>
  <si>
    <t>R2 evidence-log verification supports the recorded eligibility decision. Reduced criteria: QA9=0.5: Software/environment settings and source datasets are documented, but generated/analyzed datasets are available only on request and no public CSAFuzzer replication package is confirmed. This is a second-pass verification of the recorded evidence log, not a blind independent full-text recoding.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</si>
</sst>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name val="Carlito"/>
    </font>
    <font>
      <b/>
      <sz val="14"/>
      <color rgb="FFFFFFFF"/>
      <name val="Times New Roman"/>
      <family val="1"/>
    </font>
    <font>
      <sz val="12"/>
      <name val="Times New Roman"/>
      <family val="1"/>
    </font>
    <font>
      <b/>
      <sz val="12"/>
      <name val="Times New Roman"/>
      <family val="1"/>
    </font>
    <font>
      <sz val="14"/>
      <name val="Times New Roman"/>
      <family val="1"/>
    </font>
    <font>
      <b/>
      <sz val="16"/>
      <color rgb="FFFFFFFF"/>
      <name val="Times New Roman"/>
      <family val="1"/>
    </font>
    <font>
      <sz val="16"/>
      <name val="Times New Roman"/>
      <family val="1"/>
    </font>
  </fonts>
  <fills count="15">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E2F0D9"/>
      </patternFill>
    </fill>
    <fill>
      <patternFill patternType="solid">
        <fgColor rgb="FFD9EAF7"/>
      </patternFill>
    </fill>
    <fill>
      <patternFill patternType="solid">
        <fgColor rgb="FFE2F0D9"/>
      </patternFill>
    </fill>
    <fill>
      <patternFill patternType="solid">
        <fgColor rgb="FFD9EAF7"/>
      </patternFill>
    </fill>
    <fill>
      <patternFill patternType="solid">
        <fgColor rgb="FFE2F0D9"/>
      </patternFill>
    </fill>
    <fill>
      <patternFill patternType="solid">
        <fgColor rgb="FFFFF2CC"/>
      </patternFill>
    </fill>
    <fill>
      <patternFill patternType="solid">
        <fgColor rgb="FFE2F0D9"/>
      </patternFill>
    </fill>
    <fill>
      <patternFill patternType="solid">
        <fgColor rgb="FFFFF2CC"/>
      </patternFill>
    </fill>
    <fill>
      <patternFill patternType="solid">
        <fgColor rgb="FFE2F0D9"/>
      </patternFill>
    </fill>
    <fill>
      <patternFill patternType="solid">
        <fgColor rgb="FFFFFF00"/>
        <bgColor indexed="64"/>
      </patternFill>
    </fill>
  </fills>
  <borders count="1">
    <border>
      <left/>
      <right/>
      <top/>
      <bottom/>
      <diagonal/>
    </border>
  </borders>
  <cellStyleXfs count="1">
    <xf numFmtId="0" fontId="0" fillId="0" borderId="0"/>
  </cellStyleXfs>
  <cellXfs count="37">
    <xf numFmtId="0" fontId="0" fillId="0" borderId="0" xfId="0"/>
    <xf numFmtId="0" fontId="2" fillId="0" borderId="0" xfId="0" applyFont="1"/>
    <xf numFmtId="0" fontId="3" fillId="3" borderId="0" xfId="0" applyFont="1" applyFill="1" applyAlignment="1">
      <alignment vertical="top"/>
    </xf>
    <xf numFmtId="0" fontId="2" fillId="0" borderId="0" xfId="0" applyFont="1" applyAlignment="1">
      <alignment wrapText="1"/>
    </xf>
    <xf numFmtId="0" fontId="3" fillId="3" borderId="0" xfId="0" applyFont="1" applyFill="1" applyAlignment="1">
      <alignment vertical="top" wrapText="1"/>
    </xf>
    <xf numFmtId="0" fontId="3" fillId="3" borderId="0" xfId="0" applyFont="1" applyFill="1" applyAlignment="1">
      <alignment horizontal="center" wrapText="1"/>
    </xf>
    <xf numFmtId="0" fontId="4" fillId="0" borderId="0" xfId="0" applyFont="1"/>
    <xf numFmtId="0" fontId="6" fillId="0" borderId="0" xfId="0" applyFont="1"/>
    <xf numFmtId="0" fontId="1" fillId="2" borderId="0" xfId="0" applyFont="1" applyFill="1" applyAlignment="1">
      <alignment horizontal="center" vertical="center"/>
    </xf>
    <xf numFmtId="0" fontId="2" fillId="0" borderId="0" xfId="0" applyFont="1" applyAlignment="1">
      <alignment vertical="top" wrapText="1"/>
    </xf>
    <xf numFmtId="0" fontId="2" fillId="4" borderId="0" xfId="0" applyFont="1" applyFill="1" applyAlignment="1">
      <alignment vertical="top" wrapText="1"/>
    </xf>
    <xf numFmtId="164" fontId="2" fillId="0" borderId="0" xfId="0" applyNumberFormat="1" applyFont="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2" fillId="11" borderId="0" xfId="0" applyFont="1" applyFill="1" applyAlignment="1">
      <alignment wrapText="1"/>
    </xf>
    <xf numFmtId="164" fontId="2" fillId="0" borderId="0" xfId="0" applyNumberFormat="1" applyFont="1" applyAlignment="1">
      <alignment wrapText="1"/>
    </xf>
    <xf numFmtId="0" fontId="2" fillId="12" borderId="0" xfId="0" applyFont="1" applyFill="1" applyAlignment="1">
      <alignment wrapText="1"/>
    </xf>
    <xf numFmtId="0" fontId="2" fillId="13" borderId="0" xfId="0" applyFont="1" applyFill="1" applyAlignment="1">
      <alignment vertical="top" wrapText="1"/>
    </xf>
    <xf numFmtId="0" fontId="1" fillId="2" borderId="0" xfId="0" applyFont="1" applyFill="1" applyAlignment="1">
      <alignment horizontal="center" vertical="center" wrapText="1"/>
    </xf>
    <xf numFmtId="0" fontId="4" fillId="0" borderId="0" xfId="0" applyFont="1" applyAlignment="1">
      <alignment vertical="center"/>
    </xf>
    <xf numFmtId="0" fontId="2" fillId="0" borderId="0" xfId="0" applyFont="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xf>
    <xf numFmtId="0" fontId="2" fillId="10" borderId="0" xfId="0" applyFont="1" applyFill="1" applyAlignment="1">
      <alignment horizontal="center" vertical="center" wrapText="1"/>
    </xf>
    <xf numFmtId="0" fontId="6" fillId="0" borderId="0" xfId="0" applyFont="1" applyAlignment="1">
      <alignment horizontal="center" vertical="center"/>
    </xf>
    <xf numFmtId="0" fontId="4" fillId="0" borderId="0" xfId="0" applyFont="1" applyAlignment="1">
      <alignment horizontal="center" vertical="center"/>
    </xf>
    <xf numFmtId="0" fontId="5" fillId="2" borderId="0" xfId="0"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center" wrapText="1"/>
    </xf>
    <xf numFmtId="0" fontId="2" fillId="14" borderId="0" xfId="0" applyFont="1" applyFill="1" applyAlignment="1">
      <alignment vertical="top" wrapText="1"/>
    </xf>
    <xf numFmtId="164" fontId="2" fillId="14" borderId="0" xfId="0" applyNumberFormat="1" applyFont="1" applyFill="1" applyAlignment="1">
      <alignment vertical="top" wrapText="1"/>
    </xf>
    <xf numFmtId="0" fontId="2" fillId="14" borderId="0" xfId="0" applyFont="1" applyFill="1"/>
    <xf numFmtId="0" fontId="2" fillId="14" borderId="0" xfId="0" applyFont="1" applyFill="1" applyAlignment="1">
      <alignment horizontal="center" vertical="center" wrapText="1"/>
    </xf>
    <xf numFmtId="0" fontId="2" fillId="14" borderId="0" xfId="0" applyFont="1" applyFill="1" applyAlignment="1">
      <alignment horizontal="center" vertical="center"/>
    </xf>
  </cellXfs>
  <cellStyles count="1">
    <cellStyle name="Normal" xfId="0" builtinId="0"/>
  </cellStyles>
  <dxfs count="18">
    <dxf>
      <fill>
        <patternFill patternType="solid">
          <bgColor rgb="FFFCE4D6"/>
        </patternFill>
      </fill>
    </dxf>
    <dxf>
      <fill>
        <patternFill patternType="solid">
          <bgColor rgb="FFFFF2CC"/>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bgColor rgb="FFE2F0D9"/>
        </patternFill>
      </fill>
    </dxf>
    <dxf>
      <fill>
        <patternFill>
          <bgColor rgb="FFFCE4D6"/>
        </patternFill>
      </fill>
    </dxf>
    <dxf>
      <fill>
        <patternFill>
          <bgColor rgb="FFFFF2CC"/>
        </patternFill>
      </fill>
    </dxf>
    <dxf>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19"/>
  <sheetViews>
    <sheetView topLeftCell="A9" workbookViewId="0">
      <selection activeCell="C20" sqref="C20"/>
    </sheetView>
  </sheetViews>
  <sheetFormatPr defaultRowHeight="15.75"/>
  <cols>
    <col min="1" max="1" width="51.375" style="1" customWidth="1"/>
    <col min="2" max="2" width="58" style="1" customWidth="1"/>
    <col min="3" max="3" width="78" style="1" customWidth="1"/>
    <col min="4" max="16384" width="9" style="1"/>
  </cols>
  <sheetData>
    <row r="1" spans="1:3" s="7" customFormat="1" ht="20.25">
      <c r="A1" s="30" t="s">
        <v>0</v>
      </c>
      <c r="B1" s="30"/>
      <c r="C1" s="30"/>
    </row>
    <row r="3" spans="1:3" ht="31.5">
      <c r="A3" s="2" t="s">
        <v>1</v>
      </c>
      <c r="B3" s="3" t="s">
        <v>2</v>
      </c>
    </row>
    <row r="4" spans="1:3" ht="31.5">
      <c r="A4" s="2" t="s">
        <v>3</v>
      </c>
      <c r="B4" s="3" t="s">
        <v>4</v>
      </c>
    </row>
    <row r="5" spans="1:3" ht="31.5">
      <c r="A5" s="2" t="s">
        <v>5</v>
      </c>
      <c r="B5" s="3" t="s">
        <v>6</v>
      </c>
    </row>
    <row r="6" spans="1:3" ht="31.5">
      <c r="A6" s="2" t="s">
        <v>7</v>
      </c>
      <c r="B6" s="3" t="s">
        <v>8</v>
      </c>
    </row>
    <row r="7" spans="1:3" ht="31.5">
      <c r="A7" s="2" t="s">
        <v>9</v>
      </c>
      <c r="B7" s="3" t="s">
        <v>1823</v>
      </c>
    </row>
    <row r="8" spans="1:3" ht="173.25">
      <c r="A8" s="4" t="s">
        <v>1822</v>
      </c>
      <c r="B8" s="3" t="s">
        <v>1824</v>
      </c>
      <c r="C8" s="3"/>
    </row>
    <row r="10" spans="1:3" s="6" customFormat="1" ht="18.75">
      <c r="A10" s="8" t="s">
        <v>10</v>
      </c>
      <c r="B10" s="8" t="s">
        <v>11</v>
      </c>
      <c r="C10" s="8" t="s">
        <v>12</v>
      </c>
    </row>
    <row r="11" spans="1:3" ht="31.5">
      <c r="A11" s="5" t="s">
        <v>13</v>
      </c>
      <c r="B11" s="3" t="s">
        <v>14</v>
      </c>
      <c r="C11" s="3" t="s">
        <v>15</v>
      </c>
    </row>
    <row r="12" spans="1:3" ht="31.5">
      <c r="A12" s="5" t="s">
        <v>16</v>
      </c>
      <c r="B12" s="3" t="s">
        <v>17</v>
      </c>
      <c r="C12" s="3" t="s">
        <v>18</v>
      </c>
    </row>
    <row r="13" spans="1:3" ht="47.25">
      <c r="A13" s="5" t="s">
        <v>19</v>
      </c>
      <c r="B13" s="3" t="s">
        <v>20</v>
      </c>
      <c r="C13" s="3" t="s">
        <v>21</v>
      </c>
    </row>
    <row r="14" spans="1:3" ht="47.25">
      <c r="A14" s="5" t="s">
        <v>22</v>
      </c>
      <c r="B14" s="3" t="s">
        <v>23</v>
      </c>
      <c r="C14" s="3" t="s">
        <v>24</v>
      </c>
    </row>
    <row r="15" spans="1:3" ht="47.25">
      <c r="A15" s="5" t="s">
        <v>25</v>
      </c>
      <c r="B15" s="3" t="s">
        <v>26</v>
      </c>
      <c r="C15" s="3" t="s">
        <v>27</v>
      </c>
    </row>
    <row r="16" spans="1:3" ht="47.25">
      <c r="A16" s="5" t="s">
        <v>28</v>
      </c>
      <c r="B16" s="3" t="s">
        <v>29</v>
      </c>
      <c r="C16" s="3" t="s">
        <v>30</v>
      </c>
    </row>
    <row r="17" spans="1:3" ht="47.25">
      <c r="A17" s="5" t="s">
        <v>31</v>
      </c>
      <c r="B17" s="3" t="s">
        <v>32</v>
      </c>
      <c r="C17" s="3" t="s">
        <v>33</v>
      </c>
    </row>
    <row r="18" spans="1:3" ht="47.25">
      <c r="A18" s="5" t="s">
        <v>34</v>
      </c>
      <c r="B18" s="3" t="s">
        <v>35</v>
      </c>
      <c r="C18" s="3" t="s">
        <v>36</v>
      </c>
    </row>
    <row r="19" spans="1:3" ht="63">
      <c r="A19" s="5" t="s">
        <v>37</v>
      </c>
      <c r="B19" s="3" t="s">
        <v>38</v>
      </c>
      <c r="C19" s="3" t="s">
        <v>39</v>
      </c>
    </row>
  </sheetData>
  <mergeCells count="1">
    <mergeCell ref="A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S97"/>
  <sheetViews>
    <sheetView topLeftCell="A62" workbookViewId="0">
      <selection activeCell="A67" sqref="A67:XFD67"/>
    </sheetView>
  </sheetViews>
  <sheetFormatPr defaultRowHeight="15.75"/>
  <cols>
    <col min="1" max="1" width="11" style="1" customWidth="1"/>
    <col min="2" max="2" width="9" style="1" customWidth="1"/>
    <col min="3" max="3" width="40" style="1" customWidth="1"/>
    <col min="4" max="4" width="22" style="1" customWidth="1"/>
    <col min="5" max="5" width="44" style="1" customWidth="1"/>
    <col min="6" max="14" width="8" style="1" customWidth="1"/>
    <col min="15" max="18" width="13" style="1" customWidth="1"/>
    <col min="19" max="19" width="50" style="1" customWidth="1"/>
    <col min="20" max="16384" width="9" style="1"/>
  </cols>
  <sheetData>
    <row r="1" spans="1:19" s="7" customFormat="1" ht="20.25">
      <c r="A1" s="31" t="s">
        <v>40</v>
      </c>
      <c r="B1" s="31"/>
      <c r="C1" s="31"/>
      <c r="D1" s="31"/>
      <c r="E1" s="31"/>
      <c r="F1" s="31"/>
      <c r="G1" s="31"/>
      <c r="H1" s="31"/>
      <c r="I1" s="31"/>
      <c r="J1" s="31"/>
      <c r="K1" s="31"/>
      <c r="L1" s="31"/>
      <c r="M1" s="31"/>
      <c r="N1" s="31"/>
      <c r="O1" s="31"/>
      <c r="P1" s="31"/>
      <c r="Q1" s="31"/>
      <c r="R1" s="31"/>
      <c r="S1" s="31"/>
    </row>
    <row r="2" spans="1:19">
      <c r="A2" s="3"/>
      <c r="B2" s="3"/>
      <c r="C2" s="3"/>
      <c r="D2" s="3"/>
      <c r="E2" s="3"/>
      <c r="F2" s="3"/>
      <c r="G2" s="3"/>
      <c r="H2" s="3"/>
      <c r="I2" s="3"/>
      <c r="J2" s="3"/>
      <c r="K2" s="3"/>
      <c r="L2" s="3"/>
      <c r="M2" s="3"/>
      <c r="N2" s="3"/>
      <c r="O2" s="3"/>
      <c r="P2" s="3"/>
      <c r="Q2" s="3"/>
      <c r="R2" s="3"/>
      <c r="S2" s="3"/>
    </row>
    <row r="3" spans="1:19" s="22" customFormat="1" ht="37.5">
      <c r="A3" s="21" t="s">
        <v>41</v>
      </c>
      <c r="B3" s="21" t="s">
        <v>42</v>
      </c>
      <c r="C3" s="21" t="s">
        <v>43</v>
      </c>
      <c r="D3" s="21" t="s">
        <v>44</v>
      </c>
      <c r="E3" s="21" t="s">
        <v>45</v>
      </c>
      <c r="F3" s="21" t="s">
        <v>13</v>
      </c>
      <c r="G3" s="21" t="s">
        <v>16</v>
      </c>
      <c r="H3" s="21" t="s">
        <v>19</v>
      </c>
      <c r="I3" s="21" t="s">
        <v>22</v>
      </c>
      <c r="J3" s="21" t="s">
        <v>25</v>
      </c>
      <c r="K3" s="21" t="s">
        <v>28</v>
      </c>
      <c r="L3" s="21" t="s">
        <v>31</v>
      </c>
      <c r="M3" s="21" t="s">
        <v>34</v>
      </c>
      <c r="N3" s="21" t="s">
        <v>37</v>
      </c>
      <c r="O3" s="21" t="s">
        <v>46</v>
      </c>
      <c r="P3" s="21" t="s">
        <v>47</v>
      </c>
      <c r="Q3" s="21" t="s">
        <v>48</v>
      </c>
      <c r="R3" s="21" t="s">
        <v>49</v>
      </c>
      <c r="S3" s="21" t="s">
        <v>50</v>
      </c>
    </row>
    <row r="4" spans="1:19" ht="47.25">
      <c r="A4" s="9" t="s">
        <v>51</v>
      </c>
      <c r="B4" s="9">
        <v>2017</v>
      </c>
      <c r="C4" s="9" t="s">
        <v>52</v>
      </c>
      <c r="D4" s="10" t="s">
        <v>53</v>
      </c>
      <c r="E4" s="10" t="s">
        <v>54</v>
      </c>
      <c r="F4" s="9">
        <v>1</v>
      </c>
      <c r="G4" s="9">
        <v>1</v>
      </c>
      <c r="H4" s="9">
        <v>1</v>
      </c>
      <c r="I4" s="9">
        <v>1</v>
      </c>
      <c r="J4" s="9">
        <v>1</v>
      </c>
      <c r="K4" s="9">
        <v>1</v>
      </c>
      <c r="L4" s="9">
        <v>0.5</v>
      </c>
      <c r="M4" s="9">
        <v>1</v>
      </c>
      <c r="N4" s="9">
        <v>1</v>
      </c>
      <c r="O4" s="9">
        <f t="shared" ref="O4:O35" si="0">IF(COUNT(F4:N4)=0,"",SUM(F4:N4))</f>
        <v>8.5</v>
      </c>
      <c r="P4" s="9">
        <f t="shared" ref="P4:P35" si="1">COUNT(F4:N4)</f>
        <v>9</v>
      </c>
      <c r="Q4" s="11">
        <f t="shared" ref="Q4:Q35" si="2">IF(P4=0,"",O4/P4)</f>
        <v>0.94444444444444442</v>
      </c>
      <c r="R4" s="9" t="str">
        <f t="shared" ref="R4:R35" si="3">IF(Q4="","",IF(Q4&lt;0.5,"Lower",IF(Q4&lt;0.75,"Moderate","High")))</f>
        <v>High</v>
      </c>
      <c r="S4" s="9" t="s">
        <v>55</v>
      </c>
    </row>
    <row r="5" spans="1:19" ht="47.25">
      <c r="A5" s="9" t="s">
        <v>56</v>
      </c>
      <c r="B5" s="9">
        <v>2018</v>
      </c>
      <c r="C5" s="9" t="s">
        <v>57</v>
      </c>
      <c r="D5" s="10" t="s">
        <v>53</v>
      </c>
      <c r="E5" s="10" t="s">
        <v>58</v>
      </c>
      <c r="F5" s="9">
        <v>1</v>
      </c>
      <c r="G5" s="9">
        <v>1</v>
      </c>
      <c r="H5" s="9">
        <v>1</v>
      </c>
      <c r="I5" s="9">
        <v>1</v>
      </c>
      <c r="J5" s="9">
        <v>0.5</v>
      </c>
      <c r="K5" s="9">
        <v>1</v>
      </c>
      <c r="L5" s="9">
        <v>0.5</v>
      </c>
      <c r="M5" s="9">
        <v>1</v>
      </c>
      <c r="N5" s="9">
        <v>1</v>
      </c>
      <c r="O5" s="9">
        <f t="shared" si="0"/>
        <v>8</v>
      </c>
      <c r="P5" s="9">
        <f t="shared" si="1"/>
        <v>9</v>
      </c>
      <c r="Q5" s="11">
        <f t="shared" si="2"/>
        <v>0.88888888888888884</v>
      </c>
      <c r="R5" s="9" t="str">
        <f t="shared" si="3"/>
        <v>High</v>
      </c>
      <c r="S5" s="9" t="s">
        <v>59</v>
      </c>
    </row>
    <row r="6" spans="1:19" ht="63">
      <c r="A6" s="9" t="s">
        <v>60</v>
      </c>
      <c r="B6" s="9">
        <v>2019</v>
      </c>
      <c r="C6" s="9" t="s">
        <v>61</v>
      </c>
      <c r="D6" s="10" t="s">
        <v>53</v>
      </c>
      <c r="E6" s="10" t="s">
        <v>62</v>
      </c>
      <c r="F6" s="9">
        <v>1</v>
      </c>
      <c r="G6" s="9">
        <v>1</v>
      </c>
      <c r="H6" s="9">
        <v>1</v>
      </c>
      <c r="I6" s="9">
        <v>1</v>
      </c>
      <c r="J6" s="9">
        <v>1</v>
      </c>
      <c r="K6" s="9">
        <v>1</v>
      </c>
      <c r="L6" s="9">
        <v>0.5</v>
      </c>
      <c r="M6" s="9">
        <v>1</v>
      </c>
      <c r="N6" s="9">
        <v>0.5</v>
      </c>
      <c r="O6" s="9">
        <f t="shared" si="0"/>
        <v>8</v>
      </c>
      <c r="P6" s="9">
        <f t="shared" si="1"/>
        <v>9</v>
      </c>
      <c r="Q6" s="11">
        <f t="shared" si="2"/>
        <v>0.88888888888888884</v>
      </c>
      <c r="R6" s="9" t="str">
        <f t="shared" si="3"/>
        <v>High</v>
      </c>
      <c r="S6" s="9" t="s">
        <v>63</v>
      </c>
    </row>
    <row r="7" spans="1:19" ht="47.25">
      <c r="A7" s="9" t="s">
        <v>64</v>
      </c>
      <c r="B7" s="9">
        <v>2020</v>
      </c>
      <c r="C7" s="9" t="s">
        <v>65</v>
      </c>
      <c r="D7" s="10" t="s">
        <v>53</v>
      </c>
      <c r="E7" s="10" t="s">
        <v>66</v>
      </c>
      <c r="F7" s="9">
        <v>1</v>
      </c>
      <c r="G7" s="9">
        <v>1</v>
      </c>
      <c r="H7" s="9">
        <v>1</v>
      </c>
      <c r="I7" s="9">
        <v>1</v>
      </c>
      <c r="J7" s="9">
        <v>1</v>
      </c>
      <c r="K7" s="9">
        <v>1</v>
      </c>
      <c r="L7" s="9">
        <v>0.5</v>
      </c>
      <c r="M7" s="9">
        <v>0.5</v>
      </c>
      <c r="N7" s="9">
        <v>0.5</v>
      </c>
      <c r="O7" s="9">
        <f t="shared" si="0"/>
        <v>7.5</v>
      </c>
      <c r="P7" s="9">
        <f t="shared" si="1"/>
        <v>9</v>
      </c>
      <c r="Q7" s="11">
        <f t="shared" si="2"/>
        <v>0.83333333333333337</v>
      </c>
      <c r="R7" s="9" t="str">
        <f t="shared" si="3"/>
        <v>High</v>
      </c>
      <c r="S7" s="9" t="s">
        <v>67</v>
      </c>
    </row>
    <row r="8" spans="1:19" ht="63">
      <c r="A8" s="9" t="s">
        <v>68</v>
      </c>
      <c r="B8" s="9">
        <v>2021</v>
      </c>
      <c r="C8" s="9" t="s">
        <v>69</v>
      </c>
      <c r="D8" s="10" t="s">
        <v>53</v>
      </c>
      <c r="E8" s="10" t="s">
        <v>70</v>
      </c>
      <c r="F8" s="9">
        <v>1</v>
      </c>
      <c r="G8" s="9">
        <v>1</v>
      </c>
      <c r="H8" s="9">
        <v>1</v>
      </c>
      <c r="I8" s="9">
        <v>1</v>
      </c>
      <c r="J8" s="9">
        <v>1</v>
      </c>
      <c r="K8" s="9">
        <v>1</v>
      </c>
      <c r="L8" s="9">
        <v>0.5</v>
      </c>
      <c r="M8" s="9">
        <v>0.5</v>
      </c>
      <c r="N8" s="9">
        <v>0.5</v>
      </c>
      <c r="O8" s="9">
        <f t="shared" si="0"/>
        <v>7.5</v>
      </c>
      <c r="P8" s="9">
        <f t="shared" si="1"/>
        <v>9</v>
      </c>
      <c r="Q8" s="11">
        <f t="shared" si="2"/>
        <v>0.83333333333333337</v>
      </c>
      <c r="R8" s="9" t="str">
        <f t="shared" si="3"/>
        <v>High</v>
      </c>
      <c r="S8" s="9" t="s">
        <v>71</v>
      </c>
    </row>
    <row r="9" spans="1:19" ht="47.25">
      <c r="A9" s="9" t="s">
        <v>72</v>
      </c>
      <c r="B9" s="9">
        <v>2021</v>
      </c>
      <c r="C9" s="9" t="s">
        <v>73</v>
      </c>
      <c r="D9" s="10" t="s">
        <v>53</v>
      </c>
      <c r="E9" s="10" t="s">
        <v>74</v>
      </c>
      <c r="F9" s="9">
        <v>1</v>
      </c>
      <c r="G9" s="9">
        <v>1</v>
      </c>
      <c r="H9" s="9">
        <v>1</v>
      </c>
      <c r="I9" s="9">
        <v>1</v>
      </c>
      <c r="J9" s="9">
        <v>1</v>
      </c>
      <c r="K9" s="9">
        <v>1</v>
      </c>
      <c r="L9" s="9">
        <v>0.5</v>
      </c>
      <c r="M9" s="9">
        <v>0.5</v>
      </c>
      <c r="N9" s="9">
        <v>0.5</v>
      </c>
      <c r="O9" s="9">
        <f t="shared" si="0"/>
        <v>7.5</v>
      </c>
      <c r="P9" s="9">
        <f t="shared" si="1"/>
        <v>9</v>
      </c>
      <c r="Q9" s="11">
        <f t="shared" si="2"/>
        <v>0.83333333333333337</v>
      </c>
      <c r="R9" s="9" t="str">
        <f t="shared" si="3"/>
        <v>High</v>
      </c>
      <c r="S9" s="9" t="s">
        <v>75</v>
      </c>
    </row>
    <row r="10" spans="1:19" ht="47.25">
      <c r="A10" s="9" t="s">
        <v>76</v>
      </c>
      <c r="B10" s="9">
        <v>2022</v>
      </c>
      <c r="C10" s="9" t="s">
        <v>77</v>
      </c>
      <c r="D10" s="10" t="s">
        <v>53</v>
      </c>
      <c r="E10" s="10" t="s">
        <v>78</v>
      </c>
      <c r="F10" s="9">
        <v>1</v>
      </c>
      <c r="G10" s="9">
        <v>1</v>
      </c>
      <c r="H10" s="9">
        <v>1</v>
      </c>
      <c r="I10" s="9">
        <v>1</v>
      </c>
      <c r="J10" s="9">
        <v>1</v>
      </c>
      <c r="K10" s="9">
        <v>1</v>
      </c>
      <c r="L10" s="9">
        <v>0.5</v>
      </c>
      <c r="M10" s="9">
        <v>0.5</v>
      </c>
      <c r="N10" s="9">
        <v>0.5</v>
      </c>
      <c r="O10" s="9">
        <f t="shared" si="0"/>
        <v>7.5</v>
      </c>
      <c r="P10" s="9">
        <f t="shared" si="1"/>
        <v>9</v>
      </c>
      <c r="Q10" s="11">
        <f t="shared" si="2"/>
        <v>0.83333333333333337</v>
      </c>
      <c r="R10" s="9" t="str">
        <f t="shared" si="3"/>
        <v>High</v>
      </c>
      <c r="S10" s="9" t="s">
        <v>79</v>
      </c>
    </row>
    <row r="11" spans="1:19" ht="47.25">
      <c r="A11" s="9" t="s">
        <v>80</v>
      </c>
      <c r="B11" s="9">
        <v>2023</v>
      </c>
      <c r="C11" s="9" t="s">
        <v>81</v>
      </c>
      <c r="D11" s="10" t="s">
        <v>53</v>
      </c>
      <c r="E11" s="10" t="s">
        <v>82</v>
      </c>
      <c r="F11" s="9">
        <v>1</v>
      </c>
      <c r="G11" s="9">
        <v>1</v>
      </c>
      <c r="H11" s="9">
        <v>1</v>
      </c>
      <c r="I11" s="9">
        <v>1</v>
      </c>
      <c r="J11" s="9">
        <v>1</v>
      </c>
      <c r="K11" s="9">
        <v>1</v>
      </c>
      <c r="L11" s="9">
        <v>0.5</v>
      </c>
      <c r="M11" s="9">
        <v>0.5</v>
      </c>
      <c r="N11" s="9">
        <v>0.5</v>
      </c>
      <c r="O11" s="9">
        <f t="shared" si="0"/>
        <v>7.5</v>
      </c>
      <c r="P11" s="9">
        <f t="shared" si="1"/>
        <v>9</v>
      </c>
      <c r="Q11" s="11">
        <f t="shared" si="2"/>
        <v>0.83333333333333337</v>
      </c>
      <c r="R11" s="9" t="str">
        <f t="shared" si="3"/>
        <v>High</v>
      </c>
      <c r="S11" s="9" t="s">
        <v>83</v>
      </c>
    </row>
    <row r="12" spans="1:19" ht="63">
      <c r="A12" s="9" t="s">
        <v>84</v>
      </c>
      <c r="B12" s="9">
        <v>2023</v>
      </c>
      <c r="C12" s="9" t="s">
        <v>85</v>
      </c>
      <c r="D12" s="10" t="s">
        <v>53</v>
      </c>
      <c r="E12" s="10" t="s">
        <v>86</v>
      </c>
      <c r="F12" s="9">
        <v>1</v>
      </c>
      <c r="G12" s="9">
        <v>1</v>
      </c>
      <c r="H12" s="9">
        <v>1</v>
      </c>
      <c r="I12" s="9">
        <v>1</v>
      </c>
      <c r="J12" s="9">
        <v>1</v>
      </c>
      <c r="K12" s="9">
        <v>1</v>
      </c>
      <c r="L12" s="9">
        <v>0.5</v>
      </c>
      <c r="M12" s="9">
        <v>0.5</v>
      </c>
      <c r="N12" s="9">
        <v>0.5</v>
      </c>
      <c r="O12" s="9">
        <f t="shared" si="0"/>
        <v>7.5</v>
      </c>
      <c r="P12" s="9">
        <f t="shared" si="1"/>
        <v>9</v>
      </c>
      <c r="Q12" s="11">
        <f t="shared" si="2"/>
        <v>0.83333333333333337</v>
      </c>
      <c r="R12" s="9" t="str">
        <f t="shared" si="3"/>
        <v>High</v>
      </c>
      <c r="S12" s="9" t="s">
        <v>87</v>
      </c>
    </row>
    <row r="13" spans="1:19" ht="63">
      <c r="A13" s="9" t="s">
        <v>88</v>
      </c>
      <c r="B13" s="9">
        <v>2024</v>
      </c>
      <c r="C13" s="9" t="s">
        <v>89</v>
      </c>
      <c r="D13" s="10" t="s">
        <v>53</v>
      </c>
      <c r="E13" s="10" t="s">
        <v>90</v>
      </c>
      <c r="F13" s="9">
        <v>1</v>
      </c>
      <c r="G13" s="9">
        <v>1</v>
      </c>
      <c r="H13" s="9">
        <v>1</v>
      </c>
      <c r="I13" s="9">
        <v>1</v>
      </c>
      <c r="J13" s="9">
        <v>1</v>
      </c>
      <c r="K13" s="9">
        <v>1</v>
      </c>
      <c r="L13" s="9">
        <v>0.5</v>
      </c>
      <c r="M13" s="9">
        <v>1</v>
      </c>
      <c r="N13" s="9">
        <v>0.5</v>
      </c>
      <c r="O13" s="9">
        <f t="shared" si="0"/>
        <v>8</v>
      </c>
      <c r="P13" s="9">
        <f t="shared" si="1"/>
        <v>9</v>
      </c>
      <c r="Q13" s="11">
        <f t="shared" si="2"/>
        <v>0.88888888888888884</v>
      </c>
      <c r="R13" s="9" t="str">
        <f t="shared" si="3"/>
        <v>High</v>
      </c>
      <c r="S13" s="9" t="s">
        <v>91</v>
      </c>
    </row>
    <row r="14" spans="1:19" ht="47.25">
      <c r="A14" s="9" t="s">
        <v>92</v>
      </c>
      <c r="B14" s="9">
        <v>2024</v>
      </c>
      <c r="C14" s="9" t="s">
        <v>93</v>
      </c>
      <c r="D14" s="10" t="s">
        <v>53</v>
      </c>
      <c r="E14" s="10" t="s">
        <v>94</v>
      </c>
      <c r="F14" s="9">
        <v>1</v>
      </c>
      <c r="G14" s="9">
        <v>1</v>
      </c>
      <c r="H14" s="9">
        <v>1</v>
      </c>
      <c r="I14" s="9">
        <v>1</v>
      </c>
      <c r="J14" s="9">
        <v>1</v>
      </c>
      <c r="K14" s="9">
        <v>1</v>
      </c>
      <c r="L14" s="9">
        <v>0.5</v>
      </c>
      <c r="M14" s="9">
        <v>0.5</v>
      </c>
      <c r="N14" s="9">
        <v>0.5</v>
      </c>
      <c r="O14" s="9">
        <f t="shared" si="0"/>
        <v>7.5</v>
      </c>
      <c r="P14" s="9">
        <f t="shared" si="1"/>
        <v>9</v>
      </c>
      <c r="Q14" s="11">
        <f t="shared" si="2"/>
        <v>0.83333333333333337</v>
      </c>
      <c r="R14" s="9" t="str">
        <f t="shared" si="3"/>
        <v>High</v>
      </c>
      <c r="S14" s="9" t="s">
        <v>95</v>
      </c>
    </row>
    <row r="15" spans="1:19" ht="63">
      <c r="A15" s="9" t="s">
        <v>96</v>
      </c>
      <c r="B15" s="9">
        <v>2024</v>
      </c>
      <c r="C15" s="9" t="s">
        <v>97</v>
      </c>
      <c r="D15" s="10" t="s">
        <v>53</v>
      </c>
      <c r="E15" s="10" t="s">
        <v>98</v>
      </c>
      <c r="F15" s="9">
        <v>1</v>
      </c>
      <c r="G15" s="9">
        <v>1</v>
      </c>
      <c r="H15" s="9">
        <v>1</v>
      </c>
      <c r="I15" s="9">
        <v>1</v>
      </c>
      <c r="J15" s="9">
        <v>1</v>
      </c>
      <c r="K15" s="9">
        <v>1</v>
      </c>
      <c r="L15" s="9">
        <v>0.5</v>
      </c>
      <c r="M15" s="9">
        <v>1</v>
      </c>
      <c r="N15" s="9">
        <v>0.5</v>
      </c>
      <c r="O15" s="9">
        <f t="shared" si="0"/>
        <v>8</v>
      </c>
      <c r="P15" s="9">
        <f t="shared" si="1"/>
        <v>9</v>
      </c>
      <c r="Q15" s="11">
        <f t="shared" si="2"/>
        <v>0.88888888888888884</v>
      </c>
      <c r="R15" s="9" t="str">
        <f t="shared" si="3"/>
        <v>High</v>
      </c>
      <c r="S15" s="9" t="s">
        <v>99</v>
      </c>
    </row>
    <row r="16" spans="1:19" ht="63">
      <c r="A16" s="9" t="s">
        <v>100</v>
      </c>
      <c r="B16" s="9">
        <v>2024</v>
      </c>
      <c r="C16" s="9" t="s">
        <v>101</v>
      </c>
      <c r="D16" s="10" t="s">
        <v>53</v>
      </c>
      <c r="E16" s="10" t="s">
        <v>102</v>
      </c>
      <c r="F16" s="9">
        <v>1</v>
      </c>
      <c r="G16" s="9">
        <v>1</v>
      </c>
      <c r="H16" s="9">
        <v>1</v>
      </c>
      <c r="I16" s="9">
        <v>1</v>
      </c>
      <c r="J16" s="9">
        <v>1</v>
      </c>
      <c r="K16" s="9">
        <v>1</v>
      </c>
      <c r="L16" s="9">
        <v>0.5</v>
      </c>
      <c r="M16" s="9">
        <v>0.5</v>
      </c>
      <c r="N16" s="9">
        <v>0.5</v>
      </c>
      <c r="O16" s="9">
        <f t="shared" si="0"/>
        <v>7.5</v>
      </c>
      <c r="P16" s="9">
        <f t="shared" si="1"/>
        <v>9</v>
      </c>
      <c r="Q16" s="11">
        <f t="shared" si="2"/>
        <v>0.83333333333333337</v>
      </c>
      <c r="R16" s="9" t="str">
        <f t="shared" si="3"/>
        <v>High</v>
      </c>
      <c r="S16" s="9" t="s">
        <v>103</v>
      </c>
    </row>
    <row r="17" spans="1:19" s="34" customFormat="1" ht="63">
      <c r="A17" s="32" t="s">
        <v>104</v>
      </c>
      <c r="B17" s="32">
        <v>2024</v>
      </c>
      <c r="C17" s="32" t="s">
        <v>105</v>
      </c>
      <c r="D17" s="32" t="s">
        <v>106</v>
      </c>
      <c r="E17" s="32" t="s">
        <v>107</v>
      </c>
      <c r="F17" s="32"/>
      <c r="G17" s="32"/>
      <c r="H17" s="32"/>
      <c r="I17" s="32"/>
      <c r="J17" s="32"/>
      <c r="K17" s="32"/>
      <c r="L17" s="32"/>
      <c r="M17" s="32"/>
      <c r="N17" s="32"/>
      <c r="O17" s="32" t="str">
        <f t="shared" si="0"/>
        <v/>
      </c>
      <c r="P17" s="32">
        <f t="shared" si="1"/>
        <v>0</v>
      </c>
      <c r="Q17" s="33" t="str">
        <f t="shared" si="2"/>
        <v/>
      </c>
      <c r="R17" s="32" t="str">
        <f t="shared" si="3"/>
        <v/>
      </c>
      <c r="S17" s="32" t="s">
        <v>108</v>
      </c>
    </row>
    <row r="18" spans="1:19" s="34" customFormat="1" ht="78.75">
      <c r="A18" s="32" t="s">
        <v>109</v>
      </c>
      <c r="B18" s="32">
        <v>2024</v>
      </c>
      <c r="C18" s="32" t="s">
        <v>110</v>
      </c>
      <c r="D18" s="32" t="s">
        <v>111</v>
      </c>
      <c r="E18" s="32" t="s">
        <v>112</v>
      </c>
      <c r="F18" s="32"/>
      <c r="G18" s="32"/>
      <c r="H18" s="32"/>
      <c r="I18" s="32"/>
      <c r="J18" s="32"/>
      <c r="K18" s="32"/>
      <c r="L18" s="32"/>
      <c r="M18" s="32"/>
      <c r="N18" s="32"/>
      <c r="O18" s="32" t="str">
        <f t="shared" si="0"/>
        <v/>
      </c>
      <c r="P18" s="32">
        <f t="shared" si="1"/>
        <v>0</v>
      </c>
      <c r="Q18" s="33" t="str">
        <f t="shared" si="2"/>
        <v/>
      </c>
      <c r="R18" s="32" t="str">
        <f t="shared" si="3"/>
        <v/>
      </c>
      <c r="S18" s="32" t="s">
        <v>113</v>
      </c>
    </row>
    <row r="19" spans="1:19" ht="63">
      <c r="A19" s="9" t="s">
        <v>114</v>
      </c>
      <c r="B19" s="9">
        <v>2024</v>
      </c>
      <c r="C19" s="9" t="s">
        <v>115</v>
      </c>
      <c r="D19" s="10" t="s">
        <v>53</v>
      </c>
      <c r="E19" s="10" t="s">
        <v>116</v>
      </c>
      <c r="F19" s="9">
        <v>1</v>
      </c>
      <c r="G19" s="9">
        <v>1</v>
      </c>
      <c r="H19" s="9">
        <v>1</v>
      </c>
      <c r="I19" s="9">
        <v>1</v>
      </c>
      <c r="J19" s="9">
        <v>1</v>
      </c>
      <c r="K19" s="9">
        <v>1</v>
      </c>
      <c r="L19" s="9">
        <v>0.5</v>
      </c>
      <c r="M19" s="9">
        <v>0.5</v>
      </c>
      <c r="N19" s="9">
        <v>0.5</v>
      </c>
      <c r="O19" s="9">
        <f t="shared" si="0"/>
        <v>7.5</v>
      </c>
      <c r="P19" s="9">
        <f t="shared" si="1"/>
        <v>9</v>
      </c>
      <c r="Q19" s="11">
        <f t="shared" si="2"/>
        <v>0.83333333333333337</v>
      </c>
      <c r="R19" s="9" t="str">
        <f t="shared" si="3"/>
        <v>High</v>
      </c>
      <c r="S19" s="9" t="s">
        <v>117</v>
      </c>
    </row>
    <row r="20" spans="1:19" ht="47.25">
      <c r="A20" s="9" t="s">
        <v>118</v>
      </c>
      <c r="B20" s="9">
        <v>2024</v>
      </c>
      <c r="C20" s="9" t="s">
        <v>119</v>
      </c>
      <c r="D20" s="10" t="s">
        <v>53</v>
      </c>
      <c r="E20" s="10" t="s">
        <v>120</v>
      </c>
      <c r="F20" s="9">
        <v>1</v>
      </c>
      <c r="G20" s="9">
        <v>1</v>
      </c>
      <c r="H20" s="9">
        <v>1</v>
      </c>
      <c r="I20" s="9">
        <v>1</v>
      </c>
      <c r="J20" s="9">
        <v>1</v>
      </c>
      <c r="K20" s="9">
        <v>1</v>
      </c>
      <c r="L20" s="9">
        <v>0.5</v>
      </c>
      <c r="M20" s="9">
        <v>0.5</v>
      </c>
      <c r="N20" s="9">
        <v>0.5</v>
      </c>
      <c r="O20" s="9">
        <f t="shared" si="0"/>
        <v>7.5</v>
      </c>
      <c r="P20" s="9">
        <f t="shared" si="1"/>
        <v>9</v>
      </c>
      <c r="Q20" s="11">
        <f t="shared" si="2"/>
        <v>0.83333333333333337</v>
      </c>
      <c r="R20" s="9" t="str">
        <f t="shared" si="3"/>
        <v>High</v>
      </c>
      <c r="S20" s="9" t="s">
        <v>121</v>
      </c>
    </row>
    <row r="21" spans="1:19" ht="63">
      <c r="A21" s="9" t="s">
        <v>122</v>
      </c>
      <c r="B21" s="9">
        <v>2024</v>
      </c>
      <c r="C21" s="9" t="s">
        <v>123</v>
      </c>
      <c r="D21" s="10" t="s">
        <v>53</v>
      </c>
      <c r="E21" s="10" t="s">
        <v>124</v>
      </c>
      <c r="F21" s="9">
        <v>1</v>
      </c>
      <c r="G21" s="9">
        <v>1</v>
      </c>
      <c r="H21" s="9">
        <v>1</v>
      </c>
      <c r="I21" s="9">
        <v>1</v>
      </c>
      <c r="J21" s="9">
        <v>1</v>
      </c>
      <c r="K21" s="9">
        <v>1</v>
      </c>
      <c r="L21" s="9">
        <v>0.5</v>
      </c>
      <c r="M21" s="9">
        <v>1</v>
      </c>
      <c r="N21" s="9">
        <v>1</v>
      </c>
      <c r="O21" s="9">
        <f t="shared" si="0"/>
        <v>8.5</v>
      </c>
      <c r="P21" s="9">
        <f t="shared" si="1"/>
        <v>9</v>
      </c>
      <c r="Q21" s="11">
        <f t="shared" si="2"/>
        <v>0.94444444444444442</v>
      </c>
      <c r="R21" s="9" t="str">
        <f t="shared" si="3"/>
        <v>High</v>
      </c>
      <c r="S21" s="9" t="s">
        <v>125</v>
      </c>
    </row>
    <row r="22" spans="1:19" ht="63">
      <c r="A22" s="9" t="s">
        <v>126</v>
      </c>
      <c r="B22" s="9">
        <v>2025</v>
      </c>
      <c r="C22" s="9" t="s">
        <v>127</v>
      </c>
      <c r="D22" s="10" t="s">
        <v>53</v>
      </c>
      <c r="E22" s="10" t="s">
        <v>128</v>
      </c>
      <c r="F22" s="9">
        <v>1</v>
      </c>
      <c r="G22" s="9">
        <v>1</v>
      </c>
      <c r="H22" s="9">
        <v>1</v>
      </c>
      <c r="I22" s="9">
        <v>1</v>
      </c>
      <c r="J22" s="9">
        <v>1</v>
      </c>
      <c r="K22" s="9">
        <v>1</v>
      </c>
      <c r="L22" s="9">
        <v>1</v>
      </c>
      <c r="M22" s="9">
        <v>1</v>
      </c>
      <c r="N22" s="9">
        <v>1</v>
      </c>
      <c r="O22" s="9">
        <f t="shared" si="0"/>
        <v>9</v>
      </c>
      <c r="P22" s="9">
        <f t="shared" si="1"/>
        <v>9</v>
      </c>
      <c r="Q22" s="11">
        <f t="shared" si="2"/>
        <v>1</v>
      </c>
      <c r="R22" s="9" t="str">
        <f t="shared" si="3"/>
        <v>High</v>
      </c>
      <c r="S22" s="9" t="s">
        <v>129</v>
      </c>
    </row>
    <row r="23" spans="1:19" ht="63">
      <c r="A23" s="9" t="s">
        <v>130</v>
      </c>
      <c r="B23" s="9">
        <v>2025</v>
      </c>
      <c r="C23" s="9" t="s">
        <v>131</v>
      </c>
      <c r="D23" s="10" t="s">
        <v>53</v>
      </c>
      <c r="E23" s="10" t="s">
        <v>132</v>
      </c>
      <c r="F23" s="9">
        <v>1</v>
      </c>
      <c r="G23" s="9">
        <v>1</v>
      </c>
      <c r="H23" s="9">
        <v>1</v>
      </c>
      <c r="I23" s="9">
        <v>1</v>
      </c>
      <c r="J23" s="9">
        <v>1</v>
      </c>
      <c r="K23" s="9">
        <v>1</v>
      </c>
      <c r="L23" s="9">
        <v>0.5</v>
      </c>
      <c r="M23" s="9">
        <v>0.5</v>
      </c>
      <c r="N23" s="9">
        <v>0.5</v>
      </c>
      <c r="O23" s="9">
        <f t="shared" si="0"/>
        <v>7.5</v>
      </c>
      <c r="P23" s="9">
        <f t="shared" si="1"/>
        <v>9</v>
      </c>
      <c r="Q23" s="11">
        <f t="shared" si="2"/>
        <v>0.83333333333333337</v>
      </c>
      <c r="R23" s="9" t="str">
        <f t="shared" si="3"/>
        <v>High</v>
      </c>
      <c r="S23" s="9" t="s">
        <v>133</v>
      </c>
    </row>
    <row r="24" spans="1:19" ht="63">
      <c r="A24" s="9" t="s">
        <v>134</v>
      </c>
      <c r="B24" s="9">
        <v>2025</v>
      </c>
      <c r="C24" s="9" t="s">
        <v>135</v>
      </c>
      <c r="D24" s="10" t="s">
        <v>53</v>
      </c>
      <c r="E24" s="10" t="s">
        <v>136</v>
      </c>
      <c r="F24" s="9">
        <v>1</v>
      </c>
      <c r="G24" s="9">
        <v>1</v>
      </c>
      <c r="H24" s="9">
        <v>1</v>
      </c>
      <c r="I24" s="9">
        <v>1</v>
      </c>
      <c r="J24" s="9">
        <v>1</v>
      </c>
      <c r="K24" s="9">
        <v>1</v>
      </c>
      <c r="L24" s="9">
        <v>1</v>
      </c>
      <c r="M24" s="9">
        <v>0.5</v>
      </c>
      <c r="N24" s="9">
        <v>0.5</v>
      </c>
      <c r="O24" s="9">
        <f t="shared" si="0"/>
        <v>8</v>
      </c>
      <c r="P24" s="9">
        <f t="shared" si="1"/>
        <v>9</v>
      </c>
      <c r="Q24" s="11">
        <f t="shared" si="2"/>
        <v>0.88888888888888884</v>
      </c>
      <c r="R24" s="9" t="str">
        <f t="shared" si="3"/>
        <v>High</v>
      </c>
      <c r="S24" s="9" t="s">
        <v>137</v>
      </c>
    </row>
    <row r="25" spans="1:19" ht="63">
      <c r="A25" s="9" t="s">
        <v>138</v>
      </c>
      <c r="B25" s="9">
        <v>2025</v>
      </c>
      <c r="C25" s="9" t="s">
        <v>139</v>
      </c>
      <c r="D25" s="10" t="s">
        <v>53</v>
      </c>
      <c r="E25" s="10" t="s">
        <v>140</v>
      </c>
      <c r="F25" s="9">
        <v>1</v>
      </c>
      <c r="G25" s="9">
        <v>1</v>
      </c>
      <c r="H25" s="9">
        <v>1</v>
      </c>
      <c r="I25" s="9">
        <v>1</v>
      </c>
      <c r="J25" s="9">
        <v>1</v>
      </c>
      <c r="K25" s="9">
        <v>1</v>
      </c>
      <c r="L25" s="9">
        <v>1</v>
      </c>
      <c r="M25" s="9">
        <v>0.5</v>
      </c>
      <c r="N25" s="9">
        <v>0.5</v>
      </c>
      <c r="O25" s="9">
        <f t="shared" si="0"/>
        <v>8</v>
      </c>
      <c r="P25" s="9">
        <f t="shared" si="1"/>
        <v>9</v>
      </c>
      <c r="Q25" s="11">
        <f t="shared" si="2"/>
        <v>0.88888888888888884</v>
      </c>
      <c r="R25" s="9" t="str">
        <f t="shared" si="3"/>
        <v>High</v>
      </c>
      <c r="S25" s="9" t="s">
        <v>141</v>
      </c>
    </row>
    <row r="26" spans="1:19" ht="63">
      <c r="A26" s="9" t="s">
        <v>142</v>
      </c>
      <c r="B26" s="9">
        <v>2025</v>
      </c>
      <c r="C26" s="9" t="s">
        <v>143</v>
      </c>
      <c r="D26" s="10" t="s">
        <v>53</v>
      </c>
      <c r="E26" s="10" t="s">
        <v>144</v>
      </c>
      <c r="F26" s="9">
        <v>1</v>
      </c>
      <c r="G26" s="9">
        <v>1</v>
      </c>
      <c r="H26" s="9">
        <v>1</v>
      </c>
      <c r="I26" s="9">
        <v>1</v>
      </c>
      <c r="J26" s="9">
        <v>1</v>
      </c>
      <c r="K26" s="9">
        <v>1</v>
      </c>
      <c r="L26" s="9">
        <v>1</v>
      </c>
      <c r="M26" s="9">
        <v>1</v>
      </c>
      <c r="N26" s="9">
        <v>0.5</v>
      </c>
      <c r="O26" s="9">
        <f t="shared" si="0"/>
        <v>8.5</v>
      </c>
      <c r="P26" s="9">
        <f t="shared" si="1"/>
        <v>9</v>
      </c>
      <c r="Q26" s="11">
        <f t="shared" si="2"/>
        <v>0.94444444444444442</v>
      </c>
      <c r="R26" s="9" t="str">
        <f t="shared" si="3"/>
        <v>High</v>
      </c>
      <c r="S26" s="9" t="s">
        <v>145</v>
      </c>
    </row>
    <row r="27" spans="1:19" ht="63">
      <c r="A27" s="9" t="s">
        <v>146</v>
      </c>
      <c r="B27" s="9">
        <v>2025</v>
      </c>
      <c r="C27" s="9" t="s">
        <v>147</v>
      </c>
      <c r="D27" s="10" t="s">
        <v>53</v>
      </c>
      <c r="E27" s="10" t="s">
        <v>148</v>
      </c>
      <c r="F27" s="9">
        <v>1</v>
      </c>
      <c r="G27" s="9">
        <v>1</v>
      </c>
      <c r="H27" s="9">
        <v>1</v>
      </c>
      <c r="I27" s="9">
        <v>1</v>
      </c>
      <c r="J27" s="9">
        <v>1</v>
      </c>
      <c r="K27" s="9">
        <v>1</v>
      </c>
      <c r="L27" s="9">
        <v>0.5</v>
      </c>
      <c r="M27" s="9">
        <v>0.5</v>
      </c>
      <c r="N27" s="9">
        <v>0.5</v>
      </c>
      <c r="O27" s="9">
        <f t="shared" si="0"/>
        <v>7.5</v>
      </c>
      <c r="P27" s="9">
        <f t="shared" si="1"/>
        <v>9</v>
      </c>
      <c r="Q27" s="11">
        <f t="shared" si="2"/>
        <v>0.83333333333333337</v>
      </c>
      <c r="R27" s="9" t="str">
        <f t="shared" si="3"/>
        <v>High</v>
      </c>
      <c r="S27" s="9" t="s">
        <v>149</v>
      </c>
    </row>
    <row r="28" spans="1:19" ht="63">
      <c r="A28" s="9" t="s">
        <v>150</v>
      </c>
      <c r="B28" s="9">
        <v>2026</v>
      </c>
      <c r="C28" s="9" t="s">
        <v>151</v>
      </c>
      <c r="D28" s="10" t="s">
        <v>53</v>
      </c>
      <c r="E28" s="10" t="s">
        <v>152</v>
      </c>
      <c r="F28" s="9">
        <v>1</v>
      </c>
      <c r="G28" s="9">
        <v>1</v>
      </c>
      <c r="H28" s="9">
        <v>1</v>
      </c>
      <c r="I28" s="9">
        <v>1</v>
      </c>
      <c r="J28" s="9">
        <v>1</v>
      </c>
      <c r="K28" s="9">
        <v>1</v>
      </c>
      <c r="L28" s="9">
        <v>1</v>
      </c>
      <c r="M28" s="9">
        <v>0.5</v>
      </c>
      <c r="N28" s="9">
        <v>0.5</v>
      </c>
      <c r="O28" s="9">
        <f t="shared" si="0"/>
        <v>8</v>
      </c>
      <c r="P28" s="9">
        <f t="shared" si="1"/>
        <v>9</v>
      </c>
      <c r="Q28" s="11">
        <f t="shared" si="2"/>
        <v>0.88888888888888884</v>
      </c>
      <c r="R28" s="9" t="str">
        <f t="shared" si="3"/>
        <v>High</v>
      </c>
      <c r="S28" s="9" t="s">
        <v>153</v>
      </c>
    </row>
    <row r="29" spans="1:19" ht="78.75">
      <c r="A29" s="9" t="s">
        <v>154</v>
      </c>
      <c r="B29" s="9">
        <v>2018</v>
      </c>
      <c r="C29" s="9" t="s">
        <v>155</v>
      </c>
      <c r="D29" s="10" t="s">
        <v>53</v>
      </c>
      <c r="E29" s="10" t="s">
        <v>156</v>
      </c>
      <c r="F29" s="9">
        <v>1</v>
      </c>
      <c r="G29" s="9">
        <v>1</v>
      </c>
      <c r="H29" s="9">
        <v>1</v>
      </c>
      <c r="I29" s="9" t="s">
        <v>157</v>
      </c>
      <c r="J29" s="9" t="s">
        <v>157</v>
      </c>
      <c r="K29" s="9">
        <v>1</v>
      </c>
      <c r="L29" s="9">
        <v>1</v>
      </c>
      <c r="M29" s="9">
        <v>1</v>
      </c>
      <c r="N29" s="9" t="s">
        <v>157</v>
      </c>
      <c r="O29" s="9">
        <f t="shared" si="0"/>
        <v>6</v>
      </c>
      <c r="P29" s="9">
        <f t="shared" si="1"/>
        <v>6</v>
      </c>
      <c r="Q29" s="11">
        <f t="shared" si="2"/>
        <v>1</v>
      </c>
      <c r="R29" s="9" t="str">
        <f t="shared" si="3"/>
        <v>High</v>
      </c>
      <c r="S29" s="9" t="s">
        <v>158</v>
      </c>
    </row>
    <row r="30" spans="1:19" ht="63">
      <c r="A30" s="9" t="s">
        <v>159</v>
      </c>
      <c r="B30" s="9">
        <v>2019</v>
      </c>
      <c r="C30" s="9" t="s">
        <v>160</v>
      </c>
      <c r="D30" s="10" t="s">
        <v>53</v>
      </c>
      <c r="E30" s="10" t="s">
        <v>161</v>
      </c>
      <c r="F30" s="9">
        <v>1</v>
      </c>
      <c r="G30" s="9">
        <v>1</v>
      </c>
      <c r="H30" s="9">
        <v>1</v>
      </c>
      <c r="I30" s="9">
        <v>1</v>
      </c>
      <c r="J30" s="9">
        <v>1</v>
      </c>
      <c r="K30" s="9">
        <v>1</v>
      </c>
      <c r="L30" s="9">
        <v>0.5</v>
      </c>
      <c r="M30" s="9">
        <v>1</v>
      </c>
      <c r="N30" s="9">
        <v>1</v>
      </c>
      <c r="O30" s="9">
        <f t="shared" si="0"/>
        <v>8.5</v>
      </c>
      <c r="P30" s="9">
        <f t="shared" si="1"/>
        <v>9</v>
      </c>
      <c r="Q30" s="11">
        <f t="shared" si="2"/>
        <v>0.94444444444444442</v>
      </c>
      <c r="R30" s="9" t="str">
        <f t="shared" si="3"/>
        <v>High</v>
      </c>
      <c r="S30" s="9" t="s">
        <v>162</v>
      </c>
    </row>
    <row r="31" spans="1:19" ht="47.25">
      <c r="A31" s="9" t="s">
        <v>163</v>
      </c>
      <c r="B31" s="9">
        <v>2019</v>
      </c>
      <c r="C31" s="9" t="s">
        <v>164</v>
      </c>
      <c r="D31" s="10" t="s">
        <v>53</v>
      </c>
      <c r="E31" s="10" t="s">
        <v>165</v>
      </c>
      <c r="F31" s="9">
        <v>1</v>
      </c>
      <c r="G31" s="9">
        <v>1</v>
      </c>
      <c r="H31" s="9">
        <v>1</v>
      </c>
      <c r="I31" s="9">
        <v>1</v>
      </c>
      <c r="J31" s="9">
        <v>1</v>
      </c>
      <c r="K31" s="9">
        <v>1</v>
      </c>
      <c r="L31" s="9">
        <v>1</v>
      </c>
      <c r="M31" s="9">
        <v>1</v>
      </c>
      <c r="N31" s="9">
        <v>0.5</v>
      </c>
      <c r="O31" s="9">
        <f t="shared" si="0"/>
        <v>8.5</v>
      </c>
      <c r="P31" s="9">
        <f t="shared" si="1"/>
        <v>9</v>
      </c>
      <c r="Q31" s="11">
        <f t="shared" si="2"/>
        <v>0.94444444444444442</v>
      </c>
      <c r="R31" s="9" t="str">
        <f t="shared" si="3"/>
        <v>High</v>
      </c>
      <c r="S31" s="9" t="s">
        <v>166</v>
      </c>
    </row>
    <row r="32" spans="1:19" ht="63">
      <c r="A32" s="9" t="s">
        <v>167</v>
      </c>
      <c r="B32" s="9">
        <v>2021</v>
      </c>
      <c r="C32" s="9" t="s">
        <v>168</v>
      </c>
      <c r="D32" s="10" t="s">
        <v>53</v>
      </c>
      <c r="E32" s="10" t="s">
        <v>169</v>
      </c>
      <c r="F32" s="9">
        <v>1</v>
      </c>
      <c r="G32" s="9">
        <v>1</v>
      </c>
      <c r="H32" s="9">
        <v>0.5</v>
      </c>
      <c r="I32" s="9" t="s">
        <v>157</v>
      </c>
      <c r="J32" s="9" t="s">
        <v>157</v>
      </c>
      <c r="K32" s="9">
        <v>0.5</v>
      </c>
      <c r="L32" s="9">
        <v>1</v>
      </c>
      <c r="M32" s="9">
        <v>0.5</v>
      </c>
      <c r="N32" s="9">
        <v>0.5</v>
      </c>
      <c r="O32" s="9">
        <f t="shared" si="0"/>
        <v>5</v>
      </c>
      <c r="P32" s="9">
        <f t="shared" si="1"/>
        <v>7</v>
      </c>
      <c r="Q32" s="11">
        <f t="shared" si="2"/>
        <v>0.7142857142857143</v>
      </c>
      <c r="R32" s="9" t="str">
        <f t="shared" si="3"/>
        <v>Moderate</v>
      </c>
      <c r="S32" s="9" t="s">
        <v>170</v>
      </c>
    </row>
    <row r="33" spans="1:19" ht="63">
      <c r="A33" s="9" t="s">
        <v>171</v>
      </c>
      <c r="B33" s="9">
        <v>2021</v>
      </c>
      <c r="C33" s="9" t="s">
        <v>172</v>
      </c>
      <c r="D33" s="10" t="s">
        <v>53</v>
      </c>
      <c r="E33" s="10" t="s">
        <v>173</v>
      </c>
      <c r="F33" s="9">
        <v>1</v>
      </c>
      <c r="G33" s="9">
        <v>1</v>
      </c>
      <c r="H33" s="9">
        <v>1</v>
      </c>
      <c r="I33" s="9">
        <v>1</v>
      </c>
      <c r="J33" s="9">
        <v>1</v>
      </c>
      <c r="K33" s="9">
        <v>1</v>
      </c>
      <c r="L33" s="9">
        <v>1</v>
      </c>
      <c r="M33" s="9">
        <v>1</v>
      </c>
      <c r="N33" s="9">
        <v>1</v>
      </c>
      <c r="O33" s="9">
        <f t="shared" si="0"/>
        <v>9</v>
      </c>
      <c r="P33" s="9">
        <f t="shared" si="1"/>
        <v>9</v>
      </c>
      <c r="Q33" s="11">
        <f t="shared" si="2"/>
        <v>1</v>
      </c>
      <c r="R33" s="9" t="str">
        <f t="shared" si="3"/>
        <v>High</v>
      </c>
      <c r="S33" s="9" t="s">
        <v>174</v>
      </c>
    </row>
    <row r="34" spans="1:19" s="34" customFormat="1" ht="78.75">
      <c r="A34" s="32" t="s">
        <v>175</v>
      </c>
      <c r="B34" s="32">
        <v>2022</v>
      </c>
      <c r="C34" s="32" t="s">
        <v>176</v>
      </c>
      <c r="D34" s="32" t="s">
        <v>177</v>
      </c>
      <c r="E34" s="32" t="s">
        <v>178</v>
      </c>
      <c r="F34" s="32"/>
      <c r="G34" s="32"/>
      <c r="H34" s="32"/>
      <c r="I34" s="32"/>
      <c r="J34" s="32"/>
      <c r="K34" s="32"/>
      <c r="L34" s="32"/>
      <c r="M34" s="32"/>
      <c r="N34" s="32"/>
      <c r="O34" s="32" t="str">
        <f t="shared" si="0"/>
        <v/>
      </c>
      <c r="P34" s="32">
        <f t="shared" si="1"/>
        <v>0</v>
      </c>
      <c r="Q34" s="33" t="str">
        <f t="shared" si="2"/>
        <v/>
      </c>
      <c r="R34" s="32" t="str">
        <f t="shared" si="3"/>
        <v/>
      </c>
      <c r="S34" s="32" t="s">
        <v>179</v>
      </c>
    </row>
    <row r="35" spans="1:19" ht="78.75">
      <c r="A35" s="9" t="s">
        <v>180</v>
      </c>
      <c r="B35" s="9">
        <v>2022</v>
      </c>
      <c r="C35" s="9" t="s">
        <v>181</v>
      </c>
      <c r="D35" s="12" t="s">
        <v>53</v>
      </c>
      <c r="E35" s="12" t="s">
        <v>182</v>
      </c>
      <c r="F35" s="9">
        <v>1</v>
      </c>
      <c r="G35" s="9">
        <v>1</v>
      </c>
      <c r="H35" s="9">
        <v>1</v>
      </c>
      <c r="I35" s="9">
        <v>1</v>
      </c>
      <c r="J35" s="9">
        <v>1</v>
      </c>
      <c r="K35" s="9">
        <v>1</v>
      </c>
      <c r="L35" s="9">
        <v>0</v>
      </c>
      <c r="M35" s="9">
        <v>0.5</v>
      </c>
      <c r="N35" s="9">
        <v>0.5</v>
      </c>
      <c r="O35" s="9">
        <f t="shared" si="0"/>
        <v>7</v>
      </c>
      <c r="P35" s="9">
        <f t="shared" si="1"/>
        <v>9</v>
      </c>
      <c r="Q35" s="11">
        <f t="shared" si="2"/>
        <v>0.77777777777777779</v>
      </c>
      <c r="R35" s="9" t="str">
        <f t="shared" si="3"/>
        <v>High</v>
      </c>
      <c r="S35" s="9" t="s">
        <v>183</v>
      </c>
    </row>
    <row r="36" spans="1:19" s="34" customFormat="1" ht="63">
      <c r="A36" s="32" t="s">
        <v>184</v>
      </c>
      <c r="B36" s="32">
        <v>2023</v>
      </c>
      <c r="C36" s="32" t="s">
        <v>185</v>
      </c>
      <c r="D36" s="32" t="s">
        <v>186</v>
      </c>
      <c r="E36" s="32" t="s">
        <v>187</v>
      </c>
      <c r="F36" s="32"/>
      <c r="G36" s="32"/>
      <c r="H36" s="32"/>
      <c r="I36" s="32"/>
      <c r="J36" s="32"/>
      <c r="K36" s="32"/>
      <c r="L36" s="32"/>
      <c r="M36" s="32"/>
      <c r="N36" s="32"/>
      <c r="O36" s="32" t="str">
        <f t="shared" ref="O36:O67" si="4">IF(COUNT(F36:N36)=0,"",SUM(F36:N36))</f>
        <v/>
      </c>
      <c r="P36" s="32">
        <f t="shared" ref="P36:P67" si="5">COUNT(F36:N36)</f>
        <v>0</v>
      </c>
      <c r="Q36" s="33" t="str">
        <f t="shared" ref="Q36:Q67" si="6">IF(P36=0,"",O36/P36)</f>
        <v/>
      </c>
      <c r="R36" s="32" t="str">
        <f t="shared" ref="R36:R67" si="7">IF(Q36="","",IF(Q36&lt;0.5,"Lower",IF(Q36&lt;0.75,"Moderate","High")))</f>
        <v/>
      </c>
      <c r="S36" s="32" t="s">
        <v>188</v>
      </c>
    </row>
    <row r="37" spans="1:19" ht="78.75">
      <c r="A37" s="9" t="s">
        <v>189</v>
      </c>
      <c r="B37" s="9">
        <v>2023</v>
      </c>
      <c r="C37" s="9" t="s">
        <v>190</v>
      </c>
      <c r="D37" s="12" t="s">
        <v>53</v>
      </c>
      <c r="E37" s="12" t="s">
        <v>191</v>
      </c>
      <c r="F37" s="9">
        <v>1</v>
      </c>
      <c r="G37" s="9">
        <v>1</v>
      </c>
      <c r="H37" s="9">
        <v>1</v>
      </c>
      <c r="I37" s="9">
        <v>1</v>
      </c>
      <c r="J37" s="9">
        <v>1</v>
      </c>
      <c r="K37" s="9">
        <v>1</v>
      </c>
      <c r="L37" s="9">
        <v>0.5</v>
      </c>
      <c r="M37" s="9">
        <v>0.5</v>
      </c>
      <c r="N37" s="9">
        <v>1</v>
      </c>
      <c r="O37" s="9">
        <f t="shared" si="4"/>
        <v>8</v>
      </c>
      <c r="P37" s="9">
        <f t="shared" si="5"/>
        <v>9</v>
      </c>
      <c r="Q37" s="11">
        <f t="shared" si="6"/>
        <v>0.88888888888888884</v>
      </c>
      <c r="R37" s="9" t="str">
        <f t="shared" si="7"/>
        <v>High</v>
      </c>
      <c r="S37" s="9" t="s">
        <v>192</v>
      </c>
    </row>
    <row r="38" spans="1:19" ht="63">
      <c r="A38" s="9" t="s">
        <v>193</v>
      </c>
      <c r="B38" s="9">
        <v>2024</v>
      </c>
      <c r="C38" s="9" t="s">
        <v>194</v>
      </c>
      <c r="D38" s="12" t="s">
        <v>53</v>
      </c>
      <c r="E38" s="12" t="s">
        <v>195</v>
      </c>
      <c r="F38" s="9">
        <v>1</v>
      </c>
      <c r="G38" s="9">
        <v>1</v>
      </c>
      <c r="H38" s="9">
        <v>1</v>
      </c>
      <c r="I38" s="9">
        <v>1</v>
      </c>
      <c r="J38" s="9">
        <v>1</v>
      </c>
      <c r="K38" s="9">
        <v>1</v>
      </c>
      <c r="L38" s="9">
        <v>0</v>
      </c>
      <c r="M38" s="9">
        <v>1</v>
      </c>
      <c r="N38" s="9">
        <v>1</v>
      </c>
      <c r="O38" s="9">
        <f t="shared" si="4"/>
        <v>8</v>
      </c>
      <c r="P38" s="9">
        <f t="shared" si="5"/>
        <v>9</v>
      </c>
      <c r="Q38" s="11">
        <f t="shared" si="6"/>
        <v>0.88888888888888884</v>
      </c>
      <c r="R38" s="9" t="str">
        <f t="shared" si="7"/>
        <v>High</v>
      </c>
      <c r="S38" s="9" t="s">
        <v>196</v>
      </c>
    </row>
    <row r="39" spans="1:19" ht="78.75">
      <c r="A39" s="9" t="s">
        <v>197</v>
      </c>
      <c r="B39" s="9">
        <v>2025</v>
      </c>
      <c r="C39" s="9" t="s">
        <v>198</v>
      </c>
      <c r="D39" s="12" t="s">
        <v>53</v>
      </c>
      <c r="E39" s="12" t="s">
        <v>199</v>
      </c>
      <c r="F39" s="9">
        <v>1</v>
      </c>
      <c r="G39" s="9">
        <v>1</v>
      </c>
      <c r="H39" s="9">
        <v>1</v>
      </c>
      <c r="I39" s="9">
        <v>1</v>
      </c>
      <c r="J39" s="9">
        <v>1</v>
      </c>
      <c r="K39" s="9">
        <v>1</v>
      </c>
      <c r="L39" s="9">
        <v>0.5</v>
      </c>
      <c r="M39" s="9">
        <v>0.5</v>
      </c>
      <c r="N39" s="9">
        <v>0.5</v>
      </c>
      <c r="O39" s="9">
        <f t="shared" si="4"/>
        <v>7.5</v>
      </c>
      <c r="P39" s="9">
        <f t="shared" si="5"/>
        <v>9</v>
      </c>
      <c r="Q39" s="11">
        <f t="shared" si="6"/>
        <v>0.83333333333333337</v>
      </c>
      <c r="R39" s="9" t="str">
        <f t="shared" si="7"/>
        <v>High</v>
      </c>
      <c r="S39" s="9" t="s">
        <v>200</v>
      </c>
    </row>
    <row r="40" spans="1:19" ht="78.75">
      <c r="A40" s="9" t="s">
        <v>201</v>
      </c>
      <c r="B40" s="9">
        <v>2026</v>
      </c>
      <c r="C40" s="9" t="s">
        <v>202</v>
      </c>
      <c r="D40" s="12" t="s">
        <v>53</v>
      </c>
      <c r="E40" s="12" t="s">
        <v>203</v>
      </c>
      <c r="F40" s="9">
        <v>1</v>
      </c>
      <c r="G40" s="9">
        <v>1</v>
      </c>
      <c r="H40" s="9">
        <v>1</v>
      </c>
      <c r="I40" s="9">
        <v>1</v>
      </c>
      <c r="J40" s="9">
        <v>1</v>
      </c>
      <c r="K40" s="9">
        <v>1</v>
      </c>
      <c r="L40" s="9">
        <v>0</v>
      </c>
      <c r="M40" s="9">
        <v>0.5</v>
      </c>
      <c r="N40" s="9">
        <v>0.5</v>
      </c>
      <c r="O40" s="9">
        <f t="shared" si="4"/>
        <v>7</v>
      </c>
      <c r="P40" s="9">
        <f t="shared" si="5"/>
        <v>9</v>
      </c>
      <c r="Q40" s="11">
        <f t="shared" si="6"/>
        <v>0.77777777777777779</v>
      </c>
      <c r="R40" s="9" t="str">
        <f t="shared" si="7"/>
        <v>High</v>
      </c>
      <c r="S40" s="9" t="s">
        <v>204</v>
      </c>
    </row>
    <row r="41" spans="1:19" ht="63">
      <c r="A41" s="9" t="s">
        <v>205</v>
      </c>
      <c r="B41" s="9">
        <v>2026</v>
      </c>
      <c r="C41" s="9" t="s">
        <v>206</v>
      </c>
      <c r="D41" s="12" t="s">
        <v>53</v>
      </c>
      <c r="E41" s="12" t="s">
        <v>207</v>
      </c>
      <c r="F41" s="9">
        <v>1</v>
      </c>
      <c r="G41" s="9">
        <v>1</v>
      </c>
      <c r="H41" s="9">
        <v>1</v>
      </c>
      <c r="I41" s="9">
        <v>1</v>
      </c>
      <c r="J41" s="9">
        <v>1</v>
      </c>
      <c r="K41" s="9">
        <v>1</v>
      </c>
      <c r="L41" s="9">
        <v>1</v>
      </c>
      <c r="M41" s="9">
        <v>1</v>
      </c>
      <c r="N41" s="9">
        <v>1</v>
      </c>
      <c r="O41" s="9">
        <f t="shared" si="4"/>
        <v>9</v>
      </c>
      <c r="P41" s="9">
        <f t="shared" si="5"/>
        <v>9</v>
      </c>
      <c r="Q41" s="11">
        <f t="shared" si="6"/>
        <v>1</v>
      </c>
      <c r="R41" s="9" t="str">
        <f t="shared" si="7"/>
        <v>High</v>
      </c>
      <c r="S41" s="9" t="s">
        <v>208</v>
      </c>
    </row>
    <row r="42" spans="1:19" ht="78.75">
      <c r="A42" s="9" t="s">
        <v>209</v>
      </c>
      <c r="B42" s="9">
        <v>2026</v>
      </c>
      <c r="C42" s="9" t="s">
        <v>210</v>
      </c>
      <c r="D42" s="13" t="s">
        <v>53</v>
      </c>
      <c r="E42" s="13" t="s">
        <v>211</v>
      </c>
      <c r="F42" s="9">
        <v>1</v>
      </c>
      <c r="G42" s="9">
        <v>1</v>
      </c>
      <c r="H42" s="9">
        <v>1</v>
      </c>
      <c r="I42" s="9">
        <v>1</v>
      </c>
      <c r="J42" s="9">
        <v>1</v>
      </c>
      <c r="K42" s="9">
        <v>1</v>
      </c>
      <c r="L42" s="9">
        <v>0</v>
      </c>
      <c r="M42" s="9">
        <v>1</v>
      </c>
      <c r="N42" s="9">
        <v>0.5</v>
      </c>
      <c r="O42" s="9">
        <f t="shared" si="4"/>
        <v>7.5</v>
      </c>
      <c r="P42" s="9">
        <f t="shared" si="5"/>
        <v>9</v>
      </c>
      <c r="Q42" s="11">
        <f t="shared" si="6"/>
        <v>0.83333333333333337</v>
      </c>
      <c r="R42" s="9" t="str">
        <f t="shared" si="7"/>
        <v>High</v>
      </c>
      <c r="S42" s="9" t="s">
        <v>212</v>
      </c>
    </row>
    <row r="43" spans="1:19" s="34" customFormat="1" ht="63">
      <c r="A43" s="32" t="s">
        <v>213</v>
      </c>
      <c r="B43" s="32">
        <v>2026</v>
      </c>
      <c r="C43" s="32" t="s">
        <v>214</v>
      </c>
      <c r="D43" s="32" t="s">
        <v>215</v>
      </c>
      <c r="E43" s="32" t="s">
        <v>216</v>
      </c>
      <c r="F43" s="32"/>
      <c r="G43" s="32"/>
      <c r="H43" s="32"/>
      <c r="I43" s="32"/>
      <c r="J43" s="32"/>
      <c r="K43" s="32"/>
      <c r="L43" s="32"/>
      <c r="M43" s="32"/>
      <c r="N43" s="32"/>
      <c r="O43" s="32" t="str">
        <f t="shared" si="4"/>
        <v/>
      </c>
      <c r="P43" s="32">
        <f t="shared" si="5"/>
        <v>0</v>
      </c>
      <c r="Q43" s="33" t="str">
        <f t="shared" si="6"/>
        <v/>
      </c>
      <c r="R43" s="32" t="str">
        <f t="shared" si="7"/>
        <v/>
      </c>
      <c r="S43" s="32" t="s">
        <v>217</v>
      </c>
    </row>
    <row r="44" spans="1:19" ht="78.75">
      <c r="A44" s="9" t="s">
        <v>218</v>
      </c>
      <c r="B44" s="9">
        <v>2026</v>
      </c>
      <c r="C44" s="9" t="s">
        <v>219</v>
      </c>
      <c r="D44" s="12" t="s">
        <v>53</v>
      </c>
      <c r="E44" s="12" t="s">
        <v>220</v>
      </c>
      <c r="F44" s="9">
        <v>1</v>
      </c>
      <c r="G44" s="9">
        <v>1</v>
      </c>
      <c r="H44" s="9">
        <v>1</v>
      </c>
      <c r="I44" s="9">
        <v>1</v>
      </c>
      <c r="J44" s="9">
        <v>1</v>
      </c>
      <c r="K44" s="9">
        <v>1</v>
      </c>
      <c r="L44" s="9">
        <v>1</v>
      </c>
      <c r="M44" s="9">
        <v>1</v>
      </c>
      <c r="N44" s="9">
        <v>0.5</v>
      </c>
      <c r="O44" s="9">
        <f t="shared" si="4"/>
        <v>8.5</v>
      </c>
      <c r="P44" s="9">
        <f t="shared" si="5"/>
        <v>9</v>
      </c>
      <c r="Q44" s="11">
        <f t="shared" si="6"/>
        <v>0.94444444444444442</v>
      </c>
      <c r="R44" s="9" t="str">
        <f t="shared" si="7"/>
        <v>High</v>
      </c>
      <c r="S44" s="9" t="s">
        <v>221</v>
      </c>
    </row>
    <row r="45" spans="1:19" ht="94.5">
      <c r="A45" s="9" t="s">
        <v>222</v>
      </c>
      <c r="B45" s="9">
        <v>2017</v>
      </c>
      <c r="C45" s="9" t="s">
        <v>223</v>
      </c>
      <c r="D45" s="12" t="s">
        <v>53</v>
      </c>
      <c r="E45" s="12" t="s">
        <v>224</v>
      </c>
      <c r="F45" s="9">
        <v>1</v>
      </c>
      <c r="G45" s="9">
        <v>1</v>
      </c>
      <c r="H45" s="9">
        <v>1</v>
      </c>
      <c r="I45" s="9">
        <v>1</v>
      </c>
      <c r="J45" s="9">
        <v>0.5</v>
      </c>
      <c r="K45" s="9">
        <v>1</v>
      </c>
      <c r="L45" s="9">
        <v>0</v>
      </c>
      <c r="M45" s="9">
        <v>0.5</v>
      </c>
      <c r="N45" s="9">
        <v>0.5</v>
      </c>
      <c r="O45" s="9">
        <f t="shared" si="4"/>
        <v>6.5</v>
      </c>
      <c r="P45" s="9">
        <f t="shared" si="5"/>
        <v>9</v>
      </c>
      <c r="Q45" s="11">
        <f t="shared" si="6"/>
        <v>0.72222222222222221</v>
      </c>
      <c r="R45" s="9" t="str">
        <f t="shared" si="7"/>
        <v>Moderate</v>
      </c>
      <c r="S45" s="9" t="s">
        <v>225</v>
      </c>
    </row>
    <row r="46" spans="1:19" ht="78.75">
      <c r="A46" s="9" t="s">
        <v>226</v>
      </c>
      <c r="B46" s="9">
        <v>2019</v>
      </c>
      <c r="C46" s="9" t="s">
        <v>227</v>
      </c>
      <c r="D46" s="12" t="s">
        <v>53</v>
      </c>
      <c r="E46" s="12" t="s">
        <v>228</v>
      </c>
      <c r="F46" s="9">
        <v>1</v>
      </c>
      <c r="G46" s="9">
        <v>1</v>
      </c>
      <c r="H46" s="9">
        <v>1</v>
      </c>
      <c r="I46" s="9">
        <v>1</v>
      </c>
      <c r="J46" s="9">
        <v>1</v>
      </c>
      <c r="K46" s="9">
        <v>1</v>
      </c>
      <c r="L46" s="9">
        <v>1</v>
      </c>
      <c r="M46" s="9">
        <v>1</v>
      </c>
      <c r="N46" s="9">
        <v>0.5</v>
      </c>
      <c r="O46" s="9">
        <f t="shared" si="4"/>
        <v>8.5</v>
      </c>
      <c r="P46" s="9">
        <f t="shared" si="5"/>
        <v>9</v>
      </c>
      <c r="Q46" s="11">
        <f t="shared" si="6"/>
        <v>0.94444444444444442</v>
      </c>
      <c r="R46" s="9" t="str">
        <f t="shared" si="7"/>
        <v>High</v>
      </c>
      <c r="S46" s="9" t="s">
        <v>229</v>
      </c>
    </row>
    <row r="47" spans="1:19" ht="78.75">
      <c r="A47" s="9" t="s">
        <v>230</v>
      </c>
      <c r="B47" s="9">
        <v>2020</v>
      </c>
      <c r="C47" s="9" t="s">
        <v>231</v>
      </c>
      <c r="D47" s="12" t="s">
        <v>53</v>
      </c>
      <c r="E47" s="12" t="s">
        <v>232</v>
      </c>
      <c r="F47" s="9">
        <v>1</v>
      </c>
      <c r="G47" s="9">
        <v>1</v>
      </c>
      <c r="H47" s="9">
        <v>1</v>
      </c>
      <c r="I47" s="9">
        <v>1</v>
      </c>
      <c r="J47" s="9">
        <v>0.5</v>
      </c>
      <c r="K47" s="9">
        <v>1</v>
      </c>
      <c r="L47" s="9">
        <v>1</v>
      </c>
      <c r="M47" s="9">
        <v>0.5</v>
      </c>
      <c r="N47" s="9">
        <v>0.5</v>
      </c>
      <c r="O47" s="9">
        <f t="shared" si="4"/>
        <v>7.5</v>
      </c>
      <c r="P47" s="9">
        <f t="shared" si="5"/>
        <v>9</v>
      </c>
      <c r="Q47" s="11">
        <f t="shared" si="6"/>
        <v>0.83333333333333337</v>
      </c>
      <c r="R47" s="9" t="str">
        <f t="shared" si="7"/>
        <v>High</v>
      </c>
      <c r="S47" s="9" t="s">
        <v>233</v>
      </c>
    </row>
    <row r="48" spans="1:19" ht="94.5">
      <c r="A48" s="9" t="s">
        <v>234</v>
      </c>
      <c r="B48" s="9">
        <v>2020</v>
      </c>
      <c r="C48" s="9" t="s">
        <v>235</v>
      </c>
      <c r="D48" s="12" t="s">
        <v>53</v>
      </c>
      <c r="E48" s="12" t="s">
        <v>236</v>
      </c>
      <c r="F48" s="9">
        <v>1</v>
      </c>
      <c r="G48" s="9">
        <v>1</v>
      </c>
      <c r="H48" s="9">
        <v>0.5</v>
      </c>
      <c r="I48" s="9">
        <v>0.5</v>
      </c>
      <c r="J48" s="9">
        <v>0.5</v>
      </c>
      <c r="K48" s="9">
        <v>1</v>
      </c>
      <c r="L48" s="9">
        <v>0</v>
      </c>
      <c r="M48" s="9">
        <v>1</v>
      </c>
      <c r="N48" s="9">
        <v>0.5</v>
      </c>
      <c r="O48" s="9">
        <f t="shared" si="4"/>
        <v>6</v>
      </c>
      <c r="P48" s="9">
        <f t="shared" si="5"/>
        <v>9</v>
      </c>
      <c r="Q48" s="11">
        <f t="shared" si="6"/>
        <v>0.66666666666666663</v>
      </c>
      <c r="R48" s="9" t="str">
        <f t="shared" si="7"/>
        <v>Moderate</v>
      </c>
      <c r="S48" s="9" t="s">
        <v>237</v>
      </c>
    </row>
    <row r="49" spans="1:19" ht="78.75">
      <c r="A49" s="9" t="s">
        <v>238</v>
      </c>
      <c r="B49" s="9">
        <v>2020</v>
      </c>
      <c r="C49" s="9" t="s">
        <v>239</v>
      </c>
      <c r="D49" s="14" t="s">
        <v>53</v>
      </c>
      <c r="E49" s="14" t="s">
        <v>240</v>
      </c>
      <c r="F49" s="9">
        <v>1</v>
      </c>
      <c r="G49" s="9">
        <v>0.5</v>
      </c>
      <c r="H49" s="9">
        <v>0.5</v>
      </c>
      <c r="I49" s="9" t="s">
        <v>157</v>
      </c>
      <c r="J49" s="9" t="s">
        <v>157</v>
      </c>
      <c r="K49" s="9">
        <v>0.5</v>
      </c>
      <c r="L49" s="9">
        <v>1</v>
      </c>
      <c r="M49" s="9">
        <v>0.5</v>
      </c>
      <c r="N49" s="9">
        <v>0.5</v>
      </c>
      <c r="O49" s="9">
        <f t="shared" si="4"/>
        <v>4.5</v>
      </c>
      <c r="P49" s="9">
        <f t="shared" si="5"/>
        <v>7</v>
      </c>
      <c r="Q49" s="11">
        <f t="shared" si="6"/>
        <v>0.6428571428571429</v>
      </c>
      <c r="R49" s="9" t="str">
        <f t="shared" si="7"/>
        <v>Moderate</v>
      </c>
      <c r="S49" s="9" t="s">
        <v>241</v>
      </c>
    </row>
    <row r="50" spans="1:19" ht="63">
      <c r="A50" s="9" t="s">
        <v>242</v>
      </c>
      <c r="B50" s="9">
        <v>2021</v>
      </c>
      <c r="C50" s="9" t="s">
        <v>243</v>
      </c>
      <c r="D50" s="14" t="s">
        <v>53</v>
      </c>
      <c r="E50" s="14" t="s">
        <v>244</v>
      </c>
      <c r="F50" s="9">
        <v>1</v>
      </c>
      <c r="G50" s="9">
        <v>1</v>
      </c>
      <c r="H50" s="9">
        <v>0.5</v>
      </c>
      <c r="I50" s="9" t="s">
        <v>157</v>
      </c>
      <c r="J50" s="9" t="s">
        <v>157</v>
      </c>
      <c r="K50" s="9">
        <v>0.5</v>
      </c>
      <c r="L50" s="9">
        <v>0</v>
      </c>
      <c r="M50" s="9">
        <v>0.5</v>
      </c>
      <c r="N50" s="9">
        <v>0.5</v>
      </c>
      <c r="O50" s="9">
        <f t="shared" si="4"/>
        <v>4</v>
      </c>
      <c r="P50" s="9">
        <f t="shared" si="5"/>
        <v>7</v>
      </c>
      <c r="Q50" s="11">
        <f t="shared" si="6"/>
        <v>0.5714285714285714</v>
      </c>
      <c r="R50" s="9" t="str">
        <f t="shared" si="7"/>
        <v>Moderate</v>
      </c>
      <c r="S50" s="9" t="s">
        <v>245</v>
      </c>
    </row>
    <row r="51" spans="1:19" ht="78.75">
      <c r="A51" s="9" t="s">
        <v>246</v>
      </c>
      <c r="B51" s="9">
        <v>2021</v>
      </c>
      <c r="C51" s="9" t="s">
        <v>247</v>
      </c>
      <c r="D51" s="14" t="s">
        <v>53</v>
      </c>
      <c r="E51" s="14" t="s">
        <v>248</v>
      </c>
      <c r="F51" s="9">
        <v>1</v>
      </c>
      <c r="G51" s="9">
        <v>1</v>
      </c>
      <c r="H51" s="9">
        <v>1</v>
      </c>
      <c r="I51" s="9">
        <v>1</v>
      </c>
      <c r="J51" s="9">
        <v>1</v>
      </c>
      <c r="K51" s="9">
        <v>1</v>
      </c>
      <c r="L51" s="9">
        <v>0.5</v>
      </c>
      <c r="M51" s="9">
        <v>1</v>
      </c>
      <c r="N51" s="9">
        <v>1</v>
      </c>
      <c r="O51" s="9">
        <f t="shared" si="4"/>
        <v>8.5</v>
      </c>
      <c r="P51" s="9">
        <f t="shared" si="5"/>
        <v>9</v>
      </c>
      <c r="Q51" s="11">
        <f t="shared" si="6"/>
        <v>0.94444444444444442</v>
      </c>
      <c r="R51" s="9" t="str">
        <f t="shared" si="7"/>
        <v>High</v>
      </c>
      <c r="S51" s="9" t="s">
        <v>249</v>
      </c>
    </row>
    <row r="52" spans="1:19" ht="94.5">
      <c r="A52" s="9" t="s">
        <v>250</v>
      </c>
      <c r="B52" s="9">
        <v>2021</v>
      </c>
      <c r="C52" s="9" t="s">
        <v>251</v>
      </c>
      <c r="D52" s="14" t="s">
        <v>53</v>
      </c>
      <c r="E52" s="14" t="s">
        <v>252</v>
      </c>
      <c r="F52" s="9">
        <v>1</v>
      </c>
      <c r="G52" s="9">
        <v>1</v>
      </c>
      <c r="H52" s="9">
        <v>1</v>
      </c>
      <c r="I52" s="9">
        <v>1</v>
      </c>
      <c r="J52" s="9">
        <v>1</v>
      </c>
      <c r="K52" s="9">
        <v>1</v>
      </c>
      <c r="L52" s="9">
        <v>1</v>
      </c>
      <c r="M52" s="9">
        <v>1</v>
      </c>
      <c r="N52" s="9">
        <v>0.5</v>
      </c>
      <c r="O52" s="9">
        <f t="shared" si="4"/>
        <v>8.5</v>
      </c>
      <c r="P52" s="9">
        <f t="shared" si="5"/>
        <v>9</v>
      </c>
      <c r="Q52" s="11">
        <f t="shared" si="6"/>
        <v>0.94444444444444442</v>
      </c>
      <c r="R52" s="9" t="str">
        <f t="shared" si="7"/>
        <v>High</v>
      </c>
      <c r="S52" s="9" t="s">
        <v>253</v>
      </c>
    </row>
    <row r="53" spans="1:19" ht="94.5">
      <c r="A53" s="9" t="s">
        <v>254</v>
      </c>
      <c r="B53" s="9">
        <v>2022</v>
      </c>
      <c r="C53" s="9" t="s">
        <v>255</v>
      </c>
      <c r="D53" s="14" t="s">
        <v>53</v>
      </c>
      <c r="E53" s="14" t="s">
        <v>256</v>
      </c>
      <c r="F53" s="9">
        <v>1</v>
      </c>
      <c r="G53" s="9">
        <v>1</v>
      </c>
      <c r="H53" s="9">
        <v>1</v>
      </c>
      <c r="I53" s="9">
        <v>1</v>
      </c>
      <c r="J53" s="9">
        <v>1</v>
      </c>
      <c r="K53" s="9">
        <v>1</v>
      </c>
      <c r="L53" s="9">
        <v>0.5</v>
      </c>
      <c r="M53" s="9">
        <v>0.5</v>
      </c>
      <c r="N53" s="9">
        <v>1</v>
      </c>
      <c r="O53" s="9">
        <f t="shared" si="4"/>
        <v>8</v>
      </c>
      <c r="P53" s="9">
        <f t="shared" si="5"/>
        <v>9</v>
      </c>
      <c r="Q53" s="11">
        <f t="shared" si="6"/>
        <v>0.88888888888888884</v>
      </c>
      <c r="R53" s="9" t="str">
        <f t="shared" si="7"/>
        <v>High</v>
      </c>
      <c r="S53" s="9" t="s">
        <v>257</v>
      </c>
    </row>
    <row r="54" spans="1:19" ht="94.5">
      <c r="A54" s="9" t="s">
        <v>258</v>
      </c>
      <c r="B54" s="9">
        <v>2023</v>
      </c>
      <c r="C54" s="9" t="s">
        <v>259</v>
      </c>
      <c r="D54" s="14" t="s">
        <v>53</v>
      </c>
      <c r="E54" s="14" t="s">
        <v>260</v>
      </c>
      <c r="F54" s="9">
        <v>1</v>
      </c>
      <c r="G54" s="9">
        <v>1</v>
      </c>
      <c r="H54" s="9">
        <v>1</v>
      </c>
      <c r="I54" s="9">
        <v>1</v>
      </c>
      <c r="J54" s="9">
        <v>1</v>
      </c>
      <c r="K54" s="9">
        <v>1</v>
      </c>
      <c r="L54" s="9">
        <v>0.5</v>
      </c>
      <c r="M54" s="9">
        <v>0.5</v>
      </c>
      <c r="N54" s="9">
        <v>0.5</v>
      </c>
      <c r="O54" s="9">
        <f t="shared" si="4"/>
        <v>7.5</v>
      </c>
      <c r="P54" s="9">
        <f t="shared" si="5"/>
        <v>9</v>
      </c>
      <c r="Q54" s="11">
        <f t="shared" si="6"/>
        <v>0.83333333333333337</v>
      </c>
      <c r="R54" s="9" t="str">
        <f t="shared" si="7"/>
        <v>High</v>
      </c>
      <c r="S54" s="9" t="s">
        <v>261</v>
      </c>
    </row>
    <row r="55" spans="1:19" ht="78.75">
      <c r="A55" s="9" t="s">
        <v>262</v>
      </c>
      <c r="B55" s="9">
        <v>2022</v>
      </c>
      <c r="C55" s="9" t="s">
        <v>263</v>
      </c>
      <c r="D55" s="14" t="s">
        <v>53</v>
      </c>
      <c r="E55" s="14" t="s">
        <v>264</v>
      </c>
      <c r="F55" s="9">
        <v>1</v>
      </c>
      <c r="G55" s="9">
        <v>1</v>
      </c>
      <c r="H55" s="9">
        <v>1</v>
      </c>
      <c r="I55" s="9">
        <v>1</v>
      </c>
      <c r="J55" s="9">
        <v>0.5</v>
      </c>
      <c r="K55" s="9">
        <v>1</v>
      </c>
      <c r="L55" s="9">
        <v>0.5</v>
      </c>
      <c r="M55" s="9">
        <v>1</v>
      </c>
      <c r="N55" s="9">
        <v>1</v>
      </c>
      <c r="O55" s="9">
        <f t="shared" si="4"/>
        <v>8</v>
      </c>
      <c r="P55" s="9">
        <f t="shared" si="5"/>
        <v>9</v>
      </c>
      <c r="Q55" s="11">
        <f t="shared" si="6"/>
        <v>0.88888888888888884</v>
      </c>
      <c r="R55" s="9" t="str">
        <f t="shared" si="7"/>
        <v>High</v>
      </c>
      <c r="S55" s="9" t="s">
        <v>265</v>
      </c>
    </row>
    <row r="56" spans="1:19" ht="94.5">
      <c r="A56" s="9" t="s">
        <v>266</v>
      </c>
      <c r="B56" s="9">
        <v>2023</v>
      </c>
      <c r="C56" s="9" t="s">
        <v>267</v>
      </c>
      <c r="D56" s="14" t="s">
        <v>53</v>
      </c>
      <c r="E56" s="14" t="s">
        <v>268</v>
      </c>
      <c r="F56" s="9">
        <v>1</v>
      </c>
      <c r="G56" s="9">
        <v>1</v>
      </c>
      <c r="H56" s="9">
        <v>1</v>
      </c>
      <c r="I56" s="9">
        <v>1</v>
      </c>
      <c r="J56" s="9">
        <v>1</v>
      </c>
      <c r="K56" s="9">
        <v>1</v>
      </c>
      <c r="L56" s="9">
        <v>1</v>
      </c>
      <c r="M56" s="9">
        <v>0.5</v>
      </c>
      <c r="N56" s="9">
        <v>1</v>
      </c>
      <c r="O56" s="9">
        <f t="shared" si="4"/>
        <v>8.5</v>
      </c>
      <c r="P56" s="9">
        <f t="shared" si="5"/>
        <v>9</v>
      </c>
      <c r="Q56" s="11">
        <f t="shared" si="6"/>
        <v>0.94444444444444442</v>
      </c>
      <c r="R56" s="9" t="str">
        <f t="shared" si="7"/>
        <v>High</v>
      </c>
      <c r="S56" s="9" t="s">
        <v>269</v>
      </c>
    </row>
    <row r="57" spans="1:19" ht="78.75">
      <c r="A57" s="9" t="s">
        <v>270</v>
      </c>
      <c r="B57" s="9">
        <v>2023</v>
      </c>
      <c r="C57" s="9" t="s">
        <v>271</v>
      </c>
      <c r="D57" s="14" t="s">
        <v>53</v>
      </c>
      <c r="E57" s="14" t="s">
        <v>272</v>
      </c>
      <c r="F57" s="9">
        <v>1</v>
      </c>
      <c r="G57" s="9">
        <v>1</v>
      </c>
      <c r="H57" s="9">
        <v>1</v>
      </c>
      <c r="I57" s="9">
        <v>1</v>
      </c>
      <c r="J57" s="9">
        <v>1</v>
      </c>
      <c r="K57" s="9">
        <v>1</v>
      </c>
      <c r="L57" s="9">
        <v>1</v>
      </c>
      <c r="M57" s="9">
        <v>0.5</v>
      </c>
      <c r="N57" s="9">
        <v>0.5</v>
      </c>
      <c r="O57" s="9">
        <f t="shared" si="4"/>
        <v>8</v>
      </c>
      <c r="P57" s="9">
        <f t="shared" si="5"/>
        <v>9</v>
      </c>
      <c r="Q57" s="11">
        <f t="shared" si="6"/>
        <v>0.88888888888888884</v>
      </c>
      <c r="R57" s="9" t="str">
        <f t="shared" si="7"/>
        <v>High</v>
      </c>
      <c r="S57" s="9" t="s">
        <v>273</v>
      </c>
    </row>
    <row r="58" spans="1:19" ht="94.5">
      <c r="A58" s="9" t="s">
        <v>274</v>
      </c>
      <c r="B58" s="9">
        <v>2024</v>
      </c>
      <c r="C58" s="9" t="s">
        <v>275</v>
      </c>
      <c r="D58" s="15" t="s">
        <v>53</v>
      </c>
      <c r="E58" s="15" t="s">
        <v>276</v>
      </c>
      <c r="F58" s="9">
        <v>1</v>
      </c>
      <c r="G58" s="9">
        <v>1</v>
      </c>
      <c r="H58" s="9">
        <v>1</v>
      </c>
      <c r="I58" s="9">
        <v>1</v>
      </c>
      <c r="J58" s="9">
        <v>1</v>
      </c>
      <c r="K58" s="9">
        <v>1</v>
      </c>
      <c r="L58" s="9">
        <v>1</v>
      </c>
      <c r="M58" s="9">
        <v>1</v>
      </c>
      <c r="N58" s="9">
        <v>1</v>
      </c>
      <c r="O58" s="9">
        <f t="shared" si="4"/>
        <v>9</v>
      </c>
      <c r="P58" s="9">
        <f t="shared" si="5"/>
        <v>9</v>
      </c>
      <c r="Q58" s="11">
        <f t="shared" si="6"/>
        <v>1</v>
      </c>
      <c r="R58" s="9" t="str">
        <f t="shared" si="7"/>
        <v>High</v>
      </c>
      <c r="S58" s="9" t="s">
        <v>277</v>
      </c>
    </row>
    <row r="59" spans="1:19" ht="78.75">
      <c r="A59" s="9" t="s">
        <v>278</v>
      </c>
      <c r="B59" s="9">
        <v>2024</v>
      </c>
      <c r="C59" s="9" t="s">
        <v>279</v>
      </c>
      <c r="D59" s="14" t="s">
        <v>53</v>
      </c>
      <c r="E59" s="14" t="s">
        <v>280</v>
      </c>
      <c r="F59" s="9">
        <v>1</v>
      </c>
      <c r="G59" s="9">
        <v>1</v>
      </c>
      <c r="H59" s="9">
        <v>1</v>
      </c>
      <c r="I59" s="9">
        <v>1</v>
      </c>
      <c r="J59" s="9">
        <v>1</v>
      </c>
      <c r="K59" s="9">
        <v>1</v>
      </c>
      <c r="L59" s="9">
        <v>0.5</v>
      </c>
      <c r="M59" s="9">
        <v>0.5</v>
      </c>
      <c r="N59" s="9">
        <v>1</v>
      </c>
      <c r="O59" s="9">
        <f t="shared" si="4"/>
        <v>8</v>
      </c>
      <c r="P59" s="9">
        <f t="shared" si="5"/>
        <v>9</v>
      </c>
      <c r="Q59" s="11">
        <f t="shared" si="6"/>
        <v>0.88888888888888884</v>
      </c>
      <c r="R59" s="9" t="str">
        <f t="shared" si="7"/>
        <v>High</v>
      </c>
      <c r="S59" s="9" t="s">
        <v>281</v>
      </c>
    </row>
    <row r="60" spans="1:19" ht="63">
      <c r="A60" s="9" t="s">
        <v>282</v>
      </c>
      <c r="B60" s="9">
        <v>2024</v>
      </c>
      <c r="C60" s="9" t="s">
        <v>283</v>
      </c>
      <c r="D60" s="14" t="s">
        <v>53</v>
      </c>
      <c r="E60" s="14" t="s">
        <v>284</v>
      </c>
      <c r="F60" s="9">
        <v>1</v>
      </c>
      <c r="G60" s="9">
        <v>1</v>
      </c>
      <c r="H60" s="9">
        <v>1</v>
      </c>
      <c r="I60" s="9">
        <v>1</v>
      </c>
      <c r="J60" s="9">
        <v>1</v>
      </c>
      <c r="K60" s="9">
        <v>1</v>
      </c>
      <c r="L60" s="9">
        <v>1</v>
      </c>
      <c r="M60" s="9">
        <v>1</v>
      </c>
      <c r="N60" s="9">
        <v>1</v>
      </c>
      <c r="O60" s="9">
        <f t="shared" si="4"/>
        <v>9</v>
      </c>
      <c r="P60" s="9">
        <f t="shared" si="5"/>
        <v>9</v>
      </c>
      <c r="Q60" s="11">
        <f t="shared" si="6"/>
        <v>1</v>
      </c>
      <c r="R60" s="9" t="str">
        <f t="shared" si="7"/>
        <v>High</v>
      </c>
      <c r="S60" s="9" t="s">
        <v>285</v>
      </c>
    </row>
    <row r="61" spans="1:19" ht="78.75">
      <c r="A61" s="9" t="s">
        <v>286</v>
      </c>
      <c r="B61" s="9">
        <v>2024</v>
      </c>
      <c r="C61" s="9" t="s">
        <v>287</v>
      </c>
      <c r="D61" s="14" t="s">
        <v>53</v>
      </c>
      <c r="E61" s="14" t="s">
        <v>288</v>
      </c>
      <c r="F61" s="9">
        <v>1</v>
      </c>
      <c r="G61" s="9">
        <v>1</v>
      </c>
      <c r="H61" s="9">
        <v>0.5</v>
      </c>
      <c r="I61" s="9">
        <v>0.5</v>
      </c>
      <c r="J61" s="9">
        <v>0.5</v>
      </c>
      <c r="K61" s="9">
        <v>1</v>
      </c>
      <c r="L61" s="9">
        <v>1</v>
      </c>
      <c r="M61" s="9">
        <v>0.5</v>
      </c>
      <c r="N61" s="9">
        <v>0.5</v>
      </c>
      <c r="O61" s="9">
        <f t="shared" si="4"/>
        <v>6.5</v>
      </c>
      <c r="P61" s="9">
        <f t="shared" si="5"/>
        <v>9</v>
      </c>
      <c r="Q61" s="11">
        <f t="shared" si="6"/>
        <v>0.72222222222222221</v>
      </c>
      <c r="R61" s="9" t="str">
        <f t="shared" si="7"/>
        <v>Moderate</v>
      </c>
      <c r="S61" s="9" t="s">
        <v>289</v>
      </c>
    </row>
    <row r="62" spans="1:19" ht="63">
      <c r="A62" s="9" t="s">
        <v>290</v>
      </c>
      <c r="B62" s="9">
        <v>2025</v>
      </c>
      <c r="C62" s="9" t="s">
        <v>291</v>
      </c>
      <c r="D62" s="14" t="s">
        <v>53</v>
      </c>
      <c r="E62" s="14" t="s">
        <v>292</v>
      </c>
      <c r="F62" s="9">
        <v>1</v>
      </c>
      <c r="G62" s="9">
        <v>1</v>
      </c>
      <c r="H62" s="9">
        <v>1</v>
      </c>
      <c r="I62" s="9">
        <v>1</v>
      </c>
      <c r="J62" s="9">
        <v>1</v>
      </c>
      <c r="K62" s="9">
        <v>1</v>
      </c>
      <c r="L62" s="9">
        <v>1</v>
      </c>
      <c r="M62" s="9">
        <v>1</v>
      </c>
      <c r="N62" s="9">
        <v>1</v>
      </c>
      <c r="O62" s="9">
        <f t="shared" si="4"/>
        <v>9</v>
      </c>
      <c r="P62" s="9">
        <f t="shared" si="5"/>
        <v>9</v>
      </c>
      <c r="Q62" s="11">
        <f t="shared" si="6"/>
        <v>1</v>
      </c>
      <c r="R62" s="9" t="str">
        <f t="shared" si="7"/>
        <v>High</v>
      </c>
      <c r="S62" s="9" t="s">
        <v>293</v>
      </c>
    </row>
    <row r="63" spans="1:19" ht="63">
      <c r="A63" s="9" t="s">
        <v>294</v>
      </c>
      <c r="B63" s="9">
        <v>2025</v>
      </c>
      <c r="C63" s="9" t="s">
        <v>295</v>
      </c>
      <c r="D63" s="14" t="s">
        <v>53</v>
      </c>
      <c r="E63" s="14" t="s">
        <v>296</v>
      </c>
      <c r="F63" s="9">
        <v>1</v>
      </c>
      <c r="G63" s="9">
        <v>1</v>
      </c>
      <c r="H63" s="9">
        <v>1</v>
      </c>
      <c r="I63" s="9">
        <v>1</v>
      </c>
      <c r="J63" s="9">
        <v>1</v>
      </c>
      <c r="K63" s="9">
        <v>1</v>
      </c>
      <c r="L63" s="9">
        <v>1</v>
      </c>
      <c r="M63" s="9">
        <v>1</v>
      </c>
      <c r="N63" s="9">
        <v>1</v>
      </c>
      <c r="O63" s="9">
        <f t="shared" si="4"/>
        <v>9</v>
      </c>
      <c r="P63" s="9">
        <f t="shared" si="5"/>
        <v>9</v>
      </c>
      <c r="Q63" s="11">
        <f t="shared" si="6"/>
        <v>1</v>
      </c>
      <c r="R63" s="9" t="str">
        <f t="shared" si="7"/>
        <v>High</v>
      </c>
      <c r="S63" s="9" t="s">
        <v>297</v>
      </c>
    </row>
    <row r="64" spans="1:19" ht="78.75">
      <c r="A64" s="9" t="s">
        <v>298</v>
      </c>
      <c r="B64" s="9">
        <v>2025</v>
      </c>
      <c r="C64" s="9" t="s">
        <v>299</v>
      </c>
      <c r="D64" s="16" t="s">
        <v>53</v>
      </c>
      <c r="E64" s="16" t="s">
        <v>300</v>
      </c>
      <c r="F64" s="9">
        <v>1</v>
      </c>
      <c r="G64" s="9">
        <v>1</v>
      </c>
      <c r="H64" s="9">
        <v>0.5</v>
      </c>
      <c r="I64" s="9">
        <v>1</v>
      </c>
      <c r="J64" s="9">
        <v>0.5</v>
      </c>
      <c r="K64" s="9">
        <v>1</v>
      </c>
      <c r="L64" s="9">
        <v>1</v>
      </c>
      <c r="M64" s="9">
        <v>0.5</v>
      </c>
      <c r="N64" s="9">
        <v>0.5</v>
      </c>
      <c r="O64" s="9">
        <f t="shared" si="4"/>
        <v>7</v>
      </c>
      <c r="P64" s="9">
        <f t="shared" si="5"/>
        <v>9</v>
      </c>
      <c r="Q64" s="11">
        <f t="shared" si="6"/>
        <v>0.77777777777777779</v>
      </c>
      <c r="R64" s="9" t="str">
        <f t="shared" si="7"/>
        <v>High</v>
      </c>
      <c r="S64" s="9" t="s">
        <v>301</v>
      </c>
    </row>
    <row r="65" spans="1:19" ht="94.5">
      <c r="A65" s="9" t="s">
        <v>302</v>
      </c>
      <c r="B65" s="9">
        <v>2025</v>
      </c>
      <c r="C65" s="9" t="s">
        <v>303</v>
      </c>
      <c r="D65" s="16" t="s">
        <v>53</v>
      </c>
      <c r="E65" s="16" t="s">
        <v>304</v>
      </c>
      <c r="F65" s="9">
        <v>1</v>
      </c>
      <c r="G65" s="9">
        <v>1</v>
      </c>
      <c r="H65" s="9">
        <v>0.5</v>
      </c>
      <c r="I65" s="9">
        <v>1</v>
      </c>
      <c r="J65" s="9">
        <v>0</v>
      </c>
      <c r="K65" s="9">
        <v>0.5</v>
      </c>
      <c r="L65" s="9">
        <v>1</v>
      </c>
      <c r="M65" s="9">
        <v>0.5</v>
      </c>
      <c r="N65" s="9">
        <v>1</v>
      </c>
      <c r="O65" s="9">
        <f t="shared" si="4"/>
        <v>6.5</v>
      </c>
      <c r="P65" s="9">
        <f t="shared" si="5"/>
        <v>9</v>
      </c>
      <c r="Q65" s="11">
        <f t="shared" si="6"/>
        <v>0.72222222222222221</v>
      </c>
      <c r="R65" s="9" t="str">
        <f t="shared" si="7"/>
        <v>Moderate</v>
      </c>
      <c r="S65" s="9" t="s">
        <v>305</v>
      </c>
    </row>
    <row r="66" spans="1:19" ht="94.5">
      <c r="A66" s="9" t="s">
        <v>306</v>
      </c>
      <c r="B66" s="9">
        <v>2025</v>
      </c>
      <c r="C66" s="9" t="s">
        <v>307</v>
      </c>
      <c r="D66" s="16" t="s">
        <v>53</v>
      </c>
      <c r="E66" s="16" t="s">
        <v>308</v>
      </c>
      <c r="F66" s="9">
        <v>1</v>
      </c>
      <c r="G66" s="9">
        <v>1</v>
      </c>
      <c r="H66" s="9">
        <v>1</v>
      </c>
      <c r="I66" s="9">
        <v>1</v>
      </c>
      <c r="J66" s="9">
        <v>1</v>
      </c>
      <c r="K66" s="9">
        <v>1</v>
      </c>
      <c r="L66" s="9">
        <v>1</v>
      </c>
      <c r="M66" s="9">
        <v>1</v>
      </c>
      <c r="N66" s="9">
        <v>1</v>
      </c>
      <c r="O66" s="9">
        <f t="shared" si="4"/>
        <v>9</v>
      </c>
      <c r="P66" s="9">
        <f t="shared" si="5"/>
        <v>9</v>
      </c>
      <c r="Q66" s="11">
        <f t="shared" si="6"/>
        <v>1</v>
      </c>
      <c r="R66" s="9" t="str">
        <f t="shared" si="7"/>
        <v>High</v>
      </c>
      <c r="S66" s="9" t="s">
        <v>309</v>
      </c>
    </row>
    <row r="67" spans="1:19" s="34" customFormat="1" ht="110.25">
      <c r="A67" s="32" t="s">
        <v>310</v>
      </c>
      <c r="B67" s="32">
        <v>2026</v>
      </c>
      <c r="C67" s="32" t="s">
        <v>311</v>
      </c>
      <c r="D67" s="32" t="s">
        <v>312</v>
      </c>
      <c r="E67" s="32" t="s">
        <v>313</v>
      </c>
      <c r="F67" s="32"/>
      <c r="G67" s="32"/>
      <c r="H67" s="32"/>
      <c r="I67" s="32"/>
      <c r="J67" s="32"/>
      <c r="K67" s="32"/>
      <c r="L67" s="32"/>
      <c r="M67" s="32"/>
      <c r="N67" s="32"/>
      <c r="O67" s="32" t="str">
        <f t="shared" si="4"/>
        <v/>
      </c>
      <c r="P67" s="32">
        <f t="shared" si="5"/>
        <v>0</v>
      </c>
      <c r="Q67" s="33" t="str">
        <f t="shared" si="6"/>
        <v/>
      </c>
      <c r="R67" s="32" t="str">
        <f t="shared" si="7"/>
        <v/>
      </c>
      <c r="S67" s="32" t="s">
        <v>314</v>
      </c>
    </row>
    <row r="68" spans="1:19" ht="94.5">
      <c r="A68" s="9" t="s">
        <v>315</v>
      </c>
      <c r="B68" s="9">
        <v>2016</v>
      </c>
      <c r="C68" s="9" t="s">
        <v>316</v>
      </c>
      <c r="D68" s="16" t="s">
        <v>53</v>
      </c>
      <c r="E68" s="16" t="s">
        <v>317</v>
      </c>
      <c r="F68" s="9">
        <v>1</v>
      </c>
      <c r="G68" s="9">
        <v>1</v>
      </c>
      <c r="H68" s="9">
        <v>1</v>
      </c>
      <c r="I68" s="9">
        <v>1</v>
      </c>
      <c r="J68" s="9">
        <v>1</v>
      </c>
      <c r="K68" s="9">
        <v>1</v>
      </c>
      <c r="L68" s="9">
        <v>0.5</v>
      </c>
      <c r="M68" s="9">
        <v>1</v>
      </c>
      <c r="N68" s="9">
        <v>0.5</v>
      </c>
      <c r="O68" s="9">
        <f t="shared" ref="O68:O97" si="8">IF(COUNT(F68:N68)=0,"",SUM(F68:N68))</f>
        <v>8</v>
      </c>
      <c r="P68" s="9">
        <f t="shared" ref="P68:P97" si="9">COUNT(F68:N68)</f>
        <v>9</v>
      </c>
      <c r="Q68" s="11">
        <f t="shared" ref="Q68:Q97" si="10">IF(P68=0,"",O68/P68)</f>
        <v>0.88888888888888884</v>
      </c>
      <c r="R68" s="9" t="str">
        <f t="shared" ref="R68:R97" si="11">IF(Q68="","",IF(Q68&lt;0.5,"Lower",IF(Q68&lt;0.75,"Moderate","High")))</f>
        <v>High</v>
      </c>
      <c r="S68" s="9" t="s">
        <v>318</v>
      </c>
    </row>
    <row r="69" spans="1:19" ht="78.75">
      <c r="A69" s="9" t="s">
        <v>319</v>
      </c>
      <c r="B69" s="9">
        <v>2018</v>
      </c>
      <c r="C69" s="9" t="s">
        <v>320</v>
      </c>
      <c r="D69" s="16" t="s">
        <v>53</v>
      </c>
      <c r="E69" s="16" t="s">
        <v>321</v>
      </c>
      <c r="F69" s="9">
        <v>1</v>
      </c>
      <c r="G69" s="9">
        <v>1</v>
      </c>
      <c r="H69" s="9">
        <v>1</v>
      </c>
      <c r="I69" s="9">
        <v>1</v>
      </c>
      <c r="J69" s="9">
        <v>1</v>
      </c>
      <c r="K69" s="9">
        <v>1</v>
      </c>
      <c r="L69" s="9">
        <v>1</v>
      </c>
      <c r="M69" s="9">
        <v>1</v>
      </c>
      <c r="N69" s="9">
        <v>1</v>
      </c>
      <c r="O69" s="9">
        <f t="shared" si="8"/>
        <v>9</v>
      </c>
      <c r="P69" s="9">
        <f t="shared" si="9"/>
        <v>9</v>
      </c>
      <c r="Q69" s="11">
        <f t="shared" si="10"/>
        <v>1</v>
      </c>
      <c r="R69" s="9" t="str">
        <f t="shared" si="11"/>
        <v>High</v>
      </c>
      <c r="S69" s="9" t="s">
        <v>322</v>
      </c>
    </row>
    <row r="70" spans="1:19" ht="94.5">
      <c r="A70" s="9" t="s">
        <v>323</v>
      </c>
      <c r="B70" s="9">
        <v>2018</v>
      </c>
      <c r="C70" s="9" t="s">
        <v>324</v>
      </c>
      <c r="D70" s="16" t="s">
        <v>53</v>
      </c>
      <c r="E70" s="16" t="s">
        <v>325</v>
      </c>
      <c r="F70" s="9">
        <v>1</v>
      </c>
      <c r="G70" s="9">
        <v>1</v>
      </c>
      <c r="H70" s="9">
        <v>1</v>
      </c>
      <c r="I70" s="9">
        <v>1</v>
      </c>
      <c r="J70" s="9">
        <v>1</v>
      </c>
      <c r="K70" s="9">
        <v>1</v>
      </c>
      <c r="L70" s="9">
        <v>1</v>
      </c>
      <c r="M70" s="9">
        <v>1</v>
      </c>
      <c r="N70" s="9">
        <v>0.5</v>
      </c>
      <c r="O70" s="9">
        <f t="shared" si="8"/>
        <v>8.5</v>
      </c>
      <c r="P70" s="9">
        <f t="shared" si="9"/>
        <v>9</v>
      </c>
      <c r="Q70" s="11">
        <f t="shared" si="10"/>
        <v>0.94444444444444442</v>
      </c>
      <c r="R70" s="9" t="str">
        <f t="shared" si="11"/>
        <v>High</v>
      </c>
      <c r="S70" s="9" t="s">
        <v>326</v>
      </c>
    </row>
    <row r="71" spans="1:19" ht="78.75">
      <c r="A71" s="9" t="s">
        <v>327</v>
      </c>
      <c r="B71" s="9">
        <v>2019</v>
      </c>
      <c r="C71" s="9" t="s">
        <v>328</v>
      </c>
      <c r="D71" s="16" t="s">
        <v>53</v>
      </c>
      <c r="E71" s="16" t="s">
        <v>329</v>
      </c>
      <c r="F71" s="9">
        <v>1</v>
      </c>
      <c r="G71" s="9">
        <v>1</v>
      </c>
      <c r="H71" s="9">
        <v>1</v>
      </c>
      <c r="I71" s="9">
        <v>1</v>
      </c>
      <c r="J71" s="9">
        <v>0.5</v>
      </c>
      <c r="K71" s="9">
        <v>1</v>
      </c>
      <c r="L71" s="9">
        <v>0</v>
      </c>
      <c r="M71" s="9">
        <v>0.5</v>
      </c>
      <c r="N71" s="9">
        <v>0.5</v>
      </c>
      <c r="O71" s="9">
        <f t="shared" si="8"/>
        <v>6.5</v>
      </c>
      <c r="P71" s="9">
        <f t="shared" si="9"/>
        <v>9</v>
      </c>
      <c r="Q71" s="11">
        <f t="shared" si="10"/>
        <v>0.72222222222222221</v>
      </c>
      <c r="R71" s="9" t="str">
        <f t="shared" si="11"/>
        <v>Moderate</v>
      </c>
      <c r="S71" s="9" t="s">
        <v>330</v>
      </c>
    </row>
    <row r="72" spans="1:19" ht="94.5">
      <c r="A72" s="9" t="s">
        <v>331</v>
      </c>
      <c r="B72" s="9">
        <v>2020</v>
      </c>
      <c r="C72" s="9" t="s">
        <v>332</v>
      </c>
      <c r="D72" s="16" t="s">
        <v>53</v>
      </c>
      <c r="E72" s="16" t="s">
        <v>333</v>
      </c>
      <c r="F72" s="9">
        <v>1</v>
      </c>
      <c r="G72" s="9">
        <v>1</v>
      </c>
      <c r="H72" s="9">
        <v>1</v>
      </c>
      <c r="I72" s="9">
        <v>1</v>
      </c>
      <c r="J72" s="9">
        <v>1</v>
      </c>
      <c r="K72" s="9">
        <v>1</v>
      </c>
      <c r="L72" s="9">
        <v>1</v>
      </c>
      <c r="M72" s="9">
        <v>1</v>
      </c>
      <c r="N72" s="9">
        <v>1</v>
      </c>
      <c r="O72" s="9">
        <f t="shared" si="8"/>
        <v>9</v>
      </c>
      <c r="P72" s="9">
        <f t="shared" si="9"/>
        <v>9</v>
      </c>
      <c r="Q72" s="11">
        <f t="shared" si="10"/>
        <v>1</v>
      </c>
      <c r="R72" s="9" t="str">
        <f t="shared" si="11"/>
        <v>High</v>
      </c>
      <c r="S72" s="9" t="s">
        <v>334</v>
      </c>
    </row>
    <row r="73" spans="1:19" ht="78.75">
      <c r="A73" s="9" t="s">
        <v>335</v>
      </c>
      <c r="B73" s="9">
        <v>2020</v>
      </c>
      <c r="C73" s="9" t="s">
        <v>336</v>
      </c>
      <c r="D73" s="16" t="s">
        <v>53</v>
      </c>
      <c r="E73" s="16" t="s">
        <v>337</v>
      </c>
      <c r="F73" s="9">
        <v>1</v>
      </c>
      <c r="G73" s="9">
        <v>1</v>
      </c>
      <c r="H73" s="9">
        <v>1</v>
      </c>
      <c r="I73" s="9">
        <v>1</v>
      </c>
      <c r="J73" s="9">
        <v>1</v>
      </c>
      <c r="K73" s="9">
        <v>1</v>
      </c>
      <c r="L73" s="9">
        <v>1</v>
      </c>
      <c r="M73" s="9">
        <v>0.5</v>
      </c>
      <c r="N73" s="9">
        <v>1</v>
      </c>
      <c r="O73" s="9">
        <f t="shared" si="8"/>
        <v>8.5</v>
      </c>
      <c r="P73" s="9">
        <f t="shared" si="9"/>
        <v>9</v>
      </c>
      <c r="Q73" s="11">
        <f t="shared" si="10"/>
        <v>0.94444444444444442</v>
      </c>
      <c r="R73" s="9" t="str">
        <f t="shared" si="11"/>
        <v>High</v>
      </c>
      <c r="S73" s="9" t="s">
        <v>338</v>
      </c>
    </row>
    <row r="74" spans="1:19" ht="94.5">
      <c r="A74" s="9" t="s">
        <v>339</v>
      </c>
      <c r="B74" s="9">
        <v>2021</v>
      </c>
      <c r="C74" s="9" t="s">
        <v>340</v>
      </c>
      <c r="D74" s="16" t="s">
        <v>53</v>
      </c>
      <c r="E74" s="16" t="s">
        <v>341</v>
      </c>
      <c r="F74" s="9">
        <v>1</v>
      </c>
      <c r="G74" s="9">
        <v>1</v>
      </c>
      <c r="H74" s="9">
        <v>1</v>
      </c>
      <c r="I74" s="9">
        <v>1</v>
      </c>
      <c r="J74" s="9">
        <v>1</v>
      </c>
      <c r="K74" s="9">
        <v>1</v>
      </c>
      <c r="L74" s="9">
        <v>1</v>
      </c>
      <c r="M74" s="9">
        <v>0.5</v>
      </c>
      <c r="N74" s="9">
        <v>1</v>
      </c>
      <c r="O74" s="9">
        <f t="shared" si="8"/>
        <v>8.5</v>
      </c>
      <c r="P74" s="9">
        <f t="shared" si="9"/>
        <v>9</v>
      </c>
      <c r="Q74" s="11">
        <f t="shared" si="10"/>
        <v>0.94444444444444442</v>
      </c>
      <c r="R74" s="9" t="str">
        <f t="shared" si="11"/>
        <v>High</v>
      </c>
      <c r="S74" s="9" t="s">
        <v>342</v>
      </c>
    </row>
    <row r="75" spans="1:19" ht="94.5">
      <c r="A75" s="9" t="s">
        <v>343</v>
      </c>
      <c r="B75" s="9">
        <v>2022</v>
      </c>
      <c r="C75" s="9" t="s">
        <v>344</v>
      </c>
      <c r="D75" s="16" t="s">
        <v>53</v>
      </c>
      <c r="E75" s="16" t="s">
        <v>345</v>
      </c>
      <c r="F75" s="9">
        <v>1</v>
      </c>
      <c r="G75" s="9">
        <v>1</v>
      </c>
      <c r="H75" s="9">
        <v>1</v>
      </c>
      <c r="I75" s="9">
        <v>1</v>
      </c>
      <c r="J75" s="9">
        <v>1</v>
      </c>
      <c r="K75" s="9">
        <v>1</v>
      </c>
      <c r="L75" s="9">
        <v>0.5</v>
      </c>
      <c r="M75" s="9">
        <v>0.5</v>
      </c>
      <c r="N75" s="9">
        <v>0.5</v>
      </c>
      <c r="O75" s="9">
        <f t="shared" si="8"/>
        <v>7.5</v>
      </c>
      <c r="P75" s="9">
        <f t="shared" si="9"/>
        <v>9</v>
      </c>
      <c r="Q75" s="11">
        <f t="shared" si="10"/>
        <v>0.83333333333333337</v>
      </c>
      <c r="R75" s="9" t="str">
        <f t="shared" si="11"/>
        <v>High</v>
      </c>
      <c r="S75" s="9" t="s">
        <v>346</v>
      </c>
    </row>
    <row r="76" spans="1:19" ht="94.5">
      <c r="A76" s="9" t="s">
        <v>347</v>
      </c>
      <c r="B76" s="9">
        <v>2022</v>
      </c>
      <c r="C76" s="9" t="s">
        <v>348</v>
      </c>
      <c r="D76" s="16" t="s">
        <v>53</v>
      </c>
      <c r="E76" s="16" t="s">
        <v>349</v>
      </c>
      <c r="F76" s="9">
        <v>1</v>
      </c>
      <c r="G76" s="9">
        <v>1</v>
      </c>
      <c r="H76" s="9">
        <v>1</v>
      </c>
      <c r="I76" s="9">
        <v>1</v>
      </c>
      <c r="J76" s="9">
        <v>1</v>
      </c>
      <c r="K76" s="9">
        <v>1</v>
      </c>
      <c r="L76" s="9">
        <v>1</v>
      </c>
      <c r="M76" s="9">
        <v>0.5</v>
      </c>
      <c r="N76" s="9">
        <v>1</v>
      </c>
      <c r="O76" s="9">
        <f t="shared" si="8"/>
        <v>8.5</v>
      </c>
      <c r="P76" s="9">
        <f t="shared" si="9"/>
        <v>9</v>
      </c>
      <c r="Q76" s="11">
        <f t="shared" si="10"/>
        <v>0.94444444444444442</v>
      </c>
      <c r="R76" s="9" t="str">
        <f t="shared" si="11"/>
        <v>High</v>
      </c>
      <c r="S76" s="9" t="s">
        <v>350</v>
      </c>
    </row>
    <row r="77" spans="1:19" ht="94.5">
      <c r="A77" s="9" t="s">
        <v>351</v>
      </c>
      <c r="B77" s="9">
        <v>2022</v>
      </c>
      <c r="C77" s="9" t="s">
        <v>352</v>
      </c>
      <c r="D77" s="16" t="s">
        <v>53</v>
      </c>
      <c r="E77" s="16" t="s">
        <v>353</v>
      </c>
      <c r="F77" s="9">
        <v>1</v>
      </c>
      <c r="G77" s="9">
        <v>1</v>
      </c>
      <c r="H77" s="9">
        <v>1</v>
      </c>
      <c r="I77" s="9">
        <v>1</v>
      </c>
      <c r="J77" s="9">
        <v>1</v>
      </c>
      <c r="K77" s="9">
        <v>1</v>
      </c>
      <c r="L77" s="9">
        <v>1</v>
      </c>
      <c r="M77" s="9">
        <v>1</v>
      </c>
      <c r="N77" s="9">
        <v>0.5</v>
      </c>
      <c r="O77" s="9">
        <f t="shared" si="8"/>
        <v>8.5</v>
      </c>
      <c r="P77" s="9">
        <f t="shared" si="9"/>
        <v>9</v>
      </c>
      <c r="Q77" s="11">
        <f t="shared" si="10"/>
        <v>0.94444444444444442</v>
      </c>
      <c r="R77" s="9" t="str">
        <f t="shared" si="11"/>
        <v>High</v>
      </c>
      <c r="S77" s="9" t="s">
        <v>354</v>
      </c>
    </row>
    <row r="78" spans="1:19" ht="78.75">
      <c r="A78" s="9" t="s">
        <v>355</v>
      </c>
      <c r="B78" s="9">
        <v>2022</v>
      </c>
      <c r="C78" s="9" t="s">
        <v>356</v>
      </c>
      <c r="D78" s="16" t="s">
        <v>53</v>
      </c>
      <c r="E78" s="16" t="s">
        <v>357</v>
      </c>
      <c r="F78" s="9">
        <v>1</v>
      </c>
      <c r="G78" s="9">
        <v>1</v>
      </c>
      <c r="H78" s="9">
        <v>1</v>
      </c>
      <c r="I78" s="9">
        <v>1</v>
      </c>
      <c r="J78" s="9">
        <v>1</v>
      </c>
      <c r="K78" s="9">
        <v>1</v>
      </c>
      <c r="L78" s="9">
        <v>1</v>
      </c>
      <c r="M78" s="9">
        <v>1</v>
      </c>
      <c r="N78" s="9">
        <v>1</v>
      </c>
      <c r="O78" s="9">
        <f t="shared" si="8"/>
        <v>9</v>
      </c>
      <c r="P78" s="9">
        <f t="shared" si="9"/>
        <v>9</v>
      </c>
      <c r="Q78" s="11">
        <f t="shared" si="10"/>
        <v>1</v>
      </c>
      <c r="R78" s="9" t="str">
        <f t="shared" si="11"/>
        <v>High</v>
      </c>
      <c r="S78" s="9" t="s">
        <v>358</v>
      </c>
    </row>
    <row r="79" spans="1:19" ht="66" customHeight="1">
      <c r="A79" s="3" t="s">
        <v>359</v>
      </c>
      <c r="B79" s="3">
        <v>2022</v>
      </c>
      <c r="C79" s="3" t="s">
        <v>360</v>
      </c>
      <c r="D79" s="17" t="s">
        <v>53</v>
      </c>
      <c r="E79" s="17" t="s">
        <v>361</v>
      </c>
      <c r="F79" s="17">
        <v>1</v>
      </c>
      <c r="G79" s="17">
        <v>1</v>
      </c>
      <c r="H79" s="17">
        <v>1</v>
      </c>
      <c r="I79" s="17">
        <v>1</v>
      </c>
      <c r="J79" s="17">
        <v>1</v>
      </c>
      <c r="K79" s="17">
        <v>1</v>
      </c>
      <c r="L79" s="17">
        <v>1</v>
      </c>
      <c r="M79" s="17">
        <v>1</v>
      </c>
      <c r="N79" s="17">
        <v>1</v>
      </c>
      <c r="O79" s="3">
        <f t="shared" si="8"/>
        <v>9</v>
      </c>
      <c r="P79" s="3">
        <f t="shared" si="9"/>
        <v>9</v>
      </c>
      <c r="Q79" s="18">
        <f t="shared" si="10"/>
        <v>1</v>
      </c>
      <c r="R79" s="3" t="str">
        <f t="shared" si="11"/>
        <v>High</v>
      </c>
      <c r="S79" s="3" t="s">
        <v>362</v>
      </c>
    </row>
    <row r="80" spans="1:19" ht="79.150000000000006" customHeight="1">
      <c r="A80" s="3" t="s">
        <v>363</v>
      </c>
      <c r="B80" s="3">
        <v>2022</v>
      </c>
      <c r="C80" s="3" t="s">
        <v>364</v>
      </c>
      <c r="D80" s="17" t="s">
        <v>53</v>
      </c>
      <c r="E80" s="17" t="s">
        <v>365</v>
      </c>
      <c r="F80" s="17">
        <v>1</v>
      </c>
      <c r="G80" s="17">
        <v>1</v>
      </c>
      <c r="H80" s="17">
        <v>1</v>
      </c>
      <c r="I80" s="17">
        <v>1</v>
      </c>
      <c r="J80" s="17">
        <v>1</v>
      </c>
      <c r="K80" s="17">
        <v>1</v>
      </c>
      <c r="L80" s="17">
        <v>1</v>
      </c>
      <c r="M80" s="19">
        <v>0.5</v>
      </c>
      <c r="N80" s="17">
        <v>1</v>
      </c>
      <c r="O80" s="3">
        <f t="shared" si="8"/>
        <v>8.5</v>
      </c>
      <c r="P80" s="3">
        <f t="shared" si="9"/>
        <v>9</v>
      </c>
      <c r="Q80" s="18">
        <f t="shared" si="10"/>
        <v>0.94444444444444442</v>
      </c>
      <c r="R80" s="3" t="str">
        <f t="shared" si="11"/>
        <v>High</v>
      </c>
      <c r="S80" s="3" t="s">
        <v>366</v>
      </c>
    </row>
    <row r="81" spans="1:19" ht="66" customHeight="1">
      <c r="A81" s="3" t="s">
        <v>367</v>
      </c>
      <c r="B81" s="3">
        <v>2023</v>
      </c>
      <c r="C81" s="3" t="s">
        <v>368</v>
      </c>
      <c r="D81" s="17" t="s">
        <v>53</v>
      </c>
      <c r="E81" s="17" t="s">
        <v>369</v>
      </c>
      <c r="F81" s="17">
        <v>1</v>
      </c>
      <c r="G81" s="17">
        <v>1</v>
      </c>
      <c r="H81" s="17">
        <v>1</v>
      </c>
      <c r="I81" s="17">
        <v>1</v>
      </c>
      <c r="J81" s="17">
        <v>1</v>
      </c>
      <c r="K81" s="17">
        <v>1</v>
      </c>
      <c r="L81" s="17">
        <v>1</v>
      </c>
      <c r="M81" s="17">
        <v>1</v>
      </c>
      <c r="N81" s="17">
        <v>1</v>
      </c>
      <c r="O81" s="3">
        <f t="shared" si="8"/>
        <v>9</v>
      </c>
      <c r="P81" s="3">
        <f t="shared" si="9"/>
        <v>9</v>
      </c>
      <c r="Q81" s="18">
        <f t="shared" si="10"/>
        <v>1</v>
      </c>
      <c r="R81" s="3" t="str">
        <f t="shared" si="11"/>
        <v>High</v>
      </c>
      <c r="S81" s="3" t="s">
        <v>370</v>
      </c>
    </row>
    <row r="82" spans="1:19" ht="66" customHeight="1">
      <c r="A82" s="3" t="s">
        <v>371</v>
      </c>
      <c r="B82" s="3">
        <v>2023</v>
      </c>
      <c r="C82" s="3" t="s">
        <v>372</v>
      </c>
      <c r="D82" s="17" t="s">
        <v>53</v>
      </c>
      <c r="E82" s="17" t="s">
        <v>373</v>
      </c>
      <c r="F82" s="17">
        <v>1</v>
      </c>
      <c r="G82" s="17">
        <v>1</v>
      </c>
      <c r="H82" s="17">
        <v>1</v>
      </c>
      <c r="I82" s="17">
        <v>1</v>
      </c>
      <c r="J82" s="17">
        <v>1</v>
      </c>
      <c r="K82" s="17">
        <v>1</v>
      </c>
      <c r="L82" s="17">
        <v>1</v>
      </c>
      <c r="M82" s="17">
        <v>1</v>
      </c>
      <c r="N82" s="19">
        <v>0.5</v>
      </c>
      <c r="O82" s="3">
        <f t="shared" si="8"/>
        <v>8.5</v>
      </c>
      <c r="P82" s="3">
        <f t="shared" si="9"/>
        <v>9</v>
      </c>
      <c r="Q82" s="18">
        <f t="shared" si="10"/>
        <v>0.94444444444444442</v>
      </c>
      <c r="R82" s="3" t="str">
        <f t="shared" si="11"/>
        <v>High</v>
      </c>
      <c r="S82" s="3" t="s">
        <v>374</v>
      </c>
    </row>
    <row r="83" spans="1:19" ht="79.150000000000006" customHeight="1">
      <c r="A83" s="3" t="s">
        <v>375</v>
      </c>
      <c r="B83" s="3">
        <v>2023</v>
      </c>
      <c r="C83" s="3" t="s">
        <v>376</v>
      </c>
      <c r="D83" s="17" t="s">
        <v>53</v>
      </c>
      <c r="E83" s="17" t="s">
        <v>377</v>
      </c>
      <c r="F83" s="17">
        <v>1</v>
      </c>
      <c r="G83" s="17">
        <v>1</v>
      </c>
      <c r="H83" s="17">
        <v>1</v>
      </c>
      <c r="I83" s="17">
        <v>1</v>
      </c>
      <c r="J83" s="17">
        <v>1</v>
      </c>
      <c r="K83" s="17">
        <v>1</v>
      </c>
      <c r="L83" s="17">
        <v>1</v>
      </c>
      <c r="M83" s="19">
        <v>0.5</v>
      </c>
      <c r="N83" s="19">
        <v>0.5</v>
      </c>
      <c r="O83" s="3">
        <f t="shared" si="8"/>
        <v>8</v>
      </c>
      <c r="P83" s="3">
        <f t="shared" si="9"/>
        <v>9</v>
      </c>
      <c r="Q83" s="18">
        <f t="shared" si="10"/>
        <v>0.88888888888888884</v>
      </c>
      <c r="R83" s="3" t="str">
        <f t="shared" si="11"/>
        <v>High</v>
      </c>
      <c r="S83" s="3" t="s">
        <v>378</v>
      </c>
    </row>
    <row r="84" spans="1:19" ht="66" customHeight="1">
      <c r="A84" s="3" t="s">
        <v>379</v>
      </c>
      <c r="B84" s="3">
        <v>2023</v>
      </c>
      <c r="C84" s="3" t="s">
        <v>380</v>
      </c>
      <c r="D84" s="17" t="s">
        <v>53</v>
      </c>
      <c r="E84" s="17" t="s">
        <v>381</v>
      </c>
      <c r="F84" s="17">
        <v>1</v>
      </c>
      <c r="G84" s="17">
        <v>1</v>
      </c>
      <c r="H84" s="17">
        <v>1</v>
      </c>
      <c r="I84" s="17">
        <v>1</v>
      </c>
      <c r="J84" s="17">
        <v>1</v>
      </c>
      <c r="K84" s="17">
        <v>1</v>
      </c>
      <c r="L84" s="19">
        <v>0.5</v>
      </c>
      <c r="M84" s="19">
        <v>0.5</v>
      </c>
      <c r="N84" s="19">
        <v>0.5</v>
      </c>
      <c r="O84" s="3">
        <f t="shared" si="8"/>
        <v>7.5</v>
      </c>
      <c r="P84" s="3">
        <f t="shared" si="9"/>
        <v>9</v>
      </c>
      <c r="Q84" s="18">
        <f t="shared" si="10"/>
        <v>0.83333333333333337</v>
      </c>
      <c r="R84" s="3" t="str">
        <f t="shared" si="11"/>
        <v>High</v>
      </c>
      <c r="S84" s="3" t="s">
        <v>382</v>
      </c>
    </row>
    <row r="85" spans="1:19" ht="110.25">
      <c r="A85" s="9" t="s">
        <v>383</v>
      </c>
      <c r="B85" s="9">
        <v>2023</v>
      </c>
      <c r="C85" s="9" t="s">
        <v>384</v>
      </c>
      <c r="D85" s="20" t="s">
        <v>53</v>
      </c>
      <c r="E85" s="20" t="s">
        <v>385</v>
      </c>
      <c r="F85" s="9">
        <v>1</v>
      </c>
      <c r="G85" s="9">
        <v>1</v>
      </c>
      <c r="H85" s="9">
        <v>1</v>
      </c>
      <c r="I85" s="9">
        <v>1</v>
      </c>
      <c r="J85" s="9">
        <v>1</v>
      </c>
      <c r="K85" s="9">
        <v>1</v>
      </c>
      <c r="L85" s="9">
        <v>0.5</v>
      </c>
      <c r="M85" s="9">
        <v>1</v>
      </c>
      <c r="N85" s="9">
        <v>1</v>
      </c>
      <c r="O85" s="9">
        <f t="shared" si="8"/>
        <v>8.5</v>
      </c>
      <c r="P85" s="9">
        <f t="shared" si="9"/>
        <v>9</v>
      </c>
      <c r="Q85" s="11">
        <f t="shared" si="10"/>
        <v>0.94444444444444442</v>
      </c>
      <c r="R85" s="9" t="str">
        <f t="shared" si="11"/>
        <v>High</v>
      </c>
      <c r="S85" s="9" t="s">
        <v>386</v>
      </c>
    </row>
    <row r="86" spans="1:19" ht="94.5">
      <c r="A86" s="9" t="s">
        <v>387</v>
      </c>
      <c r="B86" s="9">
        <v>2023</v>
      </c>
      <c r="C86" s="9" t="s">
        <v>388</v>
      </c>
      <c r="D86" s="20" t="s">
        <v>53</v>
      </c>
      <c r="E86" s="20" t="s">
        <v>389</v>
      </c>
      <c r="F86" s="9">
        <v>1</v>
      </c>
      <c r="G86" s="9">
        <v>1</v>
      </c>
      <c r="H86" s="9">
        <v>1</v>
      </c>
      <c r="I86" s="9">
        <v>1</v>
      </c>
      <c r="J86" s="9">
        <v>1</v>
      </c>
      <c r="K86" s="9">
        <v>1</v>
      </c>
      <c r="L86" s="9">
        <v>0</v>
      </c>
      <c r="M86" s="9">
        <v>1</v>
      </c>
      <c r="N86" s="9">
        <v>1</v>
      </c>
      <c r="O86" s="9">
        <f t="shared" si="8"/>
        <v>8</v>
      </c>
      <c r="P86" s="9">
        <f t="shared" si="9"/>
        <v>9</v>
      </c>
      <c r="Q86" s="11">
        <f t="shared" si="10"/>
        <v>0.88888888888888884</v>
      </c>
      <c r="R86" s="9" t="str">
        <f t="shared" si="11"/>
        <v>High</v>
      </c>
      <c r="S86" s="9" t="s">
        <v>390</v>
      </c>
    </row>
    <row r="87" spans="1:19" ht="94.5">
      <c r="A87" s="9" t="s">
        <v>391</v>
      </c>
      <c r="B87" s="9">
        <v>2023</v>
      </c>
      <c r="C87" s="9" t="s">
        <v>392</v>
      </c>
      <c r="D87" s="20" t="s">
        <v>53</v>
      </c>
      <c r="E87" s="20" t="s">
        <v>393</v>
      </c>
      <c r="F87" s="9">
        <v>1</v>
      </c>
      <c r="G87" s="9">
        <v>1</v>
      </c>
      <c r="H87" s="9">
        <v>1</v>
      </c>
      <c r="I87" s="9">
        <v>1</v>
      </c>
      <c r="J87" s="9">
        <v>1</v>
      </c>
      <c r="K87" s="9">
        <v>1</v>
      </c>
      <c r="L87" s="9">
        <v>1</v>
      </c>
      <c r="M87" s="9">
        <v>1</v>
      </c>
      <c r="N87" s="9">
        <v>1</v>
      </c>
      <c r="O87" s="9">
        <f t="shared" si="8"/>
        <v>9</v>
      </c>
      <c r="P87" s="9">
        <f t="shared" si="9"/>
        <v>9</v>
      </c>
      <c r="Q87" s="11">
        <f t="shared" si="10"/>
        <v>1</v>
      </c>
      <c r="R87" s="9" t="str">
        <f t="shared" si="11"/>
        <v>High</v>
      </c>
      <c r="S87" s="9" t="s">
        <v>394</v>
      </c>
    </row>
    <row r="88" spans="1:19" ht="78.75">
      <c r="A88" s="9" t="s">
        <v>395</v>
      </c>
      <c r="B88" s="9">
        <v>2023</v>
      </c>
      <c r="C88" s="9" t="s">
        <v>396</v>
      </c>
      <c r="D88" s="20" t="s">
        <v>53</v>
      </c>
      <c r="E88" s="20" t="s">
        <v>397</v>
      </c>
      <c r="F88" s="9">
        <v>1</v>
      </c>
      <c r="G88" s="9">
        <v>1</v>
      </c>
      <c r="H88" s="9">
        <v>1</v>
      </c>
      <c r="I88" s="9">
        <v>1</v>
      </c>
      <c r="J88" s="9">
        <v>1</v>
      </c>
      <c r="K88" s="9">
        <v>1</v>
      </c>
      <c r="L88" s="9">
        <v>1</v>
      </c>
      <c r="M88" s="9">
        <v>1</v>
      </c>
      <c r="N88" s="9">
        <v>1</v>
      </c>
      <c r="O88" s="9">
        <f t="shared" si="8"/>
        <v>9</v>
      </c>
      <c r="P88" s="9">
        <f t="shared" si="9"/>
        <v>9</v>
      </c>
      <c r="Q88" s="11">
        <f t="shared" si="10"/>
        <v>1</v>
      </c>
      <c r="R88" s="9" t="str">
        <f t="shared" si="11"/>
        <v>High</v>
      </c>
      <c r="S88" s="9" t="s">
        <v>398</v>
      </c>
    </row>
    <row r="89" spans="1:19" ht="110.25">
      <c r="A89" s="9" t="s">
        <v>399</v>
      </c>
      <c r="B89" s="9">
        <v>2023</v>
      </c>
      <c r="C89" s="9" t="s">
        <v>400</v>
      </c>
      <c r="D89" s="20" t="s">
        <v>53</v>
      </c>
      <c r="E89" s="20" t="s">
        <v>401</v>
      </c>
      <c r="F89" s="9">
        <v>1</v>
      </c>
      <c r="G89" s="9">
        <v>1</v>
      </c>
      <c r="H89" s="9">
        <v>1</v>
      </c>
      <c r="I89" s="9">
        <v>1</v>
      </c>
      <c r="J89" s="9">
        <v>1</v>
      </c>
      <c r="K89" s="9">
        <v>1</v>
      </c>
      <c r="L89" s="9">
        <v>0</v>
      </c>
      <c r="M89" s="9">
        <v>0.5</v>
      </c>
      <c r="N89" s="9">
        <v>0.5</v>
      </c>
      <c r="O89" s="9">
        <f t="shared" si="8"/>
        <v>7</v>
      </c>
      <c r="P89" s="9">
        <f t="shared" si="9"/>
        <v>9</v>
      </c>
      <c r="Q89" s="11">
        <f t="shared" si="10"/>
        <v>0.77777777777777779</v>
      </c>
      <c r="R89" s="9" t="str">
        <f t="shared" si="11"/>
        <v>High</v>
      </c>
      <c r="S89" s="9" t="s">
        <v>402</v>
      </c>
    </row>
    <row r="90" spans="1:19" ht="110.25">
      <c r="A90" s="9" t="s">
        <v>403</v>
      </c>
      <c r="B90" s="9">
        <v>2023</v>
      </c>
      <c r="C90" s="9" t="s">
        <v>404</v>
      </c>
      <c r="D90" s="20" t="s">
        <v>53</v>
      </c>
      <c r="E90" s="20" t="s">
        <v>405</v>
      </c>
      <c r="F90" s="9">
        <v>1</v>
      </c>
      <c r="G90" s="9">
        <v>1</v>
      </c>
      <c r="H90" s="9">
        <v>0.5</v>
      </c>
      <c r="I90" s="9">
        <v>0.5</v>
      </c>
      <c r="J90" s="9">
        <v>0.5</v>
      </c>
      <c r="K90" s="9">
        <v>0.5</v>
      </c>
      <c r="L90" s="9">
        <v>0</v>
      </c>
      <c r="M90" s="9">
        <v>0.5</v>
      </c>
      <c r="N90" s="9">
        <v>0.5</v>
      </c>
      <c r="O90" s="9">
        <f t="shared" si="8"/>
        <v>5</v>
      </c>
      <c r="P90" s="9">
        <f t="shared" si="9"/>
        <v>9</v>
      </c>
      <c r="Q90" s="11">
        <f t="shared" si="10"/>
        <v>0.55555555555555558</v>
      </c>
      <c r="R90" s="9" t="str">
        <f t="shared" si="11"/>
        <v>Moderate</v>
      </c>
      <c r="S90" s="9" t="s">
        <v>406</v>
      </c>
    </row>
    <row r="91" spans="1:19" ht="94.5">
      <c r="A91" s="9" t="s">
        <v>407</v>
      </c>
      <c r="B91" s="9">
        <v>2024</v>
      </c>
      <c r="C91" s="9" t="s">
        <v>408</v>
      </c>
      <c r="D91" s="20" t="s">
        <v>53</v>
      </c>
      <c r="E91" s="20" t="s">
        <v>409</v>
      </c>
      <c r="F91" s="9">
        <v>1</v>
      </c>
      <c r="G91" s="9">
        <v>1</v>
      </c>
      <c r="H91" s="9">
        <v>1</v>
      </c>
      <c r="I91" s="9">
        <v>0.5</v>
      </c>
      <c r="J91" s="9">
        <v>0.5</v>
      </c>
      <c r="K91" s="9">
        <v>1</v>
      </c>
      <c r="L91" s="9">
        <v>0</v>
      </c>
      <c r="M91" s="9">
        <v>0.5</v>
      </c>
      <c r="N91" s="9">
        <v>0.5</v>
      </c>
      <c r="O91" s="9">
        <f t="shared" si="8"/>
        <v>6</v>
      </c>
      <c r="P91" s="9">
        <f t="shared" si="9"/>
        <v>9</v>
      </c>
      <c r="Q91" s="11">
        <f t="shared" si="10"/>
        <v>0.66666666666666663</v>
      </c>
      <c r="R91" s="9" t="str">
        <f t="shared" si="11"/>
        <v>Moderate</v>
      </c>
      <c r="S91" s="9" t="s">
        <v>410</v>
      </c>
    </row>
    <row r="92" spans="1:19" ht="78.75">
      <c r="A92" s="9" t="s">
        <v>411</v>
      </c>
      <c r="B92" s="9">
        <v>2024</v>
      </c>
      <c r="C92" s="9" t="s">
        <v>412</v>
      </c>
      <c r="D92" s="20" t="s">
        <v>53</v>
      </c>
      <c r="E92" s="20" t="s">
        <v>413</v>
      </c>
      <c r="F92" s="9">
        <v>1</v>
      </c>
      <c r="G92" s="9">
        <v>1</v>
      </c>
      <c r="H92" s="9">
        <v>1</v>
      </c>
      <c r="I92" s="9">
        <v>1</v>
      </c>
      <c r="J92" s="9">
        <v>1</v>
      </c>
      <c r="K92" s="9">
        <v>1</v>
      </c>
      <c r="L92" s="9">
        <v>1</v>
      </c>
      <c r="M92" s="9">
        <v>1</v>
      </c>
      <c r="N92" s="9">
        <v>1</v>
      </c>
      <c r="O92" s="9">
        <f t="shared" si="8"/>
        <v>9</v>
      </c>
      <c r="P92" s="9">
        <f t="shared" si="9"/>
        <v>9</v>
      </c>
      <c r="Q92" s="11">
        <f t="shared" si="10"/>
        <v>1</v>
      </c>
      <c r="R92" s="9" t="str">
        <f t="shared" si="11"/>
        <v>High</v>
      </c>
      <c r="S92" s="9" t="s">
        <v>414</v>
      </c>
    </row>
    <row r="93" spans="1:19" ht="94.5">
      <c r="A93" s="9" t="s">
        <v>415</v>
      </c>
      <c r="B93" s="9">
        <v>2024</v>
      </c>
      <c r="C93" s="9" t="s">
        <v>416</v>
      </c>
      <c r="D93" s="20" t="s">
        <v>53</v>
      </c>
      <c r="E93" s="20" t="s">
        <v>417</v>
      </c>
      <c r="F93" s="9">
        <v>1</v>
      </c>
      <c r="G93" s="9">
        <v>1</v>
      </c>
      <c r="H93" s="9">
        <v>1</v>
      </c>
      <c r="I93" s="9">
        <v>1</v>
      </c>
      <c r="J93" s="9">
        <v>1</v>
      </c>
      <c r="K93" s="9">
        <v>1</v>
      </c>
      <c r="L93" s="9">
        <v>1</v>
      </c>
      <c r="M93" s="9">
        <v>1</v>
      </c>
      <c r="N93" s="9">
        <v>0.5</v>
      </c>
      <c r="O93" s="9">
        <f t="shared" si="8"/>
        <v>8.5</v>
      </c>
      <c r="P93" s="9">
        <f t="shared" si="9"/>
        <v>9</v>
      </c>
      <c r="Q93" s="11">
        <f t="shared" si="10"/>
        <v>0.94444444444444442</v>
      </c>
      <c r="R93" s="9" t="str">
        <f t="shared" si="11"/>
        <v>High</v>
      </c>
      <c r="S93" s="9" t="s">
        <v>418</v>
      </c>
    </row>
    <row r="94" spans="1:19" ht="110.25">
      <c r="A94" s="9" t="s">
        <v>419</v>
      </c>
      <c r="B94" s="9">
        <v>2025</v>
      </c>
      <c r="C94" s="9" t="s">
        <v>420</v>
      </c>
      <c r="D94" s="20" t="s">
        <v>53</v>
      </c>
      <c r="E94" s="20" t="s">
        <v>421</v>
      </c>
      <c r="F94" s="9">
        <v>1</v>
      </c>
      <c r="G94" s="9">
        <v>1</v>
      </c>
      <c r="H94" s="9">
        <v>1</v>
      </c>
      <c r="I94" s="9">
        <v>1</v>
      </c>
      <c r="J94" s="9">
        <v>1</v>
      </c>
      <c r="K94" s="9">
        <v>1</v>
      </c>
      <c r="L94" s="9">
        <v>1</v>
      </c>
      <c r="M94" s="9">
        <v>1</v>
      </c>
      <c r="N94" s="9">
        <v>0.5</v>
      </c>
      <c r="O94" s="9">
        <f t="shared" si="8"/>
        <v>8.5</v>
      </c>
      <c r="P94" s="9">
        <f t="shared" si="9"/>
        <v>9</v>
      </c>
      <c r="Q94" s="11">
        <f t="shared" si="10"/>
        <v>0.94444444444444442</v>
      </c>
      <c r="R94" s="9" t="str">
        <f t="shared" si="11"/>
        <v>High</v>
      </c>
      <c r="S94" s="9" t="s">
        <v>422</v>
      </c>
    </row>
    <row r="95" spans="1:19" ht="110.25">
      <c r="A95" s="9" t="s">
        <v>423</v>
      </c>
      <c r="B95" s="9">
        <v>2025</v>
      </c>
      <c r="C95" s="9" t="s">
        <v>424</v>
      </c>
      <c r="D95" s="20" t="s">
        <v>53</v>
      </c>
      <c r="E95" s="20" t="s">
        <v>425</v>
      </c>
      <c r="F95" s="9">
        <v>1</v>
      </c>
      <c r="G95" s="9">
        <v>1</v>
      </c>
      <c r="H95" s="9">
        <v>1</v>
      </c>
      <c r="I95" s="9">
        <v>1</v>
      </c>
      <c r="J95" s="9">
        <v>1</v>
      </c>
      <c r="K95" s="9">
        <v>1</v>
      </c>
      <c r="L95" s="9">
        <v>1</v>
      </c>
      <c r="M95" s="9">
        <v>1</v>
      </c>
      <c r="N95" s="9">
        <v>0.5</v>
      </c>
      <c r="O95" s="9">
        <f t="shared" si="8"/>
        <v>8.5</v>
      </c>
      <c r="P95" s="9">
        <f t="shared" si="9"/>
        <v>9</v>
      </c>
      <c r="Q95" s="11">
        <f t="shared" si="10"/>
        <v>0.94444444444444442</v>
      </c>
      <c r="R95" s="9" t="str">
        <f t="shared" si="11"/>
        <v>High</v>
      </c>
      <c r="S95" s="9" t="s">
        <v>426</v>
      </c>
    </row>
    <row r="96" spans="1:19" ht="110.25">
      <c r="A96" s="9" t="s">
        <v>427</v>
      </c>
      <c r="B96" s="9">
        <v>2025</v>
      </c>
      <c r="C96" s="9" t="s">
        <v>428</v>
      </c>
      <c r="D96" s="20" t="s">
        <v>53</v>
      </c>
      <c r="E96" s="20" t="s">
        <v>429</v>
      </c>
      <c r="F96" s="9">
        <v>1</v>
      </c>
      <c r="G96" s="9">
        <v>1</v>
      </c>
      <c r="H96" s="9">
        <v>1</v>
      </c>
      <c r="I96" s="9">
        <v>1</v>
      </c>
      <c r="J96" s="9">
        <v>1</v>
      </c>
      <c r="K96" s="9">
        <v>1</v>
      </c>
      <c r="L96" s="9">
        <v>1</v>
      </c>
      <c r="M96" s="9">
        <v>1</v>
      </c>
      <c r="N96" s="9">
        <v>1</v>
      </c>
      <c r="O96" s="9">
        <f t="shared" si="8"/>
        <v>9</v>
      </c>
      <c r="P96" s="9">
        <f t="shared" si="9"/>
        <v>9</v>
      </c>
      <c r="Q96" s="11">
        <f t="shared" si="10"/>
        <v>1</v>
      </c>
      <c r="R96" s="9" t="str">
        <f t="shared" si="11"/>
        <v>High</v>
      </c>
      <c r="S96" s="9" t="s">
        <v>430</v>
      </c>
    </row>
    <row r="97" spans="1:19" ht="94.5">
      <c r="A97" s="9" t="s">
        <v>431</v>
      </c>
      <c r="B97" s="9">
        <v>2026</v>
      </c>
      <c r="C97" s="9" t="s">
        <v>432</v>
      </c>
      <c r="D97" s="20" t="s">
        <v>53</v>
      </c>
      <c r="E97" s="20" t="s">
        <v>433</v>
      </c>
      <c r="F97" s="9">
        <v>1</v>
      </c>
      <c r="G97" s="9">
        <v>1</v>
      </c>
      <c r="H97" s="9">
        <v>1</v>
      </c>
      <c r="I97" s="9">
        <v>1</v>
      </c>
      <c r="J97" s="9">
        <v>1</v>
      </c>
      <c r="K97" s="9">
        <v>1</v>
      </c>
      <c r="L97" s="9">
        <v>1</v>
      </c>
      <c r="M97" s="9">
        <v>1</v>
      </c>
      <c r="N97" s="9">
        <v>1</v>
      </c>
      <c r="O97" s="9">
        <f t="shared" si="8"/>
        <v>9</v>
      </c>
      <c r="P97" s="9">
        <f t="shared" si="9"/>
        <v>9</v>
      </c>
      <c r="Q97" s="11">
        <f t="shared" si="10"/>
        <v>1</v>
      </c>
      <c r="R97" s="9" t="str">
        <f t="shared" si="11"/>
        <v>High</v>
      </c>
      <c r="S97" s="9" t="s">
        <v>434</v>
      </c>
    </row>
  </sheetData>
  <mergeCells count="1">
    <mergeCell ref="A1:S1"/>
  </mergeCells>
  <conditionalFormatting sqref="F19:N78">
    <cfRule type="expression" dxfId="17" priority="1">
      <formula>F19=1</formula>
    </cfRule>
    <cfRule type="expression" dxfId="16" priority="2">
      <formula>F19=0.5</formula>
    </cfRule>
    <cfRule type="expression" dxfId="15" priority="3">
      <formula>F19=0</formula>
    </cfRule>
  </conditionalFormatting>
  <conditionalFormatting sqref="F85:N97">
    <cfRule type="expression" dxfId="14" priority="13">
      <formula>F85=1</formula>
    </cfRule>
    <cfRule type="expression" dxfId="13" priority="14">
      <formula>F85=0.5</formula>
    </cfRule>
    <cfRule type="expression" dxfId="12" priority="15">
      <formula>F85=0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K849"/>
  <sheetViews>
    <sheetView topLeftCell="A207" workbookViewId="0">
      <selection activeCell="A121" sqref="A121:XFD138"/>
    </sheetView>
  </sheetViews>
  <sheetFormatPr defaultRowHeight="15.75"/>
  <cols>
    <col min="1" max="1" width="11" style="25" customWidth="1"/>
    <col min="2" max="2" width="9" style="25" customWidth="1"/>
    <col min="3" max="3" width="38" style="25" customWidth="1"/>
    <col min="4" max="4" width="10" style="25" customWidth="1"/>
    <col min="5" max="5" width="57" style="25" customWidth="1"/>
    <col min="6" max="7" width="24" style="25" customWidth="1"/>
    <col min="8" max="11" width="18" style="25" customWidth="1"/>
    <col min="12" max="16384" width="9" style="25"/>
  </cols>
  <sheetData>
    <row r="1" spans="1:11" s="27" customFormat="1" ht="20.25">
      <c r="A1" s="30" t="s">
        <v>435</v>
      </c>
      <c r="B1" s="30"/>
      <c r="C1" s="30"/>
      <c r="D1" s="30"/>
      <c r="E1" s="30"/>
      <c r="F1" s="30"/>
      <c r="G1" s="30"/>
      <c r="H1" s="30"/>
      <c r="I1" s="30"/>
      <c r="J1" s="30"/>
      <c r="K1" s="30"/>
    </row>
    <row r="3" spans="1:11" s="28" customFormat="1" ht="37.5">
      <c r="A3" s="21" t="s">
        <v>41</v>
      </c>
      <c r="B3" s="21" t="s">
        <v>436</v>
      </c>
      <c r="C3" s="21" t="s">
        <v>437</v>
      </c>
      <c r="D3" s="21" t="s">
        <v>438</v>
      </c>
      <c r="E3" s="21" t="s">
        <v>439</v>
      </c>
      <c r="F3" s="21" t="s">
        <v>440</v>
      </c>
      <c r="G3" s="21" t="s">
        <v>441</v>
      </c>
      <c r="H3" s="21" t="s">
        <v>442</v>
      </c>
      <c r="I3" s="21" t="s">
        <v>443</v>
      </c>
      <c r="J3" s="21" t="s">
        <v>444</v>
      </c>
      <c r="K3" s="21" t="s">
        <v>445</v>
      </c>
    </row>
    <row r="4" spans="1:11" ht="220.5">
      <c r="A4" s="23" t="s">
        <v>51</v>
      </c>
      <c r="B4" s="23" t="s">
        <v>13</v>
      </c>
      <c r="C4" s="23" t="s">
        <v>14</v>
      </c>
      <c r="D4" s="23">
        <v>1</v>
      </c>
      <c r="E4" s="23" t="s">
        <v>446</v>
      </c>
      <c r="F4" s="23" t="s">
        <v>447</v>
      </c>
      <c r="G4" s="23" t="s">
        <v>448</v>
      </c>
      <c r="H4" s="23">
        <v>1</v>
      </c>
      <c r="I4" s="23" t="s">
        <v>1825</v>
      </c>
      <c r="J4" s="23">
        <v>1</v>
      </c>
      <c r="K4" s="23" t="s">
        <v>1826</v>
      </c>
    </row>
    <row r="5" spans="1:11" ht="204.75">
      <c r="A5" s="23" t="s">
        <v>51</v>
      </c>
      <c r="B5" s="23" t="s">
        <v>16</v>
      </c>
      <c r="C5" s="23" t="s">
        <v>17</v>
      </c>
      <c r="D5" s="23">
        <v>1</v>
      </c>
      <c r="E5" s="23" t="s">
        <v>449</v>
      </c>
      <c r="F5" s="23" t="s">
        <v>447</v>
      </c>
      <c r="G5" s="23" t="s">
        <v>450</v>
      </c>
      <c r="H5" s="23">
        <v>1</v>
      </c>
      <c r="I5" s="23" t="s">
        <v>1827</v>
      </c>
      <c r="J5" s="23">
        <v>1</v>
      </c>
      <c r="K5" s="23" t="s">
        <v>1826</v>
      </c>
    </row>
    <row r="6" spans="1:11" ht="157.5">
      <c r="A6" s="23" t="s">
        <v>51</v>
      </c>
      <c r="B6" s="23" t="s">
        <v>19</v>
      </c>
      <c r="C6" s="23" t="s">
        <v>20</v>
      </c>
      <c r="D6" s="23">
        <v>1</v>
      </c>
      <c r="E6" s="23" t="s">
        <v>451</v>
      </c>
      <c r="F6" s="23" t="s">
        <v>447</v>
      </c>
      <c r="G6" s="23" t="s">
        <v>452</v>
      </c>
      <c r="H6" s="23">
        <v>1</v>
      </c>
      <c r="I6" s="23" t="s">
        <v>1828</v>
      </c>
      <c r="J6" s="23">
        <v>1</v>
      </c>
      <c r="K6" s="23" t="s">
        <v>1826</v>
      </c>
    </row>
    <row r="7" spans="1:11" ht="173.25">
      <c r="A7" s="23" t="s">
        <v>51</v>
      </c>
      <c r="B7" s="23" t="s">
        <v>22</v>
      </c>
      <c r="C7" s="23" t="s">
        <v>23</v>
      </c>
      <c r="D7" s="23">
        <v>1</v>
      </c>
      <c r="E7" s="23" t="s">
        <v>453</v>
      </c>
      <c r="F7" s="23" t="s">
        <v>447</v>
      </c>
      <c r="G7" s="23" t="s">
        <v>454</v>
      </c>
      <c r="H7" s="23">
        <v>1</v>
      </c>
      <c r="I7" s="23" t="s">
        <v>1829</v>
      </c>
      <c r="J7" s="23">
        <v>1</v>
      </c>
      <c r="K7" s="23" t="s">
        <v>1826</v>
      </c>
    </row>
    <row r="8" spans="1:11" ht="157.5">
      <c r="A8" s="23" t="s">
        <v>51</v>
      </c>
      <c r="B8" s="23" t="s">
        <v>25</v>
      </c>
      <c r="C8" s="23" t="s">
        <v>26</v>
      </c>
      <c r="D8" s="23">
        <v>1</v>
      </c>
      <c r="E8" s="23" t="s">
        <v>455</v>
      </c>
      <c r="F8" s="23" t="s">
        <v>447</v>
      </c>
      <c r="G8" s="23" t="s">
        <v>456</v>
      </c>
      <c r="H8" s="23">
        <v>1</v>
      </c>
      <c r="I8" s="23" t="s">
        <v>1830</v>
      </c>
      <c r="J8" s="23">
        <v>1</v>
      </c>
      <c r="K8" s="23" t="s">
        <v>1826</v>
      </c>
    </row>
    <row r="9" spans="1:11" ht="141.75">
      <c r="A9" s="23" t="s">
        <v>51</v>
      </c>
      <c r="B9" s="23" t="s">
        <v>28</v>
      </c>
      <c r="C9" s="23" t="s">
        <v>29</v>
      </c>
      <c r="D9" s="23">
        <v>1</v>
      </c>
      <c r="E9" s="23" t="s">
        <v>457</v>
      </c>
      <c r="F9" s="23" t="s">
        <v>447</v>
      </c>
      <c r="G9" s="23" t="s">
        <v>458</v>
      </c>
      <c r="H9" s="23">
        <v>1</v>
      </c>
      <c r="I9" s="23" t="s">
        <v>1831</v>
      </c>
      <c r="J9" s="23">
        <v>1</v>
      </c>
      <c r="K9" s="23" t="s">
        <v>1826</v>
      </c>
    </row>
    <row r="10" spans="1:11" ht="220.5">
      <c r="A10" s="23" t="s">
        <v>51</v>
      </c>
      <c r="B10" s="23" t="s">
        <v>31</v>
      </c>
      <c r="C10" s="23" t="s">
        <v>32</v>
      </c>
      <c r="D10" s="23">
        <v>0.5</v>
      </c>
      <c r="E10" s="23" t="s">
        <v>459</v>
      </c>
      <c r="F10" s="23" t="s">
        <v>447</v>
      </c>
      <c r="G10" s="23" t="s">
        <v>460</v>
      </c>
      <c r="H10" s="23">
        <v>0.5</v>
      </c>
      <c r="I10" s="23" t="s">
        <v>1832</v>
      </c>
      <c r="J10" s="23">
        <v>0.5</v>
      </c>
      <c r="K10" s="23" t="s">
        <v>1833</v>
      </c>
    </row>
    <row r="11" spans="1:11" ht="189">
      <c r="A11" s="23" t="s">
        <v>51</v>
      </c>
      <c r="B11" s="23" t="s">
        <v>34</v>
      </c>
      <c r="C11" s="23" t="s">
        <v>35</v>
      </c>
      <c r="D11" s="23">
        <v>1</v>
      </c>
      <c r="E11" s="23" t="s">
        <v>461</v>
      </c>
      <c r="F11" s="23" t="s">
        <v>447</v>
      </c>
      <c r="G11" s="23" t="s">
        <v>462</v>
      </c>
      <c r="H11" s="23">
        <v>1</v>
      </c>
      <c r="I11" s="23" t="s">
        <v>1834</v>
      </c>
      <c r="J11" s="23">
        <v>1</v>
      </c>
      <c r="K11" s="23" t="s">
        <v>1826</v>
      </c>
    </row>
    <row r="12" spans="1:11" ht="141.75">
      <c r="A12" s="23" t="s">
        <v>51</v>
      </c>
      <c r="B12" s="23" t="s">
        <v>37</v>
      </c>
      <c r="C12" s="23" t="s">
        <v>38</v>
      </c>
      <c r="D12" s="23">
        <v>1</v>
      </c>
      <c r="E12" s="23" t="s">
        <v>463</v>
      </c>
      <c r="F12" s="23" t="s">
        <v>447</v>
      </c>
      <c r="G12" s="23" t="s">
        <v>464</v>
      </c>
      <c r="H12" s="23">
        <v>1</v>
      </c>
      <c r="I12" s="23" t="s">
        <v>1835</v>
      </c>
      <c r="J12" s="23">
        <v>1</v>
      </c>
      <c r="K12" s="23" t="s">
        <v>1826</v>
      </c>
    </row>
    <row r="13" spans="1:11" ht="189">
      <c r="A13" s="23" t="s">
        <v>56</v>
      </c>
      <c r="B13" s="23" t="s">
        <v>13</v>
      </c>
      <c r="C13" s="23" t="s">
        <v>14</v>
      </c>
      <c r="D13" s="23">
        <v>1</v>
      </c>
      <c r="E13" s="23" t="s">
        <v>465</v>
      </c>
      <c r="F13" s="23" t="s">
        <v>466</v>
      </c>
      <c r="G13" s="23" t="s">
        <v>448</v>
      </c>
      <c r="H13" s="23">
        <v>1</v>
      </c>
      <c r="I13" s="23" t="s">
        <v>1836</v>
      </c>
      <c r="J13" s="23">
        <v>1</v>
      </c>
      <c r="K13" s="23" t="s">
        <v>1826</v>
      </c>
    </row>
    <row r="14" spans="1:11" ht="173.25">
      <c r="A14" s="23" t="s">
        <v>56</v>
      </c>
      <c r="B14" s="23" t="s">
        <v>16</v>
      </c>
      <c r="C14" s="23" t="s">
        <v>17</v>
      </c>
      <c r="D14" s="23">
        <v>1</v>
      </c>
      <c r="E14" s="23" t="s">
        <v>467</v>
      </c>
      <c r="F14" s="23" t="s">
        <v>466</v>
      </c>
      <c r="G14" s="23" t="s">
        <v>468</v>
      </c>
      <c r="H14" s="23">
        <v>1</v>
      </c>
      <c r="I14" s="23" t="s">
        <v>1837</v>
      </c>
      <c r="J14" s="23">
        <v>1</v>
      </c>
      <c r="K14" s="23" t="s">
        <v>1826</v>
      </c>
    </row>
    <row r="15" spans="1:11" ht="173.25">
      <c r="A15" s="23" t="s">
        <v>56</v>
      </c>
      <c r="B15" s="23" t="s">
        <v>19</v>
      </c>
      <c r="C15" s="23" t="s">
        <v>20</v>
      </c>
      <c r="D15" s="23">
        <v>1</v>
      </c>
      <c r="E15" s="23" t="s">
        <v>469</v>
      </c>
      <c r="F15" s="23" t="s">
        <v>466</v>
      </c>
      <c r="G15" s="23" t="s">
        <v>470</v>
      </c>
      <c r="H15" s="23">
        <v>1</v>
      </c>
      <c r="I15" s="23" t="s">
        <v>1838</v>
      </c>
      <c r="J15" s="23">
        <v>1</v>
      </c>
      <c r="K15" s="23" t="s">
        <v>1826</v>
      </c>
    </row>
    <row r="16" spans="1:11" ht="157.5">
      <c r="A16" s="23" t="s">
        <v>56</v>
      </c>
      <c r="B16" s="23" t="s">
        <v>22</v>
      </c>
      <c r="C16" s="23" t="s">
        <v>23</v>
      </c>
      <c r="D16" s="23">
        <v>1</v>
      </c>
      <c r="E16" s="23" t="s">
        <v>471</v>
      </c>
      <c r="F16" s="23" t="s">
        <v>466</v>
      </c>
      <c r="G16" s="23" t="s">
        <v>472</v>
      </c>
      <c r="H16" s="23">
        <v>1</v>
      </c>
      <c r="I16" s="23" t="s">
        <v>1839</v>
      </c>
      <c r="J16" s="23">
        <v>1</v>
      </c>
      <c r="K16" s="23" t="s">
        <v>1826</v>
      </c>
    </row>
    <row r="17" spans="1:11" ht="267.75">
      <c r="A17" s="23" t="s">
        <v>56</v>
      </c>
      <c r="B17" s="23" t="s">
        <v>25</v>
      </c>
      <c r="C17" s="23" t="s">
        <v>26</v>
      </c>
      <c r="D17" s="23">
        <v>0.5</v>
      </c>
      <c r="E17" s="23" t="s">
        <v>473</v>
      </c>
      <c r="F17" s="23" t="s">
        <v>466</v>
      </c>
      <c r="G17" s="23" t="s">
        <v>470</v>
      </c>
      <c r="H17" s="23">
        <v>0.5</v>
      </c>
      <c r="I17" s="23" t="s">
        <v>1840</v>
      </c>
      <c r="J17" s="23">
        <v>0.5</v>
      </c>
      <c r="K17" s="23" t="s">
        <v>1833</v>
      </c>
    </row>
    <row r="18" spans="1:11" ht="173.25">
      <c r="A18" s="23" t="s">
        <v>56</v>
      </c>
      <c r="B18" s="23" t="s">
        <v>28</v>
      </c>
      <c r="C18" s="23" t="s">
        <v>29</v>
      </c>
      <c r="D18" s="23">
        <v>1</v>
      </c>
      <c r="E18" s="23" t="s">
        <v>474</v>
      </c>
      <c r="F18" s="23" t="s">
        <v>466</v>
      </c>
      <c r="G18" s="23" t="s">
        <v>475</v>
      </c>
      <c r="H18" s="23">
        <v>1</v>
      </c>
      <c r="I18" s="23" t="s">
        <v>1841</v>
      </c>
      <c r="J18" s="23">
        <v>1</v>
      </c>
      <c r="K18" s="23" t="s">
        <v>1826</v>
      </c>
    </row>
    <row r="19" spans="1:11" ht="236.25">
      <c r="A19" s="23" t="s">
        <v>56</v>
      </c>
      <c r="B19" s="23" t="s">
        <v>31</v>
      </c>
      <c r="C19" s="23" t="s">
        <v>32</v>
      </c>
      <c r="D19" s="23">
        <v>0.5</v>
      </c>
      <c r="E19" s="23" t="s">
        <v>476</v>
      </c>
      <c r="F19" s="23" t="s">
        <v>466</v>
      </c>
      <c r="G19" s="23" t="s">
        <v>477</v>
      </c>
      <c r="H19" s="23">
        <v>0.5</v>
      </c>
      <c r="I19" s="23" t="s">
        <v>1842</v>
      </c>
      <c r="J19" s="23">
        <v>0.5</v>
      </c>
      <c r="K19" s="23" t="s">
        <v>1833</v>
      </c>
    </row>
    <row r="20" spans="1:11" ht="189">
      <c r="A20" s="23" t="s">
        <v>56</v>
      </c>
      <c r="B20" s="23" t="s">
        <v>34</v>
      </c>
      <c r="C20" s="23" t="s">
        <v>35</v>
      </c>
      <c r="D20" s="23">
        <v>1</v>
      </c>
      <c r="E20" s="23" t="s">
        <v>478</v>
      </c>
      <c r="F20" s="23" t="s">
        <v>466</v>
      </c>
      <c r="G20" s="23" t="s">
        <v>479</v>
      </c>
      <c r="H20" s="23">
        <v>1</v>
      </c>
      <c r="I20" s="23" t="s">
        <v>1843</v>
      </c>
      <c r="J20" s="23">
        <v>1</v>
      </c>
      <c r="K20" s="23" t="s">
        <v>1826</v>
      </c>
    </row>
    <row r="21" spans="1:11" ht="189">
      <c r="A21" s="23" t="s">
        <v>56</v>
      </c>
      <c r="B21" s="23" t="s">
        <v>37</v>
      </c>
      <c r="C21" s="23" t="s">
        <v>38</v>
      </c>
      <c r="D21" s="23">
        <v>1</v>
      </c>
      <c r="E21" s="23" t="s">
        <v>480</v>
      </c>
      <c r="F21" s="23" t="s">
        <v>466</v>
      </c>
      <c r="G21" s="23" t="s">
        <v>481</v>
      </c>
      <c r="H21" s="23">
        <v>1</v>
      </c>
      <c r="I21" s="23" t="s">
        <v>1844</v>
      </c>
      <c r="J21" s="23">
        <v>1</v>
      </c>
      <c r="K21" s="23" t="s">
        <v>1826</v>
      </c>
    </row>
    <row r="22" spans="1:11" ht="189">
      <c r="A22" s="23" t="s">
        <v>60</v>
      </c>
      <c r="B22" s="23" t="s">
        <v>13</v>
      </c>
      <c r="C22" s="23" t="s">
        <v>14</v>
      </c>
      <c r="D22" s="23">
        <v>1</v>
      </c>
      <c r="E22" s="23" t="s">
        <v>482</v>
      </c>
      <c r="F22" s="23" t="s">
        <v>483</v>
      </c>
      <c r="G22" s="23" t="s">
        <v>484</v>
      </c>
      <c r="H22" s="23">
        <v>1</v>
      </c>
      <c r="I22" s="23" t="s">
        <v>1845</v>
      </c>
      <c r="J22" s="23">
        <v>1</v>
      </c>
      <c r="K22" s="23" t="s">
        <v>1826</v>
      </c>
    </row>
    <row r="23" spans="1:11" ht="173.25">
      <c r="A23" s="23" t="s">
        <v>60</v>
      </c>
      <c r="B23" s="23" t="s">
        <v>16</v>
      </c>
      <c r="C23" s="23" t="s">
        <v>17</v>
      </c>
      <c r="D23" s="23">
        <v>1</v>
      </c>
      <c r="E23" s="23" t="s">
        <v>485</v>
      </c>
      <c r="F23" s="23" t="s">
        <v>483</v>
      </c>
      <c r="G23" s="23" t="s">
        <v>486</v>
      </c>
      <c r="H23" s="23">
        <v>1</v>
      </c>
      <c r="I23" s="23" t="s">
        <v>1846</v>
      </c>
      <c r="J23" s="23">
        <v>1</v>
      </c>
      <c r="K23" s="23" t="s">
        <v>1826</v>
      </c>
    </row>
    <row r="24" spans="1:11" ht="173.25">
      <c r="A24" s="23" t="s">
        <v>60</v>
      </c>
      <c r="B24" s="23" t="s">
        <v>19</v>
      </c>
      <c r="C24" s="23" t="s">
        <v>20</v>
      </c>
      <c r="D24" s="23">
        <v>1</v>
      </c>
      <c r="E24" s="23" t="s">
        <v>487</v>
      </c>
      <c r="F24" s="23" t="s">
        <v>483</v>
      </c>
      <c r="G24" s="23" t="s">
        <v>488</v>
      </c>
      <c r="H24" s="23">
        <v>1</v>
      </c>
      <c r="I24" s="23" t="s">
        <v>1847</v>
      </c>
      <c r="J24" s="23">
        <v>1</v>
      </c>
      <c r="K24" s="23" t="s">
        <v>1826</v>
      </c>
    </row>
    <row r="25" spans="1:11" ht="173.25">
      <c r="A25" s="23" t="s">
        <v>60</v>
      </c>
      <c r="B25" s="23" t="s">
        <v>22</v>
      </c>
      <c r="C25" s="23" t="s">
        <v>23</v>
      </c>
      <c r="D25" s="23">
        <v>1</v>
      </c>
      <c r="E25" s="23" t="s">
        <v>489</v>
      </c>
      <c r="F25" s="23" t="s">
        <v>483</v>
      </c>
      <c r="G25" s="23" t="s">
        <v>490</v>
      </c>
      <c r="H25" s="23">
        <v>1</v>
      </c>
      <c r="I25" s="23" t="s">
        <v>1848</v>
      </c>
      <c r="J25" s="23">
        <v>1</v>
      </c>
      <c r="K25" s="23" t="s">
        <v>1826</v>
      </c>
    </row>
    <row r="26" spans="1:11" ht="157.5">
      <c r="A26" s="23" t="s">
        <v>60</v>
      </c>
      <c r="B26" s="23" t="s">
        <v>25</v>
      </c>
      <c r="C26" s="23" t="s">
        <v>26</v>
      </c>
      <c r="D26" s="23">
        <v>1</v>
      </c>
      <c r="E26" s="23" t="s">
        <v>491</v>
      </c>
      <c r="F26" s="23" t="s">
        <v>483</v>
      </c>
      <c r="G26" s="23" t="s">
        <v>488</v>
      </c>
      <c r="H26" s="23">
        <v>1</v>
      </c>
      <c r="I26" s="23" t="s">
        <v>1849</v>
      </c>
      <c r="J26" s="23">
        <v>1</v>
      </c>
      <c r="K26" s="23" t="s">
        <v>1826</v>
      </c>
    </row>
    <row r="27" spans="1:11" ht="173.25">
      <c r="A27" s="23" t="s">
        <v>60</v>
      </c>
      <c r="B27" s="23" t="s">
        <v>28</v>
      </c>
      <c r="C27" s="23" t="s">
        <v>29</v>
      </c>
      <c r="D27" s="23">
        <v>1</v>
      </c>
      <c r="E27" s="23" t="s">
        <v>492</v>
      </c>
      <c r="F27" s="23" t="s">
        <v>483</v>
      </c>
      <c r="G27" s="23" t="s">
        <v>488</v>
      </c>
      <c r="H27" s="23">
        <v>1</v>
      </c>
      <c r="I27" s="23" t="s">
        <v>1850</v>
      </c>
      <c r="J27" s="23">
        <v>1</v>
      </c>
      <c r="K27" s="23" t="s">
        <v>1826</v>
      </c>
    </row>
    <row r="28" spans="1:11" ht="267.75">
      <c r="A28" s="23" t="s">
        <v>60</v>
      </c>
      <c r="B28" s="23" t="s">
        <v>31</v>
      </c>
      <c r="C28" s="23" t="s">
        <v>32</v>
      </c>
      <c r="D28" s="23">
        <v>0.5</v>
      </c>
      <c r="E28" s="23" t="s">
        <v>493</v>
      </c>
      <c r="F28" s="23" t="s">
        <v>483</v>
      </c>
      <c r="G28" s="23" t="s">
        <v>494</v>
      </c>
      <c r="H28" s="23">
        <v>0.5</v>
      </c>
      <c r="I28" s="23" t="s">
        <v>1851</v>
      </c>
      <c r="J28" s="23">
        <v>0.5</v>
      </c>
      <c r="K28" s="23" t="s">
        <v>1833</v>
      </c>
    </row>
    <row r="29" spans="1:11" ht="157.5">
      <c r="A29" s="23" t="s">
        <v>60</v>
      </c>
      <c r="B29" s="23" t="s">
        <v>34</v>
      </c>
      <c r="C29" s="23" t="s">
        <v>35</v>
      </c>
      <c r="D29" s="23">
        <v>1</v>
      </c>
      <c r="E29" s="23" t="s">
        <v>495</v>
      </c>
      <c r="F29" s="23" t="s">
        <v>483</v>
      </c>
      <c r="G29" s="23" t="s">
        <v>496</v>
      </c>
      <c r="H29" s="23">
        <v>1</v>
      </c>
      <c r="I29" s="23" t="s">
        <v>1852</v>
      </c>
      <c r="J29" s="23">
        <v>1</v>
      </c>
      <c r="K29" s="23" t="s">
        <v>1826</v>
      </c>
    </row>
    <row r="30" spans="1:11" ht="236.25">
      <c r="A30" s="23" t="s">
        <v>60</v>
      </c>
      <c r="B30" s="23" t="s">
        <v>37</v>
      </c>
      <c r="C30" s="23" t="s">
        <v>38</v>
      </c>
      <c r="D30" s="23">
        <v>0.5</v>
      </c>
      <c r="E30" s="23" t="s">
        <v>497</v>
      </c>
      <c r="F30" s="23" t="s">
        <v>483</v>
      </c>
      <c r="G30" s="23" t="s">
        <v>498</v>
      </c>
      <c r="H30" s="23">
        <v>0.5</v>
      </c>
      <c r="I30" s="23" t="s">
        <v>1853</v>
      </c>
      <c r="J30" s="23">
        <v>0.5</v>
      </c>
      <c r="K30" s="23" t="s">
        <v>1833</v>
      </c>
    </row>
    <row r="31" spans="1:11" ht="173.25">
      <c r="A31" s="23" t="s">
        <v>64</v>
      </c>
      <c r="B31" s="23" t="s">
        <v>13</v>
      </c>
      <c r="C31" s="23" t="s">
        <v>14</v>
      </c>
      <c r="D31" s="23">
        <v>1</v>
      </c>
      <c r="E31" s="23" t="s">
        <v>499</v>
      </c>
      <c r="F31" s="23" t="s">
        <v>500</v>
      </c>
      <c r="G31" s="23" t="s">
        <v>501</v>
      </c>
      <c r="H31" s="23">
        <v>1</v>
      </c>
      <c r="I31" s="23" t="s">
        <v>1854</v>
      </c>
      <c r="J31" s="23">
        <v>1</v>
      </c>
      <c r="K31" s="23" t="s">
        <v>1826</v>
      </c>
    </row>
    <row r="32" spans="1:11" ht="189">
      <c r="A32" s="23" t="s">
        <v>64</v>
      </c>
      <c r="B32" s="23" t="s">
        <v>16</v>
      </c>
      <c r="C32" s="23" t="s">
        <v>17</v>
      </c>
      <c r="D32" s="23">
        <v>1</v>
      </c>
      <c r="E32" s="23" t="s">
        <v>502</v>
      </c>
      <c r="F32" s="23" t="s">
        <v>500</v>
      </c>
      <c r="G32" s="23" t="s">
        <v>503</v>
      </c>
      <c r="H32" s="23">
        <v>1</v>
      </c>
      <c r="I32" s="23" t="s">
        <v>1855</v>
      </c>
      <c r="J32" s="23">
        <v>1</v>
      </c>
      <c r="K32" s="23" t="s">
        <v>1826</v>
      </c>
    </row>
    <row r="33" spans="1:11" ht="157.5">
      <c r="A33" s="23" t="s">
        <v>64</v>
      </c>
      <c r="B33" s="23" t="s">
        <v>19</v>
      </c>
      <c r="C33" s="23" t="s">
        <v>20</v>
      </c>
      <c r="D33" s="23">
        <v>1</v>
      </c>
      <c r="E33" s="23" t="s">
        <v>504</v>
      </c>
      <c r="F33" s="23" t="s">
        <v>500</v>
      </c>
      <c r="G33" s="23" t="s">
        <v>505</v>
      </c>
      <c r="H33" s="23">
        <v>1</v>
      </c>
      <c r="I33" s="23" t="s">
        <v>1856</v>
      </c>
      <c r="J33" s="23">
        <v>1</v>
      </c>
      <c r="K33" s="23" t="s">
        <v>1826</v>
      </c>
    </row>
    <row r="34" spans="1:11" ht="173.25">
      <c r="A34" s="23" t="s">
        <v>64</v>
      </c>
      <c r="B34" s="23" t="s">
        <v>22</v>
      </c>
      <c r="C34" s="23" t="s">
        <v>23</v>
      </c>
      <c r="D34" s="23">
        <v>1</v>
      </c>
      <c r="E34" s="23" t="s">
        <v>506</v>
      </c>
      <c r="F34" s="23" t="s">
        <v>500</v>
      </c>
      <c r="G34" s="23" t="s">
        <v>507</v>
      </c>
      <c r="H34" s="23">
        <v>1</v>
      </c>
      <c r="I34" s="23" t="s">
        <v>1857</v>
      </c>
      <c r="J34" s="23">
        <v>1</v>
      </c>
      <c r="K34" s="23" t="s">
        <v>1826</v>
      </c>
    </row>
    <row r="35" spans="1:11" ht="173.25">
      <c r="A35" s="23" t="s">
        <v>64</v>
      </c>
      <c r="B35" s="23" t="s">
        <v>25</v>
      </c>
      <c r="C35" s="23" t="s">
        <v>26</v>
      </c>
      <c r="D35" s="23">
        <v>1</v>
      </c>
      <c r="E35" s="23" t="s">
        <v>508</v>
      </c>
      <c r="F35" s="23" t="s">
        <v>500</v>
      </c>
      <c r="G35" s="23" t="s">
        <v>509</v>
      </c>
      <c r="H35" s="23">
        <v>1</v>
      </c>
      <c r="I35" s="23" t="s">
        <v>1858</v>
      </c>
      <c r="J35" s="23">
        <v>1</v>
      </c>
      <c r="K35" s="23" t="s">
        <v>1826</v>
      </c>
    </row>
    <row r="36" spans="1:11" ht="157.5">
      <c r="A36" s="23" t="s">
        <v>64</v>
      </c>
      <c r="B36" s="23" t="s">
        <v>28</v>
      </c>
      <c r="C36" s="23" t="s">
        <v>29</v>
      </c>
      <c r="D36" s="23">
        <v>1</v>
      </c>
      <c r="E36" s="23" t="s">
        <v>510</v>
      </c>
      <c r="F36" s="23" t="s">
        <v>500</v>
      </c>
      <c r="G36" s="23" t="s">
        <v>509</v>
      </c>
      <c r="H36" s="23">
        <v>1</v>
      </c>
      <c r="I36" s="23" t="s">
        <v>1859</v>
      </c>
      <c r="J36" s="23">
        <v>1</v>
      </c>
      <c r="K36" s="23" t="s">
        <v>1826</v>
      </c>
    </row>
    <row r="37" spans="1:11" ht="236.25">
      <c r="A37" s="23" t="s">
        <v>64</v>
      </c>
      <c r="B37" s="23" t="s">
        <v>31</v>
      </c>
      <c r="C37" s="23" t="s">
        <v>32</v>
      </c>
      <c r="D37" s="23">
        <v>0.5</v>
      </c>
      <c r="E37" s="23" t="s">
        <v>511</v>
      </c>
      <c r="F37" s="23" t="s">
        <v>500</v>
      </c>
      <c r="G37" s="23" t="s">
        <v>512</v>
      </c>
      <c r="H37" s="23">
        <v>0.5</v>
      </c>
      <c r="I37" s="23" t="s">
        <v>1860</v>
      </c>
      <c r="J37" s="23">
        <v>0.5</v>
      </c>
      <c r="K37" s="23" t="s">
        <v>1833</v>
      </c>
    </row>
    <row r="38" spans="1:11" ht="267.75">
      <c r="A38" s="23" t="s">
        <v>64</v>
      </c>
      <c r="B38" s="23" t="s">
        <v>34</v>
      </c>
      <c r="C38" s="23" t="s">
        <v>35</v>
      </c>
      <c r="D38" s="23">
        <v>0.5</v>
      </c>
      <c r="E38" s="23" t="s">
        <v>513</v>
      </c>
      <c r="F38" s="23" t="s">
        <v>500</v>
      </c>
      <c r="G38" s="23" t="s">
        <v>514</v>
      </c>
      <c r="H38" s="23">
        <v>0.5</v>
      </c>
      <c r="I38" s="23" t="s">
        <v>1861</v>
      </c>
      <c r="J38" s="23">
        <v>0.5</v>
      </c>
      <c r="K38" s="23" t="s">
        <v>1833</v>
      </c>
    </row>
    <row r="39" spans="1:11" ht="252">
      <c r="A39" s="23" t="s">
        <v>64</v>
      </c>
      <c r="B39" s="23" t="s">
        <v>37</v>
      </c>
      <c r="C39" s="23" t="s">
        <v>38</v>
      </c>
      <c r="D39" s="23">
        <v>0.5</v>
      </c>
      <c r="E39" s="23" t="s">
        <v>515</v>
      </c>
      <c r="F39" s="23" t="s">
        <v>500</v>
      </c>
      <c r="G39" s="23" t="s">
        <v>516</v>
      </c>
      <c r="H39" s="23">
        <v>0.5</v>
      </c>
      <c r="I39" s="23" t="s">
        <v>1862</v>
      </c>
      <c r="J39" s="23">
        <v>0.5</v>
      </c>
      <c r="K39" s="23" t="s">
        <v>1833</v>
      </c>
    </row>
    <row r="40" spans="1:11" ht="157.5">
      <c r="A40" s="23" t="s">
        <v>68</v>
      </c>
      <c r="B40" s="23" t="s">
        <v>13</v>
      </c>
      <c r="C40" s="23" t="s">
        <v>14</v>
      </c>
      <c r="D40" s="23">
        <v>1</v>
      </c>
      <c r="E40" s="23" t="s">
        <v>517</v>
      </c>
      <c r="F40" s="23" t="s">
        <v>518</v>
      </c>
      <c r="G40" s="23" t="s">
        <v>501</v>
      </c>
      <c r="H40" s="23">
        <v>1</v>
      </c>
      <c r="I40" s="23" t="s">
        <v>1863</v>
      </c>
      <c r="J40" s="23">
        <v>1</v>
      </c>
      <c r="K40" s="23" t="s">
        <v>1826</v>
      </c>
    </row>
    <row r="41" spans="1:11" ht="157.5">
      <c r="A41" s="23" t="s">
        <v>68</v>
      </c>
      <c r="B41" s="23" t="s">
        <v>16</v>
      </c>
      <c r="C41" s="23" t="s">
        <v>17</v>
      </c>
      <c r="D41" s="23">
        <v>1</v>
      </c>
      <c r="E41" s="23" t="s">
        <v>519</v>
      </c>
      <c r="F41" s="23" t="s">
        <v>518</v>
      </c>
      <c r="G41" s="23" t="s">
        <v>520</v>
      </c>
      <c r="H41" s="23">
        <v>1</v>
      </c>
      <c r="I41" s="23" t="s">
        <v>1864</v>
      </c>
      <c r="J41" s="23">
        <v>1</v>
      </c>
      <c r="K41" s="23" t="s">
        <v>1826</v>
      </c>
    </row>
    <row r="42" spans="1:11" ht="173.25">
      <c r="A42" s="23" t="s">
        <v>68</v>
      </c>
      <c r="B42" s="23" t="s">
        <v>19</v>
      </c>
      <c r="C42" s="23" t="s">
        <v>20</v>
      </c>
      <c r="D42" s="23">
        <v>1</v>
      </c>
      <c r="E42" s="23" t="s">
        <v>521</v>
      </c>
      <c r="F42" s="23" t="s">
        <v>518</v>
      </c>
      <c r="G42" s="23" t="s">
        <v>522</v>
      </c>
      <c r="H42" s="23">
        <v>1</v>
      </c>
      <c r="I42" s="23" t="s">
        <v>1865</v>
      </c>
      <c r="J42" s="23">
        <v>1</v>
      </c>
      <c r="K42" s="23" t="s">
        <v>1826</v>
      </c>
    </row>
    <row r="43" spans="1:11" ht="157.5">
      <c r="A43" s="23" t="s">
        <v>68</v>
      </c>
      <c r="B43" s="23" t="s">
        <v>22</v>
      </c>
      <c r="C43" s="23" t="s">
        <v>23</v>
      </c>
      <c r="D43" s="23">
        <v>1</v>
      </c>
      <c r="E43" s="23" t="s">
        <v>523</v>
      </c>
      <c r="F43" s="23" t="s">
        <v>518</v>
      </c>
      <c r="G43" s="23" t="s">
        <v>524</v>
      </c>
      <c r="H43" s="23">
        <v>1</v>
      </c>
      <c r="I43" s="23" t="s">
        <v>1866</v>
      </c>
      <c r="J43" s="23">
        <v>1</v>
      </c>
      <c r="K43" s="23" t="s">
        <v>1826</v>
      </c>
    </row>
    <row r="44" spans="1:11" ht="173.25">
      <c r="A44" s="23" t="s">
        <v>68</v>
      </c>
      <c r="B44" s="23" t="s">
        <v>25</v>
      </c>
      <c r="C44" s="23" t="s">
        <v>26</v>
      </c>
      <c r="D44" s="23">
        <v>1</v>
      </c>
      <c r="E44" s="23" t="s">
        <v>525</v>
      </c>
      <c r="F44" s="23" t="s">
        <v>518</v>
      </c>
      <c r="G44" s="23" t="s">
        <v>526</v>
      </c>
      <c r="H44" s="23">
        <v>1</v>
      </c>
      <c r="I44" s="23" t="s">
        <v>1867</v>
      </c>
      <c r="J44" s="23">
        <v>1</v>
      </c>
      <c r="K44" s="23" t="s">
        <v>1826</v>
      </c>
    </row>
    <row r="45" spans="1:11" ht="173.25">
      <c r="A45" s="23" t="s">
        <v>68</v>
      </c>
      <c r="B45" s="23" t="s">
        <v>28</v>
      </c>
      <c r="C45" s="23" t="s">
        <v>29</v>
      </c>
      <c r="D45" s="23">
        <v>1</v>
      </c>
      <c r="E45" s="23" t="s">
        <v>527</v>
      </c>
      <c r="F45" s="23" t="s">
        <v>518</v>
      </c>
      <c r="G45" s="23" t="s">
        <v>528</v>
      </c>
      <c r="H45" s="23">
        <v>1</v>
      </c>
      <c r="I45" s="23" t="s">
        <v>1868</v>
      </c>
      <c r="J45" s="23">
        <v>1</v>
      </c>
      <c r="K45" s="23" t="s">
        <v>1826</v>
      </c>
    </row>
    <row r="46" spans="1:11" ht="236.25">
      <c r="A46" s="23" t="s">
        <v>68</v>
      </c>
      <c r="B46" s="23" t="s">
        <v>31</v>
      </c>
      <c r="C46" s="23" t="s">
        <v>32</v>
      </c>
      <c r="D46" s="23">
        <v>0.5</v>
      </c>
      <c r="E46" s="23" t="s">
        <v>529</v>
      </c>
      <c r="F46" s="23" t="s">
        <v>518</v>
      </c>
      <c r="G46" s="23" t="s">
        <v>530</v>
      </c>
      <c r="H46" s="23">
        <v>0.5</v>
      </c>
      <c r="I46" s="23" t="s">
        <v>1869</v>
      </c>
      <c r="J46" s="23">
        <v>0.5</v>
      </c>
      <c r="K46" s="23" t="s">
        <v>1833</v>
      </c>
    </row>
    <row r="47" spans="1:11" ht="267.75">
      <c r="A47" s="23" t="s">
        <v>68</v>
      </c>
      <c r="B47" s="23" t="s">
        <v>34</v>
      </c>
      <c r="C47" s="23" t="s">
        <v>35</v>
      </c>
      <c r="D47" s="23">
        <v>0.5</v>
      </c>
      <c r="E47" s="23" t="s">
        <v>531</v>
      </c>
      <c r="F47" s="23" t="s">
        <v>518</v>
      </c>
      <c r="G47" s="23" t="s">
        <v>530</v>
      </c>
      <c r="H47" s="23">
        <v>0.5</v>
      </c>
      <c r="I47" s="23" t="s">
        <v>1870</v>
      </c>
      <c r="J47" s="23">
        <v>0.5</v>
      </c>
      <c r="K47" s="23" t="s">
        <v>1833</v>
      </c>
    </row>
    <row r="48" spans="1:11" ht="236.25">
      <c r="A48" s="23" t="s">
        <v>68</v>
      </c>
      <c r="B48" s="23" t="s">
        <v>37</v>
      </c>
      <c r="C48" s="23" t="s">
        <v>38</v>
      </c>
      <c r="D48" s="23">
        <v>0.5</v>
      </c>
      <c r="E48" s="23" t="s">
        <v>532</v>
      </c>
      <c r="F48" s="23" t="s">
        <v>518</v>
      </c>
      <c r="G48" s="23" t="s">
        <v>533</v>
      </c>
      <c r="H48" s="23">
        <v>0.5</v>
      </c>
      <c r="I48" s="23" t="s">
        <v>1871</v>
      </c>
      <c r="J48" s="23">
        <v>0.5</v>
      </c>
      <c r="K48" s="23" t="s">
        <v>1833</v>
      </c>
    </row>
    <row r="49" spans="1:11" ht="220.5">
      <c r="A49" s="23" t="s">
        <v>72</v>
      </c>
      <c r="B49" s="23" t="s">
        <v>13</v>
      </c>
      <c r="C49" s="23" t="s">
        <v>14</v>
      </c>
      <c r="D49" s="23">
        <v>1</v>
      </c>
      <c r="E49" s="23" t="s">
        <v>534</v>
      </c>
      <c r="F49" s="23" t="s">
        <v>535</v>
      </c>
      <c r="G49" s="23" t="s">
        <v>448</v>
      </c>
      <c r="H49" s="23">
        <v>1</v>
      </c>
      <c r="I49" s="23" t="s">
        <v>1872</v>
      </c>
      <c r="J49" s="23">
        <v>1</v>
      </c>
      <c r="K49" s="23" t="s">
        <v>1826</v>
      </c>
    </row>
    <row r="50" spans="1:11" ht="189">
      <c r="A50" s="23" t="s">
        <v>72</v>
      </c>
      <c r="B50" s="23" t="s">
        <v>16</v>
      </c>
      <c r="C50" s="23" t="s">
        <v>17</v>
      </c>
      <c r="D50" s="23">
        <v>1</v>
      </c>
      <c r="E50" s="23" t="s">
        <v>536</v>
      </c>
      <c r="F50" s="23" t="s">
        <v>535</v>
      </c>
      <c r="G50" s="23" t="s">
        <v>537</v>
      </c>
      <c r="H50" s="23">
        <v>1</v>
      </c>
      <c r="I50" s="23" t="s">
        <v>1873</v>
      </c>
      <c r="J50" s="23">
        <v>1</v>
      </c>
      <c r="K50" s="23" t="s">
        <v>1826</v>
      </c>
    </row>
    <row r="51" spans="1:11" ht="157.5">
      <c r="A51" s="23" t="s">
        <v>72</v>
      </c>
      <c r="B51" s="23" t="s">
        <v>19</v>
      </c>
      <c r="C51" s="23" t="s">
        <v>20</v>
      </c>
      <c r="D51" s="23">
        <v>1</v>
      </c>
      <c r="E51" s="23" t="s">
        <v>538</v>
      </c>
      <c r="F51" s="23" t="s">
        <v>535</v>
      </c>
      <c r="G51" s="23" t="s">
        <v>539</v>
      </c>
      <c r="H51" s="23">
        <v>1</v>
      </c>
      <c r="I51" s="23" t="s">
        <v>1874</v>
      </c>
      <c r="J51" s="23">
        <v>1</v>
      </c>
      <c r="K51" s="23" t="s">
        <v>1826</v>
      </c>
    </row>
    <row r="52" spans="1:11" ht="204.75">
      <c r="A52" s="23" t="s">
        <v>72</v>
      </c>
      <c r="B52" s="23" t="s">
        <v>22</v>
      </c>
      <c r="C52" s="23" t="s">
        <v>23</v>
      </c>
      <c r="D52" s="23">
        <v>1</v>
      </c>
      <c r="E52" s="23" t="s">
        <v>540</v>
      </c>
      <c r="F52" s="23" t="s">
        <v>535</v>
      </c>
      <c r="G52" s="23" t="s">
        <v>541</v>
      </c>
      <c r="H52" s="23">
        <v>1</v>
      </c>
      <c r="I52" s="23" t="s">
        <v>1875</v>
      </c>
      <c r="J52" s="23">
        <v>1</v>
      </c>
      <c r="K52" s="23" t="s">
        <v>1826</v>
      </c>
    </row>
    <row r="53" spans="1:11" ht="204.75">
      <c r="A53" s="23" t="s">
        <v>72</v>
      </c>
      <c r="B53" s="23" t="s">
        <v>25</v>
      </c>
      <c r="C53" s="23" t="s">
        <v>26</v>
      </c>
      <c r="D53" s="23">
        <v>1</v>
      </c>
      <c r="E53" s="23" t="s">
        <v>542</v>
      </c>
      <c r="F53" s="23" t="s">
        <v>535</v>
      </c>
      <c r="G53" s="23" t="s">
        <v>543</v>
      </c>
      <c r="H53" s="23">
        <v>1</v>
      </c>
      <c r="I53" s="23" t="s">
        <v>1876</v>
      </c>
      <c r="J53" s="23">
        <v>1</v>
      </c>
      <c r="K53" s="23" t="s">
        <v>1826</v>
      </c>
    </row>
    <row r="54" spans="1:11" ht="157.5">
      <c r="A54" s="23" t="s">
        <v>72</v>
      </c>
      <c r="B54" s="23" t="s">
        <v>28</v>
      </c>
      <c r="C54" s="23" t="s">
        <v>29</v>
      </c>
      <c r="D54" s="23">
        <v>1</v>
      </c>
      <c r="E54" s="23" t="s">
        <v>544</v>
      </c>
      <c r="F54" s="23" t="s">
        <v>535</v>
      </c>
      <c r="G54" s="23" t="s">
        <v>543</v>
      </c>
      <c r="H54" s="23">
        <v>1</v>
      </c>
      <c r="I54" s="23" t="s">
        <v>1877</v>
      </c>
      <c r="J54" s="23">
        <v>1</v>
      </c>
      <c r="K54" s="23" t="s">
        <v>1826</v>
      </c>
    </row>
    <row r="55" spans="1:11" ht="236.25">
      <c r="A55" s="23" t="s">
        <v>72</v>
      </c>
      <c r="B55" s="23" t="s">
        <v>31</v>
      </c>
      <c r="C55" s="23" t="s">
        <v>32</v>
      </c>
      <c r="D55" s="23">
        <v>0.5</v>
      </c>
      <c r="E55" s="23" t="s">
        <v>545</v>
      </c>
      <c r="F55" s="23" t="s">
        <v>535</v>
      </c>
      <c r="G55" s="23" t="s">
        <v>546</v>
      </c>
      <c r="H55" s="23">
        <v>0.5</v>
      </c>
      <c r="I55" s="23" t="s">
        <v>1878</v>
      </c>
      <c r="J55" s="23">
        <v>0.5</v>
      </c>
      <c r="K55" s="23" t="s">
        <v>1833</v>
      </c>
    </row>
    <row r="56" spans="1:11" ht="236.25">
      <c r="A56" s="23" t="s">
        <v>72</v>
      </c>
      <c r="B56" s="23" t="s">
        <v>34</v>
      </c>
      <c r="C56" s="23" t="s">
        <v>35</v>
      </c>
      <c r="D56" s="23">
        <v>0.5</v>
      </c>
      <c r="E56" s="23" t="s">
        <v>547</v>
      </c>
      <c r="F56" s="23" t="s">
        <v>535</v>
      </c>
      <c r="G56" s="23" t="s">
        <v>548</v>
      </c>
      <c r="H56" s="23">
        <v>0.5</v>
      </c>
      <c r="I56" s="23" t="s">
        <v>1879</v>
      </c>
      <c r="J56" s="23">
        <v>0.5</v>
      </c>
      <c r="K56" s="23" t="s">
        <v>1833</v>
      </c>
    </row>
    <row r="57" spans="1:11" ht="252">
      <c r="A57" s="23" t="s">
        <v>72</v>
      </c>
      <c r="B57" s="23" t="s">
        <v>37</v>
      </c>
      <c r="C57" s="23" t="s">
        <v>38</v>
      </c>
      <c r="D57" s="23">
        <v>0.5</v>
      </c>
      <c r="E57" s="23" t="s">
        <v>549</v>
      </c>
      <c r="F57" s="23" t="s">
        <v>535</v>
      </c>
      <c r="G57" s="23" t="s">
        <v>548</v>
      </c>
      <c r="H57" s="23">
        <v>0.5</v>
      </c>
      <c r="I57" s="23" t="s">
        <v>1880</v>
      </c>
      <c r="J57" s="23">
        <v>0.5</v>
      </c>
      <c r="K57" s="23" t="s">
        <v>1833</v>
      </c>
    </row>
    <row r="58" spans="1:11" ht="157.5">
      <c r="A58" s="23" t="s">
        <v>76</v>
      </c>
      <c r="B58" s="23" t="s">
        <v>13</v>
      </c>
      <c r="C58" s="23" t="s">
        <v>14</v>
      </c>
      <c r="D58" s="23">
        <v>1</v>
      </c>
      <c r="E58" s="23" t="s">
        <v>550</v>
      </c>
      <c r="F58" s="23" t="s">
        <v>551</v>
      </c>
      <c r="G58" s="23" t="s">
        <v>448</v>
      </c>
      <c r="H58" s="23">
        <v>1</v>
      </c>
      <c r="I58" s="23" t="s">
        <v>1881</v>
      </c>
      <c r="J58" s="23">
        <v>1</v>
      </c>
      <c r="K58" s="23" t="s">
        <v>1826</v>
      </c>
    </row>
    <row r="59" spans="1:11" ht="157.5">
      <c r="A59" s="23" t="s">
        <v>76</v>
      </c>
      <c r="B59" s="23" t="s">
        <v>16</v>
      </c>
      <c r="C59" s="23" t="s">
        <v>17</v>
      </c>
      <c r="D59" s="23">
        <v>1</v>
      </c>
      <c r="E59" s="23" t="s">
        <v>552</v>
      </c>
      <c r="F59" s="23" t="s">
        <v>551</v>
      </c>
      <c r="G59" s="23" t="s">
        <v>553</v>
      </c>
      <c r="H59" s="23">
        <v>1</v>
      </c>
      <c r="I59" s="23" t="s">
        <v>1882</v>
      </c>
      <c r="J59" s="23">
        <v>1</v>
      </c>
      <c r="K59" s="23" t="s">
        <v>1826</v>
      </c>
    </row>
    <row r="60" spans="1:11" ht="126">
      <c r="A60" s="23" t="s">
        <v>76</v>
      </c>
      <c r="B60" s="23" t="s">
        <v>19</v>
      </c>
      <c r="C60" s="23" t="s">
        <v>20</v>
      </c>
      <c r="D60" s="23">
        <v>1</v>
      </c>
      <c r="E60" s="23" t="s">
        <v>554</v>
      </c>
      <c r="F60" s="23" t="s">
        <v>551</v>
      </c>
      <c r="G60" s="23" t="s">
        <v>555</v>
      </c>
      <c r="H60" s="23">
        <v>1</v>
      </c>
      <c r="I60" s="23" t="s">
        <v>1883</v>
      </c>
      <c r="J60" s="23">
        <v>1</v>
      </c>
      <c r="K60" s="23" t="s">
        <v>1826</v>
      </c>
    </row>
    <row r="61" spans="1:11" ht="157.5">
      <c r="A61" s="23" t="s">
        <v>76</v>
      </c>
      <c r="B61" s="23" t="s">
        <v>22</v>
      </c>
      <c r="C61" s="23" t="s">
        <v>23</v>
      </c>
      <c r="D61" s="23">
        <v>1</v>
      </c>
      <c r="E61" s="23" t="s">
        <v>556</v>
      </c>
      <c r="F61" s="23" t="s">
        <v>551</v>
      </c>
      <c r="G61" s="23" t="s">
        <v>557</v>
      </c>
      <c r="H61" s="23">
        <v>1</v>
      </c>
      <c r="I61" s="23" t="s">
        <v>1884</v>
      </c>
      <c r="J61" s="23">
        <v>1</v>
      </c>
      <c r="K61" s="23" t="s">
        <v>1826</v>
      </c>
    </row>
    <row r="62" spans="1:11" ht="157.5">
      <c r="A62" s="23" t="s">
        <v>76</v>
      </c>
      <c r="B62" s="23" t="s">
        <v>25</v>
      </c>
      <c r="C62" s="23" t="s">
        <v>26</v>
      </c>
      <c r="D62" s="23">
        <v>1</v>
      </c>
      <c r="E62" s="23" t="s">
        <v>558</v>
      </c>
      <c r="F62" s="23" t="s">
        <v>551</v>
      </c>
      <c r="G62" s="23" t="s">
        <v>559</v>
      </c>
      <c r="H62" s="23">
        <v>1</v>
      </c>
      <c r="I62" s="23" t="s">
        <v>1885</v>
      </c>
      <c r="J62" s="23">
        <v>1</v>
      </c>
      <c r="K62" s="23" t="s">
        <v>1826</v>
      </c>
    </row>
    <row r="63" spans="1:11" ht="173.25">
      <c r="A63" s="23" t="s">
        <v>76</v>
      </c>
      <c r="B63" s="23" t="s">
        <v>28</v>
      </c>
      <c r="C63" s="23" t="s">
        <v>29</v>
      </c>
      <c r="D63" s="23">
        <v>1</v>
      </c>
      <c r="E63" s="23" t="s">
        <v>560</v>
      </c>
      <c r="F63" s="23" t="s">
        <v>551</v>
      </c>
      <c r="G63" s="23" t="s">
        <v>559</v>
      </c>
      <c r="H63" s="23">
        <v>1</v>
      </c>
      <c r="I63" s="23" t="s">
        <v>1886</v>
      </c>
      <c r="J63" s="23">
        <v>1</v>
      </c>
      <c r="K63" s="23" t="s">
        <v>1826</v>
      </c>
    </row>
    <row r="64" spans="1:11" ht="267.75">
      <c r="A64" s="23" t="s">
        <v>76</v>
      </c>
      <c r="B64" s="23" t="s">
        <v>31</v>
      </c>
      <c r="C64" s="23" t="s">
        <v>32</v>
      </c>
      <c r="D64" s="23">
        <v>0.5</v>
      </c>
      <c r="E64" s="23" t="s">
        <v>561</v>
      </c>
      <c r="F64" s="23" t="s">
        <v>551</v>
      </c>
      <c r="G64" s="23" t="s">
        <v>562</v>
      </c>
      <c r="H64" s="23">
        <v>0.5</v>
      </c>
      <c r="I64" s="23" t="s">
        <v>1887</v>
      </c>
      <c r="J64" s="23">
        <v>0.5</v>
      </c>
      <c r="K64" s="23" t="s">
        <v>1833</v>
      </c>
    </row>
    <row r="65" spans="1:11" ht="236.25">
      <c r="A65" s="23" t="s">
        <v>76</v>
      </c>
      <c r="B65" s="23" t="s">
        <v>34</v>
      </c>
      <c r="C65" s="23" t="s">
        <v>35</v>
      </c>
      <c r="D65" s="23">
        <v>0.5</v>
      </c>
      <c r="E65" s="23" t="s">
        <v>563</v>
      </c>
      <c r="F65" s="23" t="s">
        <v>551</v>
      </c>
      <c r="G65" s="23" t="s">
        <v>564</v>
      </c>
      <c r="H65" s="23">
        <v>0.5</v>
      </c>
      <c r="I65" s="23" t="s">
        <v>1888</v>
      </c>
      <c r="J65" s="23">
        <v>0.5</v>
      </c>
      <c r="K65" s="23" t="s">
        <v>1833</v>
      </c>
    </row>
    <row r="66" spans="1:11" ht="236.25">
      <c r="A66" s="23" t="s">
        <v>76</v>
      </c>
      <c r="B66" s="23" t="s">
        <v>37</v>
      </c>
      <c r="C66" s="23" t="s">
        <v>38</v>
      </c>
      <c r="D66" s="23">
        <v>0.5</v>
      </c>
      <c r="E66" s="23" t="s">
        <v>565</v>
      </c>
      <c r="F66" s="23" t="s">
        <v>551</v>
      </c>
      <c r="G66" s="23" t="s">
        <v>564</v>
      </c>
      <c r="H66" s="23">
        <v>0.5</v>
      </c>
      <c r="I66" s="23" t="s">
        <v>1889</v>
      </c>
      <c r="J66" s="23">
        <v>0.5</v>
      </c>
      <c r="K66" s="23" t="s">
        <v>1833</v>
      </c>
    </row>
    <row r="67" spans="1:11" ht="173.25">
      <c r="A67" s="23" t="s">
        <v>80</v>
      </c>
      <c r="B67" s="23" t="s">
        <v>13</v>
      </c>
      <c r="C67" s="23" t="s">
        <v>14</v>
      </c>
      <c r="D67" s="23">
        <v>1</v>
      </c>
      <c r="E67" s="23" t="s">
        <v>566</v>
      </c>
      <c r="F67" s="23" t="s">
        <v>567</v>
      </c>
      <c r="G67" s="23" t="s">
        <v>448</v>
      </c>
      <c r="H67" s="23">
        <v>1</v>
      </c>
      <c r="I67" s="23" t="s">
        <v>1890</v>
      </c>
      <c r="J67" s="23">
        <v>1</v>
      </c>
      <c r="K67" s="23" t="s">
        <v>1826</v>
      </c>
    </row>
    <row r="68" spans="1:11" ht="157.5">
      <c r="A68" s="23" t="s">
        <v>80</v>
      </c>
      <c r="B68" s="23" t="s">
        <v>16</v>
      </c>
      <c r="C68" s="23" t="s">
        <v>17</v>
      </c>
      <c r="D68" s="23">
        <v>1</v>
      </c>
      <c r="E68" s="23" t="s">
        <v>568</v>
      </c>
      <c r="F68" s="23" t="s">
        <v>567</v>
      </c>
      <c r="G68" s="23" t="s">
        <v>569</v>
      </c>
      <c r="H68" s="23">
        <v>1</v>
      </c>
      <c r="I68" s="23" t="s">
        <v>1891</v>
      </c>
      <c r="J68" s="23">
        <v>1</v>
      </c>
      <c r="K68" s="23" t="s">
        <v>1826</v>
      </c>
    </row>
    <row r="69" spans="1:11" ht="157.5">
      <c r="A69" s="23" t="s">
        <v>80</v>
      </c>
      <c r="B69" s="23" t="s">
        <v>19</v>
      </c>
      <c r="C69" s="23" t="s">
        <v>20</v>
      </c>
      <c r="D69" s="23">
        <v>1</v>
      </c>
      <c r="E69" s="23" t="s">
        <v>570</v>
      </c>
      <c r="F69" s="23" t="s">
        <v>567</v>
      </c>
      <c r="G69" s="23" t="s">
        <v>571</v>
      </c>
      <c r="H69" s="23">
        <v>1</v>
      </c>
      <c r="I69" s="23" t="s">
        <v>1892</v>
      </c>
      <c r="J69" s="23">
        <v>1</v>
      </c>
      <c r="K69" s="23" t="s">
        <v>1826</v>
      </c>
    </row>
    <row r="70" spans="1:11" ht="157.5">
      <c r="A70" s="23" t="s">
        <v>80</v>
      </c>
      <c r="B70" s="23" t="s">
        <v>22</v>
      </c>
      <c r="C70" s="23" t="s">
        <v>23</v>
      </c>
      <c r="D70" s="23">
        <v>1</v>
      </c>
      <c r="E70" s="23" t="s">
        <v>572</v>
      </c>
      <c r="F70" s="23" t="s">
        <v>567</v>
      </c>
      <c r="G70" s="23" t="s">
        <v>573</v>
      </c>
      <c r="H70" s="23">
        <v>1</v>
      </c>
      <c r="I70" s="23" t="s">
        <v>1893</v>
      </c>
      <c r="J70" s="23">
        <v>1</v>
      </c>
      <c r="K70" s="23" t="s">
        <v>1826</v>
      </c>
    </row>
    <row r="71" spans="1:11" ht="173.25">
      <c r="A71" s="23" t="s">
        <v>80</v>
      </c>
      <c r="B71" s="23" t="s">
        <v>25</v>
      </c>
      <c r="C71" s="23" t="s">
        <v>26</v>
      </c>
      <c r="D71" s="23">
        <v>1</v>
      </c>
      <c r="E71" s="23" t="s">
        <v>574</v>
      </c>
      <c r="F71" s="23" t="s">
        <v>567</v>
      </c>
      <c r="G71" s="23" t="s">
        <v>573</v>
      </c>
      <c r="H71" s="23">
        <v>1</v>
      </c>
      <c r="I71" s="23" t="s">
        <v>1894</v>
      </c>
      <c r="J71" s="23">
        <v>1</v>
      </c>
      <c r="K71" s="23" t="s">
        <v>1826</v>
      </c>
    </row>
    <row r="72" spans="1:11" ht="157.5">
      <c r="A72" s="23" t="s">
        <v>80</v>
      </c>
      <c r="B72" s="23" t="s">
        <v>28</v>
      </c>
      <c r="C72" s="23" t="s">
        <v>29</v>
      </c>
      <c r="D72" s="23">
        <v>1</v>
      </c>
      <c r="E72" s="23" t="s">
        <v>575</v>
      </c>
      <c r="F72" s="23" t="s">
        <v>567</v>
      </c>
      <c r="G72" s="23" t="s">
        <v>573</v>
      </c>
      <c r="H72" s="23">
        <v>1</v>
      </c>
      <c r="I72" s="23" t="s">
        <v>1895</v>
      </c>
      <c r="J72" s="23">
        <v>1</v>
      </c>
      <c r="K72" s="23" t="s">
        <v>1826</v>
      </c>
    </row>
    <row r="73" spans="1:11" ht="220.5">
      <c r="A73" s="23" t="s">
        <v>80</v>
      </c>
      <c r="B73" s="23" t="s">
        <v>31</v>
      </c>
      <c r="C73" s="23" t="s">
        <v>32</v>
      </c>
      <c r="D73" s="23">
        <v>0.5</v>
      </c>
      <c r="E73" s="23" t="s">
        <v>576</v>
      </c>
      <c r="F73" s="23" t="s">
        <v>567</v>
      </c>
      <c r="G73" s="23" t="s">
        <v>577</v>
      </c>
      <c r="H73" s="23">
        <v>0.5</v>
      </c>
      <c r="I73" s="23" t="s">
        <v>1896</v>
      </c>
      <c r="J73" s="23">
        <v>0.5</v>
      </c>
      <c r="K73" s="23" t="s">
        <v>1833</v>
      </c>
    </row>
    <row r="74" spans="1:11" ht="252">
      <c r="A74" s="23" t="s">
        <v>80</v>
      </c>
      <c r="B74" s="23" t="s">
        <v>34</v>
      </c>
      <c r="C74" s="23" t="s">
        <v>35</v>
      </c>
      <c r="D74" s="23">
        <v>0.5</v>
      </c>
      <c r="E74" s="23" t="s">
        <v>578</v>
      </c>
      <c r="F74" s="23" t="s">
        <v>567</v>
      </c>
      <c r="G74" s="23" t="s">
        <v>579</v>
      </c>
      <c r="H74" s="23">
        <v>0.5</v>
      </c>
      <c r="I74" s="23" t="s">
        <v>1897</v>
      </c>
      <c r="J74" s="23">
        <v>0.5</v>
      </c>
      <c r="K74" s="23" t="s">
        <v>1833</v>
      </c>
    </row>
    <row r="75" spans="1:11" ht="236.25">
      <c r="A75" s="23" t="s">
        <v>80</v>
      </c>
      <c r="B75" s="23" t="s">
        <v>37</v>
      </c>
      <c r="C75" s="23" t="s">
        <v>38</v>
      </c>
      <c r="D75" s="23">
        <v>0.5</v>
      </c>
      <c r="E75" s="23" t="s">
        <v>580</v>
      </c>
      <c r="F75" s="23" t="s">
        <v>567</v>
      </c>
      <c r="G75" s="23" t="s">
        <v>581</v>
      </c>
      <c r="H75" s="23">
        <v>0.5</v>
      </c>
      <c r="I75" s="23" t="s">
        <v>1898</v>
      </c>
      <c r="J75" s="23">
        <v>0.5</v>
      </c>
      <c r="K75" s="23" t="s">
        <v>1833</v>
      </c>
    </row>
    <row r="76" spans="1:11" ht="189">
      <c r="A76" s="23" t="s">
        <v>84</v>
      </c>
      <c r="B76" s="23" t="s">
        <v>13</v>
      </c>
      <c r="C76" s="23" t="s">
        <v>14</v>
      </c>
      <c r="D76" s="23">
        <v>1</v>
      </c>
      <c r="E76" s="23" t="s">
        <v>582</v>
      </c>
      <c r="F76" s="23" t="s">
        <v>583</v>
      </c>
      <c r="G76" s="23" t="s">
        <v>448</v>
      </c>
      <c r="H76" s="23">
        <v>1</v>
      </c>
      <c r="I76" s="23" t="s">
        <v>1899</v>
      </c>
      <c r="J76" s="23">
        <v>1</v>
      </c>
      <c r="K76" s="23" t="s">
        <v>1826</v>
      </c>
    </row>
    <row r="77" spans="1:11" ht="173.25">
      <c r="A77" s="23" t="s">
        <v>84</v>
      </c>
      <c r="B77" s="23" t="s">
        <v>16</v>
      </c>
      <c r="C77" s="23" t="s">
        <v>17</v>
      </c>
      <c r="D77" s="23">
        <v>1</v>
      </c>
      <c r="E77" s="23" t="s">
        <v>584</v>
      </c>
      <c r="F77" s="23" t="s">
        <v>583</v>
      </c>
      <c r="G77" s="23" t="s">
        <v>585</v>
      </c>
      <c r="H77" s="23">
        <v>1</v>
      </c>
      <c r="I77" s="23" t="s">
        <v>1900</v>
      </c>
      <c r="J77" s="23">
        <v>1</v>
      </c>
      <c r="K77" s="23" t="s">
        <v>1826</v>
      </c>
    </row>
    <row r="78" spans="1:11" ht="173.25">
      <c r="A78" s="23" t="s">
        <v>84</v>
      </c>
      <c r="B78" s="23" t="s">
        <v>19</v>
      </c>
      <c r="C78" s="23" t="s">
        <v>20</v>
      </c>
      <c r="D78" s="23">
        <v>1</v>
      </c>
      <c r="E78" s="23" t="s">
        <v>586</v>
      </c>
      <c r="F78" s="23" t="s">
        <v>583</v>
      </c>
      <c r="G78" s="23" t="s">
        <v>587</v>
      </c>
      <c r="H78" s="23">
        <v>1</v>
      </c>
      <c r="I78" s="23" t="s">
        <v>1901</v>
      </c>
      <c r="J78" s="23">
        <v>1</v>
      </c>
      <c r="K78" s="23" t="s">
        <v>1826</v>
      </c>
    </row>
    <row r="79" spans="1:11" ht="204.75">
      <c r="A79" s="23" t="s">
        <v>84</v>
      </c>
      <c r="B79" s="23" t="s">
        <v>22</v>
      </c>
      <c r="C79" s="23" t="s">
        <v>23</v>
      </c>
      <c r="D79" s="23">
        <v>1</v>
      </c>
      <c r="E79" s="23" t="s">
        <v>588</v>
      </c>
      <c r="F79" s="23" t="s">
        <v>583</v>
      </c>
      <c r="G79" s="23" t="s">
        <v>589</v>
      </c>
      <c r="H79" s="23">
        <v>1</v>
      </c>
      <c r="I79" s="23" t="s">
        <v>1902</v>
      </c>
      <c r="J79" s="23">
        <v>1</v>
      </c>
      <c r="K79" s="23" t="s">
        <v>1826</v>
      </c>
    </row>
    <row r="80" spans="1:11" ht="173.25">
      <c r="A80" s="23" t="s">
        <v>84</v>
      </c>
      <c r="B80" s="23" t="s">
        <v>25</v>
      </c>
      <c r="C80" s="23" t="s">
        <v>26</v>
      </c>
      <c r="D80" s="23">
        <v>1</v>
      </c>
      <c r="E80" s="23" t="s">
        <v>590</v>
      </c>
      <c r="F80" s="23" t="s">
        <v>583</v>
      </c>
      <c r="G80" s="23" t="s">
        <v>587</v>
      </c>
      <c r="H80" s="23">
        <v>1</v>
      </c>
      <c r="I80" s="23" t="s">
        <v>1903</v>
      </c>
      <c r="J80" s="23">
        <v>1</v>
      </c>
      <c r="K80" s="23" t="s">
        <v>1826</v>
      </c>
    </row>
    <row r="81" spans="1:11" ht="157.5">
      <c r="A81" s="23" t="s">
        <v>84</v>
      </c>
      <c r="B81" s="23" t="s">
        <v>28</v>
      </c>
      <c r="C81" s="23" t="s">
        <v>29</v>
      </c>
      <c r="D81" s="23">
        <v>1</v>
      </c>
      <c r="E81" s="23" t="s">
        <v>591</v>
      </c>
      <c r="F81" s="23" t="s">
        <v>583</v>
      </c>
      <c r="G81" s="23" t="s">
        <v>587</v>
      </c>
      <c r="H81" s="23">
        <v>1</v>
      </c>
      <c r="I81" s="23" t="s">
        <v>1904</v>
      </c>
      <c r="J81" s="23">
        <v>1</v>
      </c>
      <c r="K81" s="23" t="s">
        <v>1826</v>
      </c>
    </row>
    <row r="82" spans="1:11" ht="220.5">
      <c r="A82" s="23" t="s">
        <v>84</v>
      </c>
      <c r="B82" s="23" t="s">
        <v>31</v>
      </c>
      <c r="C82" s="23" t="s">
        <v>32</v>
      </c>
      <c r="D82" s="23">
        <v>0.5</v>
      </c>
      <c r="E82" s="23" t="s">
        <v>592</v>
      </c>
      <c r="F82" s="23" t="s">
        <v>583</v>
      </c>
      <c r="G82" s="23" t="s">
        <v>593</v>
      </c>
      <c r="H82" s="23">
        <v>0.5</v>
      </c>
      <c r="I82" s="23" t="s">
        <v>1905</v>
      </c>
      <c r="J82" s="23">
        <v>0.5</v>
      </c>
      <c r="K82" s="23" t="s">
        <v>1833</v>
      </c>
    </row>
    <row r="83" spans="1:11" ht="220.5">
      <c r="A83" s="23" t="s">
        <v>84</v>
      </c>
      <c r="B83" s="23" t="s">
        <v>34</v>
      </c>
      <c r="C83" s="23" t="s">
        <v>35</v>
      </c>
      <c r="D83" s="23">
        <v>0.5</v>
      </c>
      <c r="E83" s="23" t="s">
        <v>594</v>
      </c>
      <c r="F83" s="23" t="s">
        <v>583</v>
      </c>
      <c r="G83" s="23" t="s">
        <v>595</v>
      </c>
      <c r="H83" s="23">
        <v>0.5</v>
      </c>
      <c r="I83" s="23" t="s">
        <v>1906</v>
      </c>
      <c r="J83" s="23">
        <v>0.5</v>
      </c>
      <c r="K83" s="23" t="s">
        <v>1833</v>
      </c>
    </row>
    <row r="84" spans="1:11" ht="220.5">
      <c r="A84" s="23" t="s">
        <v>84</v>
      </c>
      <c r="B84" s="23" t="s">
        <v>37</v>
      </c>
      <c r="C84" s="23" t="s">
        <v>38</v>
      </c>
      <c r="D84" s="23">
        <v>0.5</v>
      </c>
      <c r="E84" s="23" t="s">
        <v>596</v>
      </c>
      <c r="F84" s="23" t="s">
        <v>583</v>
      </c>
      <c r="G84" s="23" t="s">
        <v>597</v>
      </c>
      <c r="H84" s="23">
        <v>0.5</v>
      </c>
      <c r="I84" s="23" t="s">
        <v>1907</v>
      </c>
      <c r="J84" s="23">
        <v>0.5</v>
      </c>
      <c r="K84" s="23" t="s">
        <v>1833</v>
      </c>
    </row>
    <row r="85" spans="1:11" ht="157.5">
      <c r="A85" s="23" t="s">
        <v>88</v>
      </c>
      <c r="B85" s="23" t="s">
        <v>13</v>
      </c>
      <c r="C85" s="23" t="s">
        <v>14</v>
      </c>
      <c r="D85" s="23">
        <v>1</v>
      </c>
      <c r="E85" s="23" t="s">
        <v>598</v>
      </c>
      <c r="F85" s="23" t="s">
        <v>599</v>
      </c>
      <c r="G85" s="23" t="s">
        <v>448</v>
      </c>
      <c r="H85" s="23">
        <v>1</v>
      </c>
      <c r="I85" s="23" t="s">
        <v>1908</v>
      </c>
      <c r="J85" s="23">
        <v>1</v>
      </c>
      <c r="K85" s="23" t="s">
        <v>1826</v>
      </c>
    </row>
    <row r="86" spans="1:11" ht="157.5">
      <c r="A86" s="23" t="s">
        <v>88</v>
      </c>
      <c r="B86" s="23" t="s">
        <v>16</v>
      </c>
      <c r="C86" s="23" t="s">
        <v>17</v>
      </c>
      <c r="D86" s="23">
        <v>1</v>
      </c>
      <c r="E86" s="23" t="s">
        <v>600</v>
      </c>
      <c r="F86" s="23" t="s">
        <v>599</v>
      </c>
      <c r="G86" s="23" t="s">
        <v>601</v>
      </c>
      <c r="H86" s="23">
        <v>1</v>
      </c>
      <c r="I86" s="23" t="s">
        <v>1909</v>
      </c>
      <c r="J86" s="23">
        <v>1</v>
      </c>
      <c r="K86" s="23" t="s">
        <v>1826</v>
      </c>
    </row>
    <row r="87" spans="1:11" ht="157.5">
      <c r="A87" s="23" t="s">
        <v>88</v>
      </c>
      <c r="B87" s="23" t="s">
        <v>19</v>
      </c>
      <c r="C87" s="23" t="s">
        <v>20</v>
      </c>
      <c r="D87" s="23">
        <v>1</v>
      </c>
      <c r="E87" s="23" t="s">
        <v>602</v>
      </c>
      <c r="F87" s="23" t="s">
        <v>599</v>
      </c>
      <c r="G87" s="23" t="s">
        <v>603</v>
      </c>
      <c r="H87" s="23">
        <v>1</v>
      </c>
      <c r="I87" s="23" t="s">
        <v>1910</v>
      </c>
      <c r="J87" s="23">
        <v>1</v>
      </c>
      <c r="K87" s="23" t="s">
        <v>1826</v>
      </c>
    </row>
    <row r="88" spans="1:11" ht="173.25">
      <c r="A88" s="23" t="s">
        <v>88</v>
      </c>
      <c r="B88" s="23" t="s">
        <v>22</v>
      </c>
      <c r="C88" s="23" t="s">
        <v>23</v>
      </c>
      <c r="D88" s="23">
        <v>1</v>
      </c>
      <c r="E88" s="23" t="s">
        <v>604</v>
      </c>
      <c r="F88" s="23" t="s">
        <v>599</v>
      </c>
      <c r="G88" s="23" t="s">
        <v>605</v>
      </c>
      <c r="H88" s="23">
        <v>1</v>
      </c>
      <c r="I88" s="23" t="s">
        <v>1911</v>
      </c>
      <c r="J88" s="23">
        <v>1</v>
      </c>
      <c r="K88" s="23" t="s">
        <v>1826</v>
      </c>
    </row>
    <row r="89" spans="1:11" ht="157.5">
      <c r="A89" s="23" t="s">
        <v>88</v>
      </c>
      <c r="B89" s="23" t="s">
        <v>25</v>
      </c>
      <c r="C89" s="23" t="s">
        <v>26</v>
      </c>
      <c r="D89" s="23">
        <v>1</v>
      </c>
      <c r="E89" s="23" t="s">
        <v>606</v>
      </c>
      <c r="F89" s="23" t="s">
        <v>599</v>
      </c>
      <c r="G89" s="23" t="s">
        <v>605</v>
      </c>
      <c r="H89" s="23">
        <v>1</v>
      </c>
      <c r="I89" s="23" t="s">
        <v>1912</v>
      </c>
      <c r="J89" s="23">
        <v>1</v>
      </c>
      <c r="K89" s="23" t="s">
        <v>1826</v>
      </c>
    </row>
    <row r="90" spans="1:11" ht="141.75">
      <c r="A90" s="23" t="s">
        <v>88</v>
      </c>
      <c r="B90" s="23" t="s">
        <v>28</v>
      </c>
      <c r="C90" s="23" t="s">
        <v>29</v>
      </c>
      <c r="D90" s="23">
        <v>1</v>
      </c>
      <c r="E90" s="23" t="s">
        <v>607</v>
      </c>
      <c r="F90" s="23" t="s">
        <v>599</v>
      </c>
      <c r="G90" s="23" t="s">
        <v>605</v>
      </c>
      <c r="H90" s="23">
        <v>1</v>
      </c>
      <c r="I90" s="23" t="s">
        <v>1913</v>
      </c>
      <c r="J90" s="23">
        <v>1</v>
      </c>
      <c r="K90" s="23" t="s">
        <v>1826</v>
      </c>
    </row>
    <row r="91" spans="1:11" ht="252">
      <c r="A91" s="23" t="s">
        <v>88</v>
      </c>
      <c r="B91" s="23" t="s">
        <v>31</v>
      </c>
      <c r="C91" s="23" t="s">
        <v>32</v>
      </c>
      <c r="D91" s="23">
        <v>0.5</v>
      </c>
      <c r="E91" s="23" t="s">
        <v>608</v>
      </c>
      <c r="F91" s="23" t="s">
        <v>599</v>
      </c>
      <c r="G91" s="23" t="s">
        <v>609</v>
      </c>
      <c r="H91" s="23">
        <v>0.5</v>
      </c>
      <c r="I91" s="23" t="s">
        <v>1914</v>
      </c>
      <c r="J91" s="23">
        <v>0.5</v>
      </c>
      <c r="K91" s="23" t="s">
        <v>1833</v>
      </c>
    </row>
    <row r="92" spans="1:11" ht="189">
      <c r="A92" s="23" t="s">
        <v>88</v>
      </c>
      <c r="B92" s="23" t="s">
        <v>34</v>
      </c>
      <c r="C92" s="23" t="s">
        <v>35</v>
      </c>
      <c r="D92" s="23">
        <v>1</v>
      </c>
      <c r="E92" s="23" t="s">
        <v>610</v>
      </c>
      <c r="F92" s="23" t="s">
        <v>599</v>
      </c>
      <c r="G92" s="23" t="s">
        <v>611</v>
      </c>
      <c r="H92" s="23">
        <v>1</v>
      </c>
      <c r="I92" s="23" t="s">
        <v>1915</v>
      </c>
      <c r="J92" s="23">
        <v>1</v>
      </c>
      <c r="K92" s="23" t="s">
        <v>1826</v>
      </c>
    </row>
    <row r="93" spans="1:11" ht="236.25">
      <c r="A93" s="23" t="s">
        <v>88</v>
      </c>
      <c r="B93" s="23" t="s">
        <v>37</v>
      </c>
      <c r="C93" s="23" t="s">
        <v>38</v>
      </c>
      <c r="D93" s="23">
        <v>0.5</v>
      </c>
      <c r="E93" s="23" t="s">
        <v>612</v>
      </c>
      <c r="F93" s="23" t="s">
        <v>599</v>
      </c>
      <c r="G93" s="23" t="s">
        <v>613</v>
      </c>
      <c r="H93" s="23">
        <v>0.5</v>
      </c>
      <c r="I93" s="23" t="s">
        <v>1916</v>
      </c>
      <c r="J93" s="23">
        <v>0.5</v>
      </c>
      <c r="K93" s="23" t="s">
        <v>1833</v>
      </c>
    </row>
    <row r="94" spans="1:11" ht="157.5">
      <c r="A94" s="23" t="s">
        <v>92</v>
      </c>
      <c r="B94" s="23" t="s">
        <v>13</v>
      </c>
      <c r="C94" s="23" t="s">
        <v>14</v>
      </c>
      <c r="D94" s="23">
        <v>1</v>
      </c>
      <c r="E94" s="23" t="s">
        <v>614</v>
      </c>
      <c r="F94" s="23" t="s">
        <v>615</v>
      </c>
      <c r="G94" s="23" t="s">
        <v>501</v>
      </c>
      <c r="H94" s="23">
        <v>1</v>
      </c>
      <c r="I94" s="23" t="s">
        <v>1917</v>
      </c>
      <c r="J94" s="23">
        <v>1</v>
      </c>
      <c r="K94" s="23" t="s">
        <v>1826</v>
      </c>
    </row>
    <row r="95" spans="1:11" ht="157.5">
      <c r="A95" s="23" t="s">
        <v>92</v>
      </c>
      <c r="B95" s="23" t="s">
        <v>16</v>
      </c>
      <c r="C95" s="23" t="s">
        <v>17</v>
      </c>
      <c r="D95" s="23">
        <v>1</v>
      </c>
      <c r="E95" s="23" t="s">
        <v>616</v>
      </c>
      <c r="F95" s="23" t="s">
        <v>615</v>
      </c>
      <c r="G95" s="23" t="s">
        <v>617</v>
      </c>
      <c r="H95" s="23">
        <v>1</v>
      </c>
      <c r="I95" s="23" t="s">
        <v>1918</v>
      </c>
      <c r="J95" s="23">
        <v>1</v>
      </c>
      <c r="K95" s="23" t="s">
        <v>1826</v>
      </c>
    </row>
    <row r="96" spans="1:11" ht="173.25">
      <c r="A96" s="23" t="s">
        <v>92</v>
      </c>
      <c r="B96" s="23" t="s">
        <v>19</v>
      </c>
      <c r="C96" s="23" t="s">
        <v>20</v>
      </c>
      <c r="D96" s="23">
        <v>1</v>
      </c>
      <c r="E96" s="23" t="s">
        <v>618</v>
      </c>
      <c r="F96" s="23" t="s">
        <v>615</v>
      </c>
      <c r="G96" s="23" t="s">
        <v>619</v>
      </c>
      <c r="H96" s="23">
        <v>1</v>
      </c>
      <c r="I96" s="23" t="s">
        <v>1919</v>
      </c>
      <c r="J96" s="23">
        <v>1</v>
      </c>
      <c r="K96" s="23" t="s">
        <v>1826</v>
      </c>
    </row>
    <row r="97" spans="1:11" ht="157.5">
      <c r="A97" s="23" t="s">
        <v>92</v>
      </c>
      <c r="B97" s="23" t="s">
        <v>22</v>
      </c>
      <c r="C97" s="23" t="s">
        <v>23</v>
      </c>
      <c r="D97" s="23">
        <v>1</v>
      </c>
      <c r="E97" s="23" t="s">
        <v>620</v>
      </c>
      <c r="F97" s="23" t="s">
        <v>615</v>
      </c>
      <c r="G97" s="23" t="s">
        <v>621</v>
      </c>
      <c r="H97" s="23">
        <v>1</v>
      </c>
      <c r="I97" s="23" t="s">
        <v>1920</v>
      </c>
      <c r="J97" s="23">
        <v>1</v>
      </c>
      <c r="K97" s="23" t="s">
        <v>1826</v>
      </c>
    </row>
    <row r="98" spans="1:11" ht="173.25">
      <c r="A98" s="23" t="s">
        <v>92</v>
      </c>
      <c r="B98" s="23" t="s">
        <v>25</v>
      </c>
      <c r="C98" s="23" t="s">
        <v>26</v>
      </c>
      <c r="D98" s="23">
        <v>1</v>
      </c>
      <c r="E98" s="23" t="s">
        <v>622</v>
      </c>
      <c r="F98" s="23" t="s">
        <v>615</v>
      </c>
      <c r="G98" s="23" t="s">
        <v>623</v>
      </c>
      <c r="H98" s="23">
        <v>1</v>
      </c>
      <c r="I98" s="23" t="s">
        <v>1921</v>
      </c>
      <c r="J98" s="23">
        <v>1</v>
      </c>
      <c r="K98" s="23" t="s">
        <v>1826</v>
      </c>
    </row>
    <row r="99" spans="1:11" ht="173.25">
      <c r="A99" s="23" t="s">
        <v>92</v>
      </c>
      <c r="B99" s="23" t="s">
        <v>28</v>
      </c>
      <c r="C99" s="23" t="s">
        <v>29</v>
      </c>
      <c r="D99" s="23">
        <v>1</v>
      </c>
      <c r="E99" s="23" t="s">
        <v>624</v>
      </c>
      <c r="F99" s="23" t="s">
        <v>615</v>
      </c>
      <c r="G99" s="23" t="s">
        <v>625</v>
      </c>
      <c r="H99" s="23">
        <v>1</v>
      </c>
      <c r="I99" s="23" t="s">
        <v>1922</v>
      </c>
      <c r="J99" s="23">
        <v>1</v>
      </c>
      <c r="K99" s="23" t="s">
        <v>1826</v>
      </c>
    </row>
    <row r="100" spans="1:11" ht="220.5">
      <c r="A100" s="23" t="s">
        <v>92</v>
      </c>
      <c r="B100" s="23" t="s">
        <v>31</v>
      </c>
      <c r="C100" s="23" t="s">
        <v>32</v>
      </c>
      <c r="D100" s="23">
        <v>0.5</v>
      </c>
      <c r="E100" s="23" t="s">
        <v>626</v>
      </c>
      <c r="F100" s="23" t="s">
        <v>615</v>
      </c>
      <c r="G100" s="23" t="s">
        <v>627</v>
      </c>
      <c r="H100" s="23">
        <v>0.5</v>
      </c>
      <c r="I100" s="23" t="s">
        <v>1923</v>
      </c>
      <c r="J100" s="23">
        <v>0.5</v>
      </c>
      <c r="K100" s="23" t="s">
        <v>1833</v>
      </c>
    </row>
    <row r="101" spans="1:11" ht="220.5">
      <c r="A101" s="23" t="s">
        <v>92</v>
      </c>
      <c r="B101" s="23" t="s">
        <v>34</v>
      </c>
      <c r="C101" s="23" t="s">
        <v>35</v>
      </c>
      <c r="D101" s="23">
        <v>0.5</v>
      </c>
      <c r="E101" s="23" t="s">
        <v>628</v>
      </c>
      <c r="F101" s="23" t="s">
        <v>615</v>
      </c>
      <c r="G101" s="23" t="s">
        <v>629</v>
      </c>
      <c r="H101" s="23">
        <v>0.5</v>
      </c>
      <c r="I101" s="23" t="s">
        <v>1924</v>
      </c>
      <c r="J101" s="23">
        <v>0.5</v>
      </c>
      <c r="K101" s="23" t="s">
        <v>1833</v>
      </c>
    </row>
    <row r="102" spans="1:11" ht="236.25">
      <c r="A102" s="23" t="s">
        <v>92</v>
      </c>
      <c r="B102" s="23" t="s">
        <v>37</v>
      </c>
      <c r="C102" s="23" t="s">
        <v>38</v>
      </c>
      <c r="D102" s="23">
        <v>0.5</v>
      </c>
      <c r="E102" s="23" t="s">
        <v>630</v>
      </c>
      <c r="F102" s="23" t="s">
        <v>615</v>
      </c>
      <c r="G102" s="23" t="s">
        <v>631</v>
      </c>
      <c r="H102" s="23">
        <v>0.5</v>
      </c>
      <c r="I102" s="23" t="s">
        <v>1925</v>
      </c>
      <c r="J102" s="23">
        <v>0.5</v>
      </c>
      <c r="K102" s="23" t="s">
        <v>1833</v>
      </c>
    </row>
    <row r="103" spans="1:11" ht="189">
      <c r="A103" s="23" t="s">
        <v>96</v>
      </c>
      <c r="B103" s="23" t="s">
        <v>13</v>
      </c>
      <c r="C103" s="23" t="s">
        <v>14</v>
      </c>
      <c r="D103" s="23">
        <v>1</v>
      </c>
      <c r="E103" s="23" t="s">
        <v>632</v>
      </c>
      <c r="F103" s="23" t="s">
        <v>633</v>
      </c>
      <c r="G103" s="23" t="s">
        <v>448</v>
      </c>
      <c r="H103" s="23">
        <v>1</v>
      </c>
      <c r="I103" s="23" t="s">
        <v>1926</v>
      </c>
      <c r="J103" s="23">
        <v>1</v>
      </c>
      <c r="K103" s="23" t="s">
        <v>1826</v>
      </c>
    </row>
    <row r="104" spans="1:11" ht="189">
      <c r="A104" s="23" t="s">
        <v>96</v>
      </c>
      <c r="B104" s="23" t="s">
        <v>16</v>
      </c>
      <c r="C104" s="23" t="s">
        <v>17</v>
      </c>
      <c r="D104" s="23">
        <v>1</v>
      </c>
      <c r="E104" s="23" t="s">
        <v>634</v>
      </c>
      <c r="F104" s="23" t="s">
        <v>633</v>
      </c>
      <c r="G104" s="23" t="s">
        <v>635</v>
      </c>
      <c r="H104" s="23">
        <v>1</v>
      </c>
      <c r="I104" s="23" t="s">
        <v>1927</v>
      </c>
      <c r="J104" s="23">
        <v>1</v>
      </c>
      <c r="K104" s="23" t="s">
        <v>1826</v>
      </c>
    </row>
    <row r="105" spans="1:11" ht="141.75">
      <c r="A105" s="23" t="s">
        <v>96</v>
      </c>
      <c r="B105" s="23" t="s">
        <v>19</v>
      </c>
      <c r="C105" s="23" t="s">
        <v>20</v>
      </c>
      <c r="D105" s="23">
        <v>1</v>
      </c>
      <c r="E105" s="23" t="s">
        <v>636</v>
      </c>
      <c r="F105" s="23" t="s">
        <v>633</v>
      </c>
      <c r="G105" s="23" t="s">
        <v>605</v>
      </c>
      <c r="H105" s="23">
        <v>1</v>
      </c>
      <c r="I105" s="23" t="s">
        <v>1928</v>
      </c>
      <c r="J105" s="23">
        <v>1</v>
      </c>
      <c r="K105" s="23" t="s">
        <v>1826</v>
      </c>
    </row>
    <row r="106" spans="1:11" ht="189">
      <c r="A106" s="23" t="s">
        <v>96</v>
      </c>
      <c r="B106" s="23" t="s">
        <v>22</v>
      </c>
      <c r="C106" s="23" t="s">
        <v>23</v>
      </c>
      <c r="D106" s="23">
        <v>1</v>
      </c>
      <c r="E106" s="23" t="s">
        <v>637</v>
      </c>
      <c r="F106" s="23" t="s">
        <v>633</v>
      </c>
      <c r="G106" s="23" t="s">
        <v>638</v>
      </c>
      <c r="H106" s="23">
        <v>1</v>
      </c>
      <c r="I106" s="23" t="s">
        <v>1929</v>
      </c>
      <c r="J106" s="23">
        <v>1</v>
      </c>
      <c r="K106" s="23" t="s">
        <v>1826</v>
      </c>
    </row>
    <row r="107" spans="1:11" ht="189">
      <c r="A107" s="23" t="s">
        <v>96</v>
      </c>
      <c r="B107" s="23" t="s">
        <v>25</v>
      </c>
      <c r="C107" s="23" t="s">
        <v>26</v>
      </c>
      <c r="D107" s="23">
        <v>1</v>
      </c>
      <c r="E107" s="23" t="s">
        <v>639</v>
      </c>
      <c r="F107" s="23" t="s">
        <v>633</v>
      </c>
      <c r="G107" s="23" t="s">
        <v>605</v>
      </c>
      <c r="H107" s="23">
        <v>1</v>
      </c>
      <c r="I107" s="23" t="s">
        <v>1930</v>
      </c>
      <c r="J107" s="23">
        <v>1</v>
      </c>
      <c r="K107" s="23" t="s">
        <v>1826</v>
      </c>
    </row>
    <row r="108" spans="1:11" ht="141.75">
      <c r="A108" s="23" t="s">
        <v>96</v>
      </c>
      <c r="B108" s="23" t="s">
        <v>28</v>
      </c>
      <c r="C108" s="23" t="s">
        <v>29</v>
      </c>
      <c r="D108" s="23">
        <v>1</v>
      </c>
      <c r="E108" s="23" t="s">
        <v>640</v>
      </c>
      <c r="F108" s="23" t="s">
        <v>633</v>
      </c>
      <c r="G108" s="23" t="s">
        <v>605</v>
      </c>
      <c r="H108" s="23">
        <v>1</v>
      </c>
      <c r="I108" s="23" t="s">
        <v>1931</v>
      </c>
      <c r="J108" s="23">
        <v>1</v>
      </c>
      <c r="K108" s="23" t="s">
        <v>1826</v>
      </c>
    </row>
    <row r="109" spans="1:11" ht="252">
      <c r="A109" s="23" t="s">
        <v>96</v>
      </c>
      <c r="B109" s="23" t="s">
        <v>31</v>
      </c>
      <c r="C109" s="23" t="s">
        <v>32</v>
      </c>
      <c r="D109" s="23">
        <v>0.5</v>
      </c>
      <c r="E109" s="23" t="s">
        <v>641</v>
      </c>
      <c r="F109" s="23" t="s">
        <v>633</v>
      </c>
      <c r="G109" s="23" t="s">
        <v>642</v>
      </c>
      <c r="H109" s="23">
        <v>0.5</v>
      </c>
      <c r="I109" s="23" t="s">
        <v>1932</v>
      </c>
      <c r="J109" s="23">
        <v>0.5</v>
      </c>
      <c r="K109" s="23" t="s">
        <v>1833</v>
      </c>
    </row>
    <row r="110" spans="1:11" ht="220.5">
      <c r="A110" s="23" t="s">
        <v>96</v>
      </c>
      <c r="B110" s="23" t="s">
        <v>34</v>
      </c>
      <c r="C110" s="23" t="s">
        <v>35</v>
      </c>
      <c r="D110" s="23">
        <v>1</v>
      </c>
      <c r="E110" s="23" t="s">
        <v>643</v>
      </c>
      <c r="F110" s="23" t="s">
        <v>633</v>
      </c>
      <c r="G110" s="23" t="s">
        <v>644</v>
      </c>
      <c r="H110" s="23">
        <v>1</v>
      </c>
      <c r="I110" s="23" t="s">
        <v>1933</v>
      </c>
      <c r="J110" s="23">
        <v>1</v>
      </c>
      <c r="K110" s="23" t="s">
        <v>1826</v>
      </c>
    </row>
    <row r="111" spans="1:11" ht="236.25">
      <c r="A111" s="23" t="s">
        <v>96</v>
      </c>
      <c r="B111" s="23" t="s">
        <v>37</v>
      </c>
      <c r="C111" s="23" t="s">
        <v>38</v>
      </c>
      <c r="D111" s="23">
        <v>0.5</v>
      </c>
      <c r="E111" s="23" t="s">
        <v>645</v>
      </c>
      <c r="F111" s="23" t="s">
        <v>633</v>
      </c>
      <c r="G111" s="23" t="s">
        <v>644</v>
      </c>
      <c r="H111" s="23">
        <v>0.5</v>
      </c>
      <c r="I111" s="23" t="s">
        <v>1934</v>
      </c>
      <c r="J111" s="23">
        <v>0.5</v>
      </c>
      <c r="K111" s="23" t="s">
        <v>1833</v>
      </c>
    </row>
    <row r="112" spans="1:11" ht="141.75">
      <c r="A112" s="23" t="s">
        <v>100</v>
      </c>
      <c r="B112" s="23" t="s">
        <v>13</v>
      </c>
      <c r="C112" s="23" t="s">
        <v>14</v>
      </c>
      <c r="D112" s="23">
        <v>1</v>
      </c>
      <c r="E112" s="23" t="s">
        <v>646</v>
      </c>
      <c r="F112" s="23" t="s">
        <v>647</v>
      </c>
      <c r="G112" s="23" t="s">
        <v>448</v>
      </c>
      <c r="H112" s="23">
        <v>1</v>
      </c>
      <c r="I112" s="23" t="s">
        <v>1935</v>
      </c>
      <c r="J112" s="23">
        <v>1</v>
      </c>
      <c r="K112" s="23" t="s">
        <v>1826</v>
      </c>
    </row>
    <row r="113" spans="1:11" ht="204.75">
      <c r="A113" s="23" t="s">
        <v>100</v>
      </c>
      <c r="B113" s="23" t="s">
        <v>16</v>
      </c>
      <c r="C113" s="23" t="s">
        <v>17</v>
      </c>
      <c r="D113" s="23">
        <v>1</v>
      </c>
      <c r="E113" s="23" t="s">
        <v>648</v>
      </c>
      <c r="F113" s="23" t="s">
        <v>647</v>
      </c>
      <c r="G113" s="23" t="s">
        <v>649</v>
      </c>
      <c r="H113" s="23">
        <v>1</v>
      </c>
      <c r="I113" s="23" t="s">
        <v>1936</v>
      </c>
      <c r="J113" s="23">
        <v>1</v>
      </c>
      <c r="K113" s="23" t="s">
        <v>1826</v>
      </c>
    </row>
    <row r="114" spans="1:11" ht="173.25">
      <c r="A114" s="23" t="s">
        <v>100</v>
      </c>
      <c r="B114" s="23" t="s">
        <v>19</v>
      </c>
      <c r="C114" s="23" t="s">
        <v>20</v>
      </c>
      <c r="D114" s="23">
        <v>1</v>
      </c>
      <c r="E114" s="23" t="s">
        <v>650</v>
      </c>
      <c r="F114" s="23" t="s">
        <v>647</v>
      </c>
      <c r="G114" s="23" t="s">
        <v>651</v>
      </c>
      <c r="H114" s="23">
        <v>1</v>
      </c>
      <c r="I114" s="23" t="s">
        <v>1937</v>
      </c>
      <c r="J114" s="23">
        <v>1</v>
      </c>
      <c r="K114" s="23" t="s">
        <v>1826</v>
      </c>
    </row>
    <row r="115" spans="1:11" ht="189">
      <c r="A115" s="23" t="s">
        <v>100</v>
      </c>
      <c r="B115" s="23" t="s">
        <v>22</v>
      </c>
      <c r="C115" s="23" t="s">
        <v>23</v>
      </c>
      <c r="D115" s="23">
        <v>1</v>
      </c>
      <c r="E115" s="23" t="s">
        <v>652</v>
      </c>
      <c r="F115" s="23" t="s">
        <v>647</v>
      </c>
      <c r="G115" s="23" t="s">
        <v>653</v>
      </c>
      <c r="H115" s="23">
        <v>1</v>
      </c>
      <c r="I115" s="23" t="s">
        <v>1938</v>
      </c>
      <c r="J115" s="23">
        <v>1</v>
      </c>
      <c r="K115" s="23" t="s">
        <v>1826</v>
      </c>
    </row>
    <row r="116" spans="1:11" ht="204.75">
      <c r="A116" s="23" t="s">
        <v>100</v>
      </c>
      <c r="B116" s="23" t="s">
        <v>25</v>
      </c>
      <c r="C116" s="23" t="s">
        <v>26</v>
      </c>
      <c r="D116" s="23">
        <v>1</v>
      </c>
      <c r="E116" s="23" t="s">
        <v>654</v>
      </c>
      <c r="F116" s="23" t="s">
        <v>647</v>
      </c>
      <c r="G116" s="23" t="s">
        <v>655</v>
      </c>
      <c r="H116" s="23">
        <v>1</v>
      </c>
      <c r="I116" s="23" t="s">
        <v>1939</v>
      </c>
      <c r="J116" s="23">
        <v>1</v>
      </c>
      <c r="K116" s="23" t="s">
        <v>1826</v>
      </c>
    </row>
    <row r="117" spans="1:11" ht="141.75">
      <c r="A117" s="23" t="s">
        <v>100</v>
      </c>
      <c r="B117" s="23" t="s">
        <v>28</v>
      </c>
      <c r="C117" s="23" t="s">
        <v>29</v>
      </c>
      <c r="D117" s="23">
        <v>1</v>
      </c>
      <c r="E117" s="23" t="s">
        <v>656</v>
      </c>
      <c r="F117" s="23" t="s">
        <v>647</v>
      </c>
      <c r="G117" s="23" t="s">
        <v>655</v>
      </c>
      <c r="H117" s="23">
        <v>1</v>
      </c>
      <c r="I117" s="23" t="s">
        <v>1940</v>
      </c>
      <c r="J117" s="23">
        <v>1</v>
      </c>
      <c r="K117" s="23" t="s">
        <v>1826</v>
      </c>
    </row>
    <row r="118" spans="1:11" ht="236.25">
      <c r="A118" s="23" t="s">
        <v>100</v>
      </c>
      <c r="B118" s="23" t="s">
        <v>31</v>
      </c>
      <c r="C118" s="23" t="s">
        <v>32</v>
      </c>
      <c r="D118" s="23">
        <v>0.5</v>
      </c>
      <c r="E118" s="23" t="s">
        <v>657</v>
      </c>
      <c r="F118" s="23" t="s">
        <v>647</v>
      </c>
      <c r="G118" s="23" t="s">
        <v>658</v>
      </c>
      <c r="H118" s="23">
        <v>0.5</v>
      </c>
      <c r="I118" s="23" t="s">
        <v>1941</v>
      </c>
      <c r="J118" s="23">
        <v>0.5</v>
      </c>
      <c r="K118" s="23" t="s">
        <v>1833</v>
      </c>
    </row>
    <row r="119" spans="1:11" ht="252">
      <c r="A119" s="23" t="s">
        <v>100</v>
      </c>
      <c r="B119" s="23" t="s">
        <v>34</v>
      </c>
      <c r="C119" s="23" t="s">
        <v>35</v>
      </c>
      <c r="D119" s="23">
        <v>0.5</v>
      </c>
      <c r="E119" s="23" t="s">
        <v>659</v>
      </c>
      <c r="F119" s="23" t="s">
        <v>647</v>
      </c>
      <c r="G119" s="23" t="s">
        <v>658</v>
      </c>
      <c r="H119" s="23">
        <v>0.5</v>
      </c>
      <c r="I119" s="23" t="s">
        <v>1942</v>
      </c>
      <c r="J119" s="23">
        <v>0.5</v>
      </c>
      <c r="K119" s="23" t="s">
        <v>1833</v>
      </c>
    </row>
    <row r="120" spans="1:11" ht="267.75">
      <c r="A120" s="23" t="s">
        <v>100</v>
      </c>
      <c r="B120" s="23" t="s">
        <v>37</v>
      </c>
      <c r="C120" s="23" t="s">
        <v>38</v>
      </c>
      <c r="D120" s="23">
        <v>0.5</v>
      </c>
      <c r="E120" s="23" t="s">
        <v>660</v>
      </c>
      <c r="F120" s="23" t="s">
        <v>647</v>
      </c>
      <c r="G120" s="23" t="s">
        <v>661</v>
      </c>
      <c r="H120" s="23">
        <v>0.5</v>
      </c>
      <c r="I120" s="23" t="s">
        <v>1943</v>
      </c>
      <c r="J120" s="23">
        <v>0.5</v>
      </c>
      <c r="K120" s="23" t="s">
        <v>1833</v>
      </c>
    </row>
    <row r="121" spans="1:11" s="36" customFormat="1" ht="94.5">
      <c r="A121" s="35" t="s">
        <v>104</v>
      </c>
      <c r="B121" s="35" t="s">
        <v>13</v>
      </c>
      <c r="C121" s="35" t="s">
        <v>14</v>
      </c>
      <c r="D121" s="35"/>
      <c r="E121" s="35" t="s">
        <v>662</v>
      </c>
      <c r="F121" s="35" t="s">
        <v>663</v>
      </c>
      <c r="G121" s="35" t="s">
        <v>501</v>
      </c>
      <c r="H121" s="35"/>
      <c r="I121" s="35" t="s">
        <v>1944</v>
      </c>
      <c r="J121" s="35"/>
      <c r="K121" s="35" t="s">
        <v>1945</v>
      </c>
    </row>
    <row r="122" spans="1:11" s="36" customFormat="1" ht="94.5">
      <c r="A122" s="35" t="s">
        <v>104</v>
      </c>
      <c r="B122" s="35" t="s">
        <v>16</v>
      </c>
      <c r="C122" s="35" t="s">
        <v>17</v>
      </c>
      <c r="D122" s="35"/>
      <c r="E122" s="35" t="s">
        <v>664</v>
      </c>
      <c r="F122" s="35" t="s">
        <v>663</v>
      </c>
      <c r="G122" s="35" t="s">
        <v>665</v>
      </c>
      <c r="H122" s="35"/>
      <c r="I122" s="35" t="s">
        <v>1944</v>
      </c>
      <c r="J122" s="35"/>
      <c r="K122" s="35" t="s">
        <v>1945</v>
      </c>
    </row>
    <row r="123" spans="1:11" s="36" customFormat="1" ht="94.5">
      <c r="A123" s="35" t="s">
        <v>104</v>
      </c>
      <c r="B123" s="35" t="s">
        <v>19</v>
      </c>
      <c r="C123" s="35" t="s">
        <v>20</v>
      </c>
      <c r="D123" s="35"/>
      <c r="E123" s="35" t="s">
        <v>664</v>
      </c>
      <c r="F123" s="35" t="s">
        <v>663</v>
      </c>
      <c r="G123" s="35" t="s">
        <v>665</v>
      </c>
      <c r="H123" s="35"/>
      <c r="I123" s="35" t="s">
        <v>1944</v>
      </c>
      <c r="J123" s="35"/>
      <c r="K123" s="35" t="s">
        <v>1945</v>
      </c>
    </row>
    <row r="124" spans="1:11" s="36" customFormat="1" ht="94.5">
      <c r="A124" s="35" t="s">
        <v>104</v>
      </c>
      <c r="B124" s="35" t="s">
        <v>22</v>
      </c>
      <c r="C124" s="35" t="s">
        <v>23</v>
      </c>
      <c r="D124" s="35"/>
      <c r="E124" s="35" t="s">
        <v>664</v>
      </c>
      <c r="F124" s="35" t="s">
        <v>663</v>
      </c>
      <c r="G124" s="35" t="s">
        <v>665</v>
      </c>
      <c r="H124" s="35"/>
      <c r="I124" s="35" t="s">
        <v>1944</v>
      </c>
      <c r="J124" s="35"/>
      <c r="K124" s="35" t="s">
        <v>1945</v>
      </c>
    </row>
    <row r="125" spans="1:11" s="36" customFormat="1" ht="94.5">
      <c r="A125" s="35" t="s">
        <v>104</v>
      </c>
      <c r="B125" s="35" t="s">
        <v>25</v>
      </c>
      <c r="C125" s="35" t="s">
        <v>26</v>
      </c>
      <c r="D125" s="35"/>
      <c r="E125" s="35" t="s">
        <v>664</v>
      </c>
      <c r="F125" s="35" t="s">
        <v>663</v>
      </c>
      <c r="G125" s="35" t="s">
        <v>665</v>
      </c>
      <c r="H125" s="35"/>
      <c r="I125" s="35" t="s">
        <v>1944</v>
      </c>
      <c r="J125" s="35"/>
      <c r="K125" s="35" t="s">
        <v>1945</v>
      </c>
    </row>
    <row r="126" spans="1:11" s="36" customFormat="1" ht="94.5">
      <c r="A126" s="35" t="s">
        <v>104</v>
      </c>
      <c r="B126" s="35" t="s">
        <v>28</v>
      </c>
      <c r="C126" s="35" t="s">
        <v>29</v>
      </c>
      <c r="D126" s="35"/>
      <c r="E126" s="35" t="s">
        <v>664</v>
      </c>
      <c r="F126" s="35" t="s">
        <v>663</v>
      </c>
      <c r="G126" s="35" t="s">
        <v>665</v>
      </c>
      <c r="H126" s="35"/>
      <c r="I126" s="35" t="s">
        <v>1944</v>
      </c>
      <c r="J126" s="35"/>
      <c r="K126" s="35" t="s">
        <v>1945</v>
      </c>
    </row>
    <row r="127" spans="1:11" s="36" customFormat="1" ht="94.5">
      <c r="A127" s="35" t="s">
        <v>104</v>
      </c>
      <c r="B127" s="35" t="s">
        <v>31</v>
      </c>
      <c r="C127" s="35" t="s">
        <v>32</v>
      </c>
      <c r="D127" s="35"/>
      <c r="E127" s="35" t="s">
        <v>664</v>
      </c>
      <c r="F127" s="35" t="s">
        <v>663</v>
      </c>
      <c r="G127" s="35" t="s">
        <v>665</v>
      </c>
      <c r="H127" s="35"/>
      <c r="I127" s="35" t="s">
        <v>1944</v>
      </c>
      <c r="J127" s="35"/>
      <c r="K127" s="35" t="s">
        <v>1945</v>
      </c>
    </row>
    <row r="128" spans="1:11" s="36" customFormat="1" ht="94.5">
      <c r="A128" s="35" t="s">
        <v>104</v>
      </c>
      <c r="B128" s="35" t="s">
        <v>34</v>
      </c>
      <c r="C128" s="35" t="s">
        <v>35</v>
      </c>
      <c r="D128" s="35"/>
      <c r="E128" s="35" t="s">
        <v>664</v>
      </c>
      <c r="F128" s="35" t="s">
        <v>663</v>
      </c>
      <c r="G128" s="35" t="s">
        <v>665</v>
      </c>
      <c r="H128" s="35"/>
      <c r="I128" s="35" t="s">
        <v>1944</v>
      </c>
      <c r="J128" s="35"/>
      <c r="K128" s="35" t="s">
        <v>1945</v>
      </c>
    </row>
    <row r="129" spans="1:11" s="36" customFormat="1" ht="94.5">
      <c r="A129" s="35" t="s">
        <v>104</v>
      </c>
      <c r="B129" s="35" t="s">
        <v>37</v>
      </c>
      <c r="C129" s="35" t="s">
        <v>38</v>
      </c>
      <c r="D129" s="35"/>
      <c r="E129" s="35" t="s">
        <v>664</v>
      </c>
      <c r="F129" s="35" t="s">
        <v>663</v>
      </c>
      <c r="G129" s="35" t="s">
        <v>665</v>
      </c>
      <c r="H129" s="35"/>
      <c r="I129" s="35" t="s">
        <v>1944</v>
      </c>
      <c r="J129" s="35"/>
      <c r="K129" s="35" t="s">
        <v>1945</v>
      </c>
    </row>
    <row r="130" spans="1:11" s="36" customFormat="1" ht="157.5">
      <c r="A130" s="35" t="s">
        <v>109</v>
      </c>
      <c r="B130" s="35" t="s">
        <v>13</v>
      </c>
      <c r="C130" s="35" t="s">
        <v>14</v>
      </c>
      <c r="D130" s="35"/>
      <c r="E130" s="35" t="s">
        <v>666</v>
      </c>
      <c r="F130" s="35" t="s">
        <v>667</v>
      </c>
      <c r="G130" s="35" t="s">
        <v>501</v>
      </c>
      <c r="H130" s="35"/>
      <c r="I130" s="35" t="s">
        <v>1946</v>
      </c>
      <c r="J130" s="35"/>
      <c r="K130" s="35" t="s">
        <v>1947</v>
      </c>
    </row>
    <row r="131" spans="1:11" s="36" customFormat="1" ht="157.5">
      <c r="A131" s="35" t="s">
        <v>109</v>
      </c>
      <c r="B131" s="35" t="s">
        <v>16</v>
      </c>
      <c r="C131" s="35" t="s">
        <v>17</v>
      </c>
      <c r="D131" s="35"/>
      <c r="E131" s="35" t="s">
        <v>664</v>
      </c>
      <c r="F131" s="35" t="s">
        <v>667</v>
      </c>
      <c r="G131" s="35" t="s">
        <v>665</v>
      </c>
      <c r="H131" s="35"/>
      <c r="I131" s="35" t="s">
        <v>1946</v>
      </c>
      <c r="J131" s="35"/>
      <c r="K131" s="35" t="s">
        <v>1947</v>
      </c>
    </row>
    <row r="132" spans="1:11" s="36" customFormat="1" ht="157.5">
      <c r="A132" s="35" t="s">
        <v>109</v>
      </c>
      <c r="B132" s="35" t="s">
        <v>19</v>
      </c>
      <c r="C132" s="35" t="s">
        <v>20</v>
      </c>
      <c r="D132" s="35"/>
      <c r="E132" s="35" t="s">
        <v>664</v>
      </c>
      <c r="F132" s="35" t="s">
        <v>667</v>
      </c>
      <c r="G132" s="35" t="s">
        <v>665</v>
      </c>
      <c r="H132" s="35"/>
      <c r="I132" s="35" t="s">
        <v>1946</v>
      </c>
      <c r="J132" s="35"/>
      <c r="K132" s="35" t="s">
        <v>1947</v>
      </c>
    </row>
    <row r="133" spans="1:11" s="36" customFormat="1" ht="157.5">
      <c r="A133" s="35" t="s">
        <v>109</v>
      </c>
      <c r="B133" s="35" t="s">
        <v>22</v>
      </c>
      <c r="C133" s="35" t="s">
        <v>23</v>
      </c>
      <c r="D133" s="35"/>
      <c r="E133" s="35" t="s">
        <v>664</v>
      </c>
      <c r="F133" s="35" t="s">
        <v>667</v>
      </c>
      <c r="G133" s="35" t="s">
        <v>665</v>
      </c>
      <c r="H133" s="35"/>
      <c r="I133" s="35" t="s">
        <v>1946</v>
      </c>
      <c r="J133" s="35"/>
      <c r="K133" s="35" t="s">
        <v>1947</v>
      </c>
    </row>
    <row r="134" spans="1:11" s="36" customFormat="1" ht="157.5">
      <c r="A134" s="35" t="s">
        <v>109</v>
      </c>
      <c r="B134" s="35" t="s">
        <v>25</v>
      </c>
      <c r="C134" s="35" t="s">
        <v>26</v>
      </c>
      <c r="D134" s="35"/>
      <c r="E134" s="35" t="s">
        <v>664</v>
      </c>
      <c r="F134" s="35" t="s">
        <v>667</v>
      </c>
      <c r="G134" s="35" t="s">
        <v>665</v>
      </c>
      <c r="H134" s="35"/>
      <c r="I134" s="35" t="s">
        <v>1946</v>
      </c>
      <c r="J134" s="35"/>
      <c r="K134" s="35" t="s">
        <v>1947</v>
      </c>
    </row>
    <row r="135" spans="1:11" s="36" customFormat="1" ht="157.5">
      <c r="A135" s="35" t="s">
        <v>109</v>
      </c>
      <c r="B135" s="35" t="s">
        <v>28</v>
      </c>
      <c r="C135" s="35" t="s">
        <v>29</v>
      </c>
      <c r="D135" s="35"/>
      <c r="E135" s="35" t="s">
        <v>664</v>
      </c>
      <c r="F135" s="35" t="s">
        <v>667</v>
      </c>
      <c r="G135" s="35" t="s">
        <v>665</v>
      </c>
      <c r="H135" s="35"/>
      <c r="I135" s="35" t="s">
        <v>1946</v>
      </c>
      <c r="J135" s="35"/>
      <c r="K135" s="35" t="s">
        <v>1947</v>
      </c>
    </row>
    <row r="136" spans="1:11" s="36" customFormat="1" ht="157.5">
      <c r="A136" s="35" t="s">
        <v>109</v>
      </c>
      <c r="B136" s="35" t="s">
        <v>31</v>
      </c>
      <c r="C136" s="35" t="s">
        <v>32</v>
      </c>
      <c r="D136" s="35"/>
      <c r="E136" s="35" t="s">
        <v>664</v>
      </c>
      <c r="F136" s="35" t="s">
        <v>667</v>
      </c>
      <c r="G136" s="35" t="s">
        <v>665</v>
      </c>
      <c r="H136" s="35"/>
      <c r="I136" s="35" t="s">
        <v>1946</v>
      </c>
      <c r="J136" s="35"/>
      <c r="K136" s="35" t="s">
        <v>1947</v>
      </c>
    </row>
    <row r="137" spans="1:11" s="36" customFormat="1" ht="157.5">
      <c r="A137" s="35" t="s">
        <v>109</v>
      </c>
      <c r="B137" s="35" t="s">
        <v>34</v>
      </c>
      <c r="C137" s="35" t="s">
        <v>35</v>
      </c>
      <c r="D137" s="35"/>
      <c r="E137" s="35" t="s">
        <v>664</v>
      </c>
      <c r="F137" s="35" t="s">
        <v>667</v>
      </c>
      <c r="G137" s="35" t="s">
        <v>665</v>
      </c>
      <c r="H137" s="35"/>
      <c r="I137" s="35" t="s">
        <v>1946</v>
      </c>
      <c r="J137" s="35"/>
      <c r="K137" s="35" t="s">
        <v>1947</v>
      </c>
    </row>
    <row r="138" spans="1:11" s="36" customFormat="1" ht="157.5">
      <c r="A138" s="35" t="s">
        <v>109</v>
      </c>
      <c r="B138" s="35" t="s">
        <v>37</v>
      </c>
      <c r="C138" s="35" t="s">
        <v>38</v>
      </c>
      <c r="D138" s="35"/>
      <c r="E138" s="35" t="s">
        <v>664</v>
      </c>
      <c r="F138" s="35" t="s">
        <v>667</v>
      </c>
      <c r="G138" s="35" t="s">
        <v>665</v>
      </c>
      <c r="H138" s="35"/>
      <c r="I138" s="35" t="s">
        <v>1946</v>
      </c>
      <c r="J138" s="35"/>
      <c r="K138" s="35" t="s">
        <v>1947</v>
      </c>
    </row>
    <row r="139" spans="1:11" ht="189">
      <c r="A139" s="23" t="s">
        <v>114</v>
      </c>
      <c r="B139" s="23" t="s">
        <v>13</v>
      </c>
      <c r="C139" s="23" t="s">
        <v>14</v>
      </c>
      <c r="D139" s="23">
        <v>1</v>
      </c>
      <c r="E139" s="23" t="s">
        <v>668</v>
      </c>
      <c r="F139" s="23" t="s">
        <v>669</v>
      </c>
      <c r="G139" s="23" t="s">
        <v>448</v>
      </c>
      <c r="H139" s="23">
        <v>1</v>
      </c>
      <c r="I139" s="23" t="s">
        <v>1948</v>
      </c>
      <c r="J139" s="23">
        <v>1</v>
      </c>
      <c r="K139" s="23" t="s">
        <v>1826</v>
      </c>
    </row>
    <row r="140" spans="1:11" ht="189">
      <c r="A140" s="23" t="s">
        <v>114</v>
      </c>
      <c r="B140" s="23" t="s">
        <v>16</v>
      </c>
      <c r="C140" s="23" t="s">
        <v>17</v>
      </c>
      <c r="D140" s="23">
        <v>1</v>
      </c>
      <c r="E140" s="23" t="s">
        <v>670</v>
      </c>
      <c r="F140" s="23" t="s">
        <v>669</v>
      </c>
      <c r="G140" s="23" t="s">
        <v>671</v>
      </c>
      <c r="H140" s="23">
        <v>1</v>
      </c>
      <c r="I140" s="23" t="s">
        <v>1949</v>
      </c>
      <c r="J140" s="23">
        <v>1</v>
      </c>
      <c r="K140" s="23" t="s">
        <v>1826</v>
      </c>
    </row>
    <row r="141" spans="1:11" ht="189">
      <c r="A141" s="23" t="s">
        <v>114</v>
      </c>
      <c r="B141" s="23" t="s">
        <v>19</v>
      </c>
      <c r="C141" s="23" t="s">
        <v>20</v>
      </c>
      <c r="D141" s="23">
        <v>1</v>
      </c>
      <c r="E141" s="23" t="s">
        <v>672</v>
      </c>
      <c r="F141" s="23" t="s">
        <v>669</v>
      </c>
      <c r="G141" s="23" t="s">
        <v>673</v>
      </c>
      <c r="H141" s="23">
        <v>1</v>
      </c>
      <c r="I141" s="23" t="s">
        <v>1950</v>
      </c>
      <c r="J141" s="23">
        <v>1</v>
      </c>
      <c r="K141" s="23" t="s">
        <v>1826</v>
      </c>
    </row>
    <row r="142" spans="1:11" ht="189">
      <c r="A142" s="23" t="s">
        <v>114</v>
      </c>
      <c r="B142" s="23" t="s">
        <v>22</v>
      </c>
      <c r="C142" s="23" t="s">
        <v>23</v>
      </c>
      <c r="D142" s="23">
        <v>1</v>
      </c>
      <c r="E142" s="23" t="s">
        <v>674</v>
      </c>
      <c r="F142" s="23" t="s">
        <v>669</v>
      </c>
      <c r="G142" s="23" t="s">
        <v>675</v>
      </c>
      <c r="H142" s="23">
        <v>1</v>
      </c>
      <c r="I142" s="23" t="s">
        <v>1951</v>
      </c>
      <c r="J142" s="23">
        <v>1</v>
      </c>
      <c r="K142" s="23" t="s">
        <v>1826</v>
      </c>
    </row>
    <row r="143" spans="1:11" ht="189">
      <c r="A143" s="23" t="s">
        <v>114</v>
      </c>
      <c r="B143" s="23" t="s">
        <v>25</v>
      </c>
      <c r="C143" s="23" t="s">
        <v>26</v>
      </c>
      <c r="D143" s="23">
        <v>1</v>
      </c>
      <c r="E143" s="23" t="s">
        <v>676</v>
      </c>
      <c r="F143" s="23" t="s">
        <v>669</v>
      </c>
      <c r="G143" s="23" t="s">
        <v>673</v>
      </c>
      <c r="H143" s="23">
        <v>1</v>
      </c>
      <c r="I143" s="23" t="s">
        <v>1952</v>
      </c>
      <c r="J143" s="23">
        <v>1</v>
      </c>
      <c r="K143" s="23" t="s">
        <v>1826</v>
      </c>
    </row>
    <row r="144" spans="1:11" ht="173.25">
      <c r="A144" s="23" t="s">
        <v>114</v>
      </c>
      <c r="B144" s="23" t="s">
        <v>28</v>
      </c>
      <c r="C144" s="23" t="s">
        <v>29</v>
      </c>
      <c r="D144" s="23">
        <v>1</v>
      </c>
      <c r="E144" s="23" t="s">
        <v>677</v>
      </c>
      <c r="F144" s="23" t="s">
        <v>669</v>
      </c>
      <c r="G144" s="23" t="s">
        <v>673</v>
      </c>
      <c r="H144" s="23">
        <v>1</v>
      </c>
      <c r="I144" s="23" t="s">
        <v>1953</v>
      </c>
      <c r="J144" s="23">
        <v>1</v>
      </c>
      <c r="K144" s="23" t="s">
        <v>1826</v>
      </c>
    </row>
    <row r="145" spans="1:11" ht="236.25">
      <c r="A145" s="23" t="s">
        <v>114</v>
      </c>
      <c r="B145" s="23" t="s">
        <v>31</v>
      </c>
      <c r="C145" s="23" t="s">
        <v>32</v>
      </c>
      <c r="D145" s="23">
        <v>0.5</v>
      </c>
      <c r="E145" s="23" t="s">
        <v>678</v>
      </c>
      <c r="F145" s="23" t="s">
        <v>669</v>
      </c>
      <c r="G145" s="23" t="s">
        <v>679</v>
      </c>
      <c r="H145" s="23">
        <v>0.5</v>
      </c>
      <c r="I145" s="23" t="s">
        <v>1954</v>
      </c>
      <c r="J145" s="23">
        <v>0.5</v>
      </c>
      <c r="K145" s="23" t="s">
        <v>1833</v>
      </c>
    </row>
    <row r="146" spans="1:11" ht="252">
      <c r="A146" s="23" t="s">
        <v>114</v>
      </c>
      <c r="B146" s="23" t="s">
        <v>34</v>
      </c>
      <c r="C146" s="23" t="s">
        <v>35</v>
      </c>
      <c r="D146" s="23">
        <v>0.5</v>
      </c>
      <c r="E146" s="23" t="s">
        <v>680</v>
      </c>
      <c r="F146" s="23" t="s">
        <v>669</v>
      </c>
      <c r="G146" s="23" t="s">
        <v>613</v>
      </c>
      <c r="H146" s="23">
        <v>0.5</v>
      </c>
      <c r="I146" s="23" t="s">
        <v>1955</v>
      </c>
      <c r="J146" s="23">
        <v>0.5</v>
      </c>
      <c r="K146" s="23" t="s">
        <v>1833</v>
      </c>
    </row>
    <row r="147" spans="1:11" ht="252">
      <c r="A147" s="23" t="s">
        <v>114</v>
      </c>
      <c r="B147" s="23" t="s">
        <v>37</v>
      </c>
      <c r="C147" s="23" t="s">
        <v>38</v>
      </c>
      <c r="D147" s="23">
        <v>0.5</v>
      </c>
      <c r="E147" s="23" t="s">
        <v>681</v>
      </c>
      <c r="F147" s="23" t="s">
        <v>669</v>
      </c>
      <c r="G147" s="23" t="s">
        <v>682</v>
      </c>
      <c r="H147" s="23">
        <v>0.5</v>
      </c>
      <c r="I147" s="23" t="s">
        <v>1956</v>
      </c>
      <c r="J147" s="23">
        <v>0.5</v>
      </c>
      <c r="K147" s="23" t="s">
        <v>1833</v>
      </c>
    </row>
    <row r="148" spans="1:11" ht="189">
      <c r="A148" s="23" t="s">
        <v>118</v>
      </c>
      <c r="B148" s="23" t="s">
        <v>13</v>
      </c>
      <c r="C148" s="23" t="s">
        <v>14</v>
      </c>
      <c r="D148" s="23">
        <v>1</v>
      </c>
      <c r="E148" s="23" t="s">
        <v>683</v>
      </c>
      <c r="F148" s="23" t="s">
        <v>684</v>
      </c>
      <c r="G148" s="23" t="s">
        <v>685</v>
      </c>
      <c r="H148" s="23">
        <v>1</v>
      </c>
      <c r="I148" s="23" t="s">
        <v>1957</v>
      </c>
      <c r="J148" s="23">
        <v>1</v>
      </c>
      <c r="K148" s="23" t="s">
        <v>1826</v>
      </c>
    </row>
    <row r="149" spans="1:11" ht="189">
      <c r="A149" s="23" t="s">
        <v>118</v>
      </c>
      <c r="B149" s="23" t="s">
        <v>16</v>
      </c>
      <c r="C149" s="23" t="s">
        <v>17</v>
      </c>
      <c r="D149" s="23">
        <v>1</v>
      </c>
      <c r="E149" s="23" t="s">
        <v>686</v>
      </c>
      <c r="F149" s="23" t="s">
        <v>684</v>
      </c>
      <c r="G149" s="23" t="s">
        <v>687</v>
      </c>
      <c r="H149" s="23">
        <v>1</v>
      </c>
      <c r="I149" s="23" t="s">
        <v>1958</v>
      </c>
      <c r="J149" s="23">
        <v>1</v>
      </c>
      <c r="K149" s="23" t="s">
        <v>1826</v>
      </c>
    </row>
    <row r="150" spans="1:11" ht="157.5">
      <c r="A150" s="23" t="s">
        <v>118</v>
      </c>
      <c r="B150" s="23" t="s">
        <v>19</v>
      </c>
      <c r="C150" s="23" t="s">
        <v>20</v>
      </c>
      <c r="D150" s="23">
        <v>1</v>
      </c>
      <c r="E150" s="23" t="s">
        <v>688</v>
      </c>
      <c r="F150" s="23" t="s">
        <v>684</v>
      </c>
      <c r="G150" s="23" t="s">
        <v>689</v>
      </c>
      <c r="H150" s="23">
        <v>1</v>
      </c>
      <c r="I150" s="23" t="s">
        <v>1959</v>
      </c>
      <c r="J150" s="23">
        <v>1</v>
      </c>
      <c r="K150" s="23" t="s">
        <v>1826</v>
      </c>
    </row>
    <row r="151" spans="1:11" ht="189">
      <c r="A151" s="23" t="s">
        <v>118</v>
      </c>
      <c r="B151" s="23" t="s">
        <v>22</v>
      </c>
      <c r="C151" s="23" t="s">
        <v>23</v>
      </c>
      <c r="D151" s="23">
        <v>1</v>
      </c>
      <c r="E151" s="23" t="s">
        <v>690</v>
      </c>
      <c r="F151" s="23" t="s">
        <v>684</v>
      </c>
      <c r="G151" s="23" t="s">
        <v>691</v>
      </c>
      <c r="H151" s="23">
        <v>1</v>
      </c>
      <c r="I151" s="23" t="s">
        <v>1960</v>
      </c>
      <c r="J151" s="23">
        <v>1</v>
      </c>
      <c r="K151" s="23" t="s">
        <v>1826</v>
      </c>
    </row>
    <row r="152" spans="1:11" ht="189">
      <c r="A152" s="23" t="s">
        <v>118</v>
      </c>
      <c r="B152" s="23" t="s">
        <v>25</v>
      </c>
      <c r="C152" s="23" t="s">
        <v>26</v>
      </c>
      <c r="D152" s="23">
        <v>1</v>
      </c>
      <c r="E152" s="23" t="s">
        <v>692</v>
      </c>
      <c r="F152" s="23" t="s">
        <v>684</v>
      </c>
      <c r="G152" s="23" t="s">
        <v>689</v>
      </c>
      <c r="H152" s="23">
        <v>1</v>
      </c>
      <c r="I152" s="23" t="s">
        <v>1961</v>
      </c>
      <c r="J152" s="23">
        <v>1</v>
      </c>
      <c r="K152" s="23" t="s">
        <v>1826</v>
      </c>
    </row>
    <row r="153" spans="1:11" ht="173.25">
      <c r="A153" s="23" t="s">
        <v>118</v>
      </c>
      <c r="B153" s="23" t="s">
        <v>28</v>
      </c>
      <c r="C153" s="23" t="s">
        <v>29</v>
      </c>
      <c r="D153" s="23">
        <v>1</v>
      </c>
      <c r="E153" s="23" t="s">
        <v>693</v>
      </c>
      <c r="F153" s="23" t="s">
        <v>684</v>
      </c>
      <c r="G153" s="23" t="s">
        <v>689</v>
      </c>
      <c r="H153" s="23">
        <v>1</v>
      </c>
      <c r="I153" s="23" t="s">
        <v>1962</v>
      </c>
      <c r="J153" s="23">
        <v>1</v>
      </c>
      <c r="K153" s="23" t="s">
        <v>1826</v>
      </c>
    </row>
    <row r="154" spans="1:11" ht="204.75">
      <c r="A154" s="23" t="s">
        <v>118</v>
      </c>
      <c r="B154" s="23" t="s">
        <v>31</v>
      </c>
      <c r="C154" s="23" t="s">
        <v>32</v>
      </c>
      <c r="D154" s="23">
        <v>0.5</v>
      </c>
      <c r="E154" s="23" t="s">
        <v>694</v>
      </c>
      <c r="F154" s="23" t="s">
        <v>684</v>
      </c>
      <c r="G154" s="23" t="s">
        <v>695</v>
      </c>
      <c r="H154" s="23">
        <v>0.5</v>
      </c>
      <c r="I154" s="23" t="s">
        <v>1963</v>
      </c>
      <c r="J154" s="23">
        <v>0.5</v>
      </c>
      <c r="K154" s="23" t="s">
        <v>1833</v>
      </c>
    </row>
    <row r="155" spans="1:11" ht="252">
      <c r="A155" s="23" t="s">
        <v>118</v>
      </c>
      <c r="B155" s="23" t="s">
        <v>34</v>
      </c>
      <c r="C155" s="23" t="s">
        <v>35</v>
      </c>
      <c r="D155" s="23">
        <v>0.5</v>
      </c>
      <c r="E155" s="23" t="s">
        <v>696</v>
      </c>
      <c r="F155" s="23" t="s">
        <v>684</v>
      </c>
      <c r="G155" s="23" t="s">
        <v>697</v>
      </c>
      <c r="H155" s="23">
        <v>0.5</v>
      </c>
      <c r="I155" s="23" t="s">
        <v>1964</v>
      </c>
      <c r="J155" s="23">
        <v>0.5</v>
      </c>
      <c r="K155" s="23" t="s">
        <v>1833</v>
      </c>
    </row>
    <row r="156" spans="1:11" ht="236.25">
      <c r="A156" s="23" t="s">
        <v>118</v>
      </c>
      <c r="B156" s="23" t="s">
        <v>37</v>
      </c>
      <c r="C156" s="23" t="s">
        <v>38</v>
      </c>
      <c r="D156" s="23">
        <v>0.5</v>
      </c>
      <c r="E156" s="23" t="s">
        <v>698</v>
      </c>
      <c r="F156" s="23" t="s">
        <v>684</v>
      </c>
      <c r="G156" s="23" t="s">
        <v>699</v>
      </c>
      <c r="H156" s="23">
        <v>0.5</v>
      </c>
      <c r="I156" s="23" t="s">
        <v>1965</v>
      </c>
      <c r="J156" s="23">
        <v>0.5</v>
      </c>
      <c r="K156" s="23" t="s">
        <v>1833</v>
      </c>
    </row>
    <row r="157" spans="1:11" ht="189">
      <c r="A157" s="23" t="s">
        <v>122</v>
      </c>
      <c r="B157" s="23" t="s">
        <v>13</v>
      </c>
      <c r="C157" s="23" t="s">
        <v>14</v>
      </c>
      <c r="D157" s="23">
        <v>1</v>
      </c>
      <c r="E157" s="23" t="s">
        <v>700</v>
      </c>
      <c r="F157" s="23" t="s">
        <v>701</v>
      </c>
      <c r="G157" s="23" t="s">
        <v>685</v>
      </c>
      <c r="H157" s="23">
        <v>1</v>
      </c>
      <c r="I157" s="23" t="s">
        <v>1966</v>
      </c>
      <c r="J157" s="23">
        <v>1</v>
      </c>
      <c r="K157" s="23" t="s">
        <v>1826</v>
      </c>
    </row>
    <row r="158" spans="1:11" ht="189">
      <c r="A158" s="23" t="s">
        <v>122</v>
      </c>
      <c r="B158" s="23" t="s">
        <v>16</v>
      </c>
      <c r="C158" s="23" t="s">
        <v>17</v>
      </c>
      <c r="D158" s="23">
        <v>1</v>
      </c>
      <c r="E158" s="23" t="s">
        <v>702</v>
      </c>
      <c r="F158" s="23" t="s">
        <v>701</v>
      </c>
      <c r="G158" s="23" t="s">
        <v>703</v>
      </c>
      <c r="H158" s="23">
        <v>1</v>
      </c>
      <c r="I158" s="23" t="s">
        <v>1967</v>
      </c>
      <c r="J158" s="23">
        <v>1</v>
      </c>
      <c r="K158" s="23" t="s">
        <v>1826</v>
      </c>
    </row>
    <row r="159" spans="1:11" ht="157.5">
      <c r="A159" s="23" t="s">
        <v>122</v>
      </c>
      <c r="B159" s="23" t="s">
        <v>19</v>
      </c>
      <c r="C159" s="23" t="s">
        <v>20</v>
      </c>
      <c r="D159" s="23">
        <v>1</v>
      </c>
      <c r="E159" s="23" t="s">
        <v>704</v>
      </c>
      <c r="F159" s="23" t="s">
        <v>701</v>
      </c>
      <c r="G159" s="23" t="s">
        <v>705</v>
      </c>
      <c r="H159" s="23">
        <v>1</v>
      </c>
      <c r="I159" s="23" t="s">
        <v>1968</v>
      </c>
      <c r="J159" s="23">
        <v>1</v>
      </c>
      <c r="K159" s="23" t="s">
        <v>1826</v>
      </c>
    </row>
    <row r="160" spans="1:11" ht="204.75">
      <c r="A160" s="23" t="s">
        <v>122</v>
      </c>
      <c r="B160" s="23" t="s">
        <v>22</v>
      </c>
      <c r="C160" s="23" t="s">
        <v>23</v>
      </c>
      <c r="D160" s="23">
        <v>1</v>
      </c>
      <c r="E160" s="23" t="s">
        <v>706</v>
      </c>
      <c r="F160" s="23" t="s">
        <v>701</v>
      </c>
      <c r="G160" s="23" t="s">
        <v>707</v>
      </c>
      <c r="H160" s="23">
        <v>1</v>
      </c>
      <c r="I160" s="23" t="s">
        <v>1969</v>
      </c>
      <c r="J160" s="23">
        <v>1</v>
      </c>
      <c r="K160" s="23" t="s">
        <v>1826</v>
      </c>
    </row>
    <row r="161" spans="1:11" ht="204.75">
      <c r="A161" s="23" t="s">
        <v>122</v>
      </c>
      <c r="B161" s="23" t="s">
        <v>25</v>
      </c>
      <c r="C161" s="23" t="s">
        <v>26</v>
      </c>
      <c r="D161" s="23">
        <v>1</v>
      </c>
      <c r="E161" s="23" t="s">
        <v>708</v>
      </c>
      <c r="F161" s="23" t="s">
        <v>701</v>
      </c>
      <c r="G161" s="23" t="s">
        <v>709</v>
      </c>
      <c r="H161" s="23">
        <v>1</v>
      </c>
      <c r="I161" s="23" t="s">
        <v>1970</v>
      </c>
      <c r="J161" s="23">
        <v>1</v>
      </c>
      <c r="K161" s="23" t="s">
        <v>1826</v>
      </c>
    </row>
    <row r="162" spans="1:11" ht="157.5">
      <c r="A162" s="23" t="s">
        <v>122</v>
      </c>
      <c r="B162" s="23" t="s">
        <v>28</v>
      </c>
      <c r="C162" s="23" t="s">
        <v>29</v>
      </c>
      <c r="D162" s="23">
        <v>1</v>
      </c>
      <c r="E162" s="23" t="s">
        <v>710</v>
      </c>
      <c r="F162" s="23" t="s">
        <v>701</v>
      </c>
      <c r="G162" s="23" t="s">
        <v>711</v>
      </c>
      <c r="H162" s="23">
        <v>1</v>
      </c>
      <c r="I162" s="23" t="s">
        <v>1971</v>
      </c>
      <c r="J162" s="23">
        <v>1</v>
      </c>
      <c r="K162" s="23" t="s">
        <v>1826</v>
      </c>
    </row>
    <row r="163" spans="1:11" ht="220.5">
      <c r="A163" s="23" t="s">
        <v>122</v>
      </c>
      <c r="B163" s="23" t="s">
        <v>31</v>
      </c>
      <c r="C163" s="23" t="s">
        <v>32</v>
      </c>
      <c r="D163" s="23">
        <v>0.5</v>
      </c>
      <c r="E163" s="23" t="s">
        <v>712</v>
      </c>
      <c r="F163" s="23" t="s">
        <v>701</v>
      </c>
      <c r="G163" s="23" t="s">
        <v>713</v>
      </c>
      <c r="H163" s="23">
        <v>0.5</v>
      </c>
      <c r="I163" s="23" t="s">
        <v>1972</v>
      </c>
      <c r="J163" s="23">
        <v>0.5</v>
      </c>
      <c r="K163" s="23" t="s">
        <v>1833</v>
      </c>
    </row>
    <row r="164" spans="1:11" ht="204.75">
      <c r="A164" s="23" t="s">
        <v>122</v>
      </c>
      <c r="B164" s="23" t="s">
        <v>34</v>
      </c>
      <c r="C164" s="23" t="s">
        <v>35</v>
      </c>
      <c r="D164" s="23">
        <v>1</v>
      </c>
      <c r="E164" s="23" t="s">
        <v>714</v>
      </c>
      <c r="F164" s="23" t="s">
        <v>701</v>
      </c>
      <c r="G164" s="23" t="s">
        <v>715</v>
      </c>
      <c r="H164" s="23">
        <v>1</v>
      </c>
      <c r="I164" s="23" t="s">
        <v>1973</v>
      </c>
      <c r="J164" s="23">
        <v>1</v>
      </c>
      <c r="K164" s="23" t="s">
        <v>1826</v>
      </c>
    </row>
    <row r="165" spans="1:11" ht="204.75">
      <c r="A165" s="23" t="s">
        <v>122</v>
      </c>
      <c r="B165" s="23" t="s">
        <v>37</v>
      </c>
      <c r="C165" s="23" t="s">
        <v>38</v>
      </c>
      <c r="D165" s="23">
        <v>1</v>
      </c>
      <c r="E165" s="23" t="s">
        <v>716</v>
      </c>
      <c r="F165" s="23" t="s">
        <v>701</v>
      </c>
      <c r="G165" s="23" t="s">
        <v>717</v>
      </c>
      <c r="H165" s="23">
        <v>1</v>
      </c>
      <c r="I165" s="23" t="s">
        <v>1974</v>
      </c>
      <c r="J165" s="23">
        <v>1</v>
      </c>
      <c r="K165" s="23" t="s">
        <v>1826</v>
      </c>
    </row>
    <row r="166" spans="1:11" ht="189">
      <c r="A166" s="23" t="s">
        <v>126</v>
      </c>
      <c r="B166" s="23" t="s">
        <v>13</v>
      </c>
      <c r="C166" s="23" t="s">
        <v>14</v>
      </c>
      <c r="D166" s="23">
        <v>1</v>
      </c>
      <c r="E166" s="23" t="s">
        <v>718</v>
      </c>
      <c r="F166" s="23" t="s">
        <v>719</v>
      </c>
      <c r="G166" s="23" t="s">
        <v>720</v>
      </c>
      <c r="H166" s="23">
        <v>1</v>
      </c>
      <c r="I166" s="23" t="s">
        <v>1975</v>
      </c>
      <c r="J166" s="23">
        <v>1</v>
      </c>
      <c r="K166" s="23" t="s">
        <v>1826</v>
      </c>
    </row>
    <row r="167" spans="1:11" ht="189">
      <c r="A167" s="23" t="s">
        <v>126</v>
      </c>
      <c r="B167" s="23" t="s">
        <v>16</v>
      </c>
      <c r="C167" s="23" t="s">
        <v>17</v>
      </c>
      <c r="D167" s="23">
        <v>1</v>
      </c>
      <c r="E167" s="23" t="s">
        <v>721</v>
      </c>
      <c r="F167" s="23" t="s">
        <v>719</v>
      </c>
      <c r="G167" s="23" t="s">
        <v>722</v>
      </c>
      <c r="H167" s="23">
        <v>1</v>
      </c>
      <c r="I167" s="23" t="s">
        <v>1976</v>
      </c>
      <c r="J167" s="23">
        <v>1</v>
      </c>
      <c r="K167" s="23" t="s">
        <v>1826</v>
      </c>
    </row>
    <row r="168" spans="1:11" ht="189">
      <c r="A168" s="23" t="s">
        <v>126</v>
      </c>
      <c r="B168" s="23" t="s">
        <v>19</v>
      </c>
      <c r="C168" s="23" t="s">
        <v>20</v>
      </c>
      <c r="D168" s="23">
        <v>1</v>
      </c>
      <c r="E168" s="23" t="s">
        <v>723</v>
      </c>
      <c r="F168" s="23" t="s">
        <v>719</v>
      </c>
      <c r="G168" s="23" t="s">
        <v>724</v>
      </c>
      <c r="H168" s="23">
        <v>1</v>
      </c>
      <c r="I168" s="23" t="s">
        <v>1977</v>
      </c>
      <c r="J168" s="23">
        <v>1</v>
      </c>
      <c r="K168" s="23" t="s">
        <v>1826</v>
      </c>
    </row>
    <row r="169" spans="1:11" ht="204.75">
      <c r="A169" s="23" t="s">
        <v>126</v>
      </c>
      <c r="B169" s="23" t="s">
        <v>22</v>
      </c>
      <c r="C169" s="23" t="s">
        <v>23</v>
      </c>
      <c r="D169" s="23">
        <v>1</v>
      </c>
      <c r="E169" s="23" t="s">
        <v>725</v>
      </c>
      <c r="F169" s="23" t="s">
        <v>719</v>
      </c>
      <c r="G169" s="23" t="s">
        <v>726</v>
      </c>
      <c r="H169" s="23">
        <v>1</v>
      </c>
      <c r="I169" s="23" t="s">
        <v>1978</v>
      </c>
      <c r="J169" s="23">
        <v>1</v>
      </c>
      <c r="K169" s="23" t="s">
        <v>1826</v>
      </c>
    </row>
    <row r="170" spans="1:11" ht="189">
      <c r="A170" s="23" t="s">
        <v>126</v>
      </c>
      <c r="B170" s="23" t="s">
        <v>25</v>
      </c>
      <c r="C170" s="23" t="s">
        <v>26</v>
      </c>
      <c r="D170" s="23">
        <v>1</v>
      </c>
      <c r="E170" s="23" t="s">
        <v>727</v>
      </c>
      <c r="F170" s="23" t="s">
        <v>719</v>
      </c>
      <c r="G170" s="23" t="s">
        <v>724</v>
      </c>
      <c r="H170" s="23">
        <v>1</v>
      </c>
      <c r="I170" s="23" t="s">
        <v>1979</v>
      </c>
      <c r="J170" s="23">
        <v>1</v>
      </c>
      <c r="K170" s="23" t="s">
        <v>1826</v>
      </c>
    </row>
    <row r="171" spans="1:11" ht="173.25">
      <c r="A171" s="23" t="s">
        <v>126</v>
      </c>
      <c r="B171" s="23" t="s">
        <v>28</v>
      </c>
      <c r="C171" s="23" t="s">
        <v>29</v>
      </c>
      <c r="D171" s="23">
        <v>1</v>
      </c>
      <c r="E171" s="23" t="s">
        <v>728</v>
      </c>
      <c r="F171" s="23" t="s">
        <v>719</v>
      </c>
      <c r="G171" s="23" t="s">
        <v>729</v>
      </c>
      <c r="H171" s="23">
        <v>1</v>
      </c>
      <c r="I171" s="23" t="s">
        <v>1980</v>
      </c>
      <c r="J171" s="23">
        <v>1</v>
      </c>
      <c r="K171" s="23" t="s">
        <v>1826</v>
      </c>
    </row>
    <row r="172" spans="1:11" ht="204.75">
      <c r="A172" s="23" t="s">
        <v>126</v>
      </c>
      <c r="B172" s="23" t="s">
        <v>31</v>
      </c>
      <c r="C172" s="23" t="s">
        <v>32</v>
      </c>
      <c r="D172" s="23">
        <v>1</v>
      </c>
      <c r="E172" s="23" t="s">
        <v>730</v>
      </c>
      <c r="F172" s="23" t="s">
        <v>719</v>
      </c>
      <c r="G172" s="23" t="s">
        <v>731</v>
      </c>
      <c r="H172" s="23">
        <v>1</v>
      </c>
      <c r="I172" s="23" t="s">
        <v>1981</v>
      </c>
      <c r="J172" s="23">
        <v>1</v>
      </c>
      <c r="K172" s="23" t="s">
        <v>1826</v>
      </c>
    </row>
    <row r="173" spans="1:11" ht="204.75">
      <c r="A173" s="23" t="s">
        <v>126</v>
      </c>
      <c r="B173" s="23" t="s">
        <v>34</v>
      </c>
      <c r="C173" s="23" t="s">
        <v>35</v>
      </c>
      <c r="D173" s="23">
        <v>1</v>
      </c>
      <c r="E173" s="23" t="s">
        <v>732</v>
      </c>
      <c r="F173" s="23" t="s">
        <v>719</v>
      </c>
      <c r="G173" s="23" t="s">
        <v>733</v>
      </c>
      <c r="H173" s="23">
        <v>1</v>
      </c>
      <c r="I173" s="23" t="s">
        <v>1982</v>
      </c>
      <c r="J173" s="23">
        <v>1</v>
      </c>
      <c r="K173" s="23" t="s">
        <v>1826</v>
      </c>
    </row>
    <row r="174" spans="1:11" ht="204.75">
      <c r="A174" s="23" t="s">
        <v>126</v>
      </c>
      <c r="B174" s="23" t="s">
        <v>37</v>
      </c>
      <c r="C174" s="23" t="s">
        <v>38</v>
      </c>
      <c r="D174" s="23">
        <v>1</v>
      </c>
      <c r="E174" s="23" t="s">
        <v>734</v>
      </c>
      <c r="F174" s="23" t="s">
        <v>719</v>
      </c>
      <c r="G174" s="23" t="s">
        <v>735</v>
      </c>
      <c r="H174" s="23">
        <v>1</v>
      </c>
      <c r="I174" s="23" t="s">
        <v>1983</v>
      </c>
      <c r="J174" s="23">
        <v>1</v>
      </c>
      <c r="K174" s="23" t="s">
        <v>1826</v>
      </c>
    </row>
    <row r="175" spans="1:11" ht="173.25">
      <c r="A175" s="23" t="s">
        <v>130</v>
      </c>
      <c r="B175" s="23" t="s">
        <v>13</v>
      </c>
      <c r="C175" s="23" t="s">
        <v>14</v>
      </c>
      <c r="D175" s="23">
        <v>1</v>
      </c>
      <c r="E175" s="23" t="s">
        <v>736</v>
      </c>
      <c r="F175" s="23" t="s">
        <v>737</v>
      </c>
      <c r="G175" s="23" t="s">
        <v>685</v>
      </c>
      <c r="H175" s="23">
        <v>1</v>
      </c>
      <c r="I175" s="23" t="s">
        <v>1984</v>
      </c>
      <c r="J175" s="23">
        <v>1</v>
      </c>
      <c r="K175" s="23" t="s">
        <v>1826</v>
      </c>
    </row>
    <row r="176" spans="1:11" ht="189">
      <c r="A176" s="23" t="s">
        <v>130</v>
      </c>
      <c r="B176" s="23" t="s">
        <v>16</v>
      </c>
      <c r="C176" s="23" t="s">
        <v>17</v>
      </c>
      <c r="D176" s="23">
        <v>1</v>
      </c>
      <c r="E176" s="23" t="s">
        <v>738</v>
      </c>
      <c r="F176" s="23" t="s">
        <v>737</v>
      </c>
      <c r="G176" s="23" t="s">
        <v>739</v>
      </c>
      <c r="H176" s="23">
        <v>1</v>
      </c>
      <c r="I176" s="23" t="s">
        <v>1985</v>
      </c>
      <c r="J176" s="23">
        <v>1</v>
      </c>
      <c r="K176" s="23" t="s">
        <v>1826</v>
      </c>
    </row>
    <row r="177" spans="1:11" ht="141.75">
      <c r="A177" s="23" t="s">
        <v>130</v>
      </c>
      <c r="B177" s="23" t="s">
        <v>19</v>
      </c>
      <c r="C177" s="23" t="s">
        <v>20</v>
      </c>
      <c r="D177" s="23">
        <v>1</v>
      </c>
      <c r="E177" s="23" t="s">
        <v>740</v>
      </c>
      <c r="F177" s="23" t="s">
        <v>737</v>
      </c>
      <c r="G177" s="23" t="s">
        <v>741</v>
      </c>
      <c r="H177" s="23">
        <v>1</v>
      </c>
      <c r="I177" s="23" t="s">
        <v>1986</v>
      </c>
      <c r="J177" s="23">
        <v>1</v>
      </c>
      <c r="K177" s="23" t="s">
        <v>1826</v>
      </c>
    </row>
    <row r="178" spans="1:11" ht="236.25">
      <c r="A178" s="23" t="s">
        <v>130</v>
      </c>
      <c r="B178" s="23" t="s">
        <v>22</v>
      </c>
      <c r="C178" s="23" t="s">
        <v>23</v>
      </c>
      <c r="D178" s="23">
        <v>1</v>
      </c>
      <c r="E178" s="23" t="s">
        <v>742</v>
      </c>
      <c r="F178" s="23" t="s">
        <v>737</v>
      </c>
      <c r="G178" s="23" t="s">
        <v>743</v>
      </c>
      <c r="H178" s="23">
        <v>1</v>
      </c>
      <c r="I178" s="23" t="s">
        <v>1987</v>
      </c>
      <c r="J178" s="23">
        <v>1</v>
      </c>
      <c r="K178" s="23" t="s">
        <v>1826</v>
      </c>
    </row>
    <row r="179" spans="1:11" ht="204.75">
      <c r="A179" s="23" t="s">
        <v>130</v>
      </c>
      <c r="B179" s="23" t="s">
        <v>25</v>
      </c>
      <c r="C179" s="23" t="s">
        <v>26</v>
      </c>
      <c r="D179" s="23">
        <v>1</v>
      </c>
      <c r="E179" s="23" t="s">
        <v>744</v>
      </c>
      <c r="F179" s="23" t="s">
        <v>737</v>
      </c>
      <c r="G179" s="23" t="s">
        <v>597</v>
      </c>
      <c r="H179" s="23">
        <v>1</v>
      </c>
      <c r="I179" s="23" t="s">
        <v>1988</v>
      </c>
      <c r="J179" s="23">
        <v>1</v>
      </c>
      <c r="K179" s="23" t="s">
        <v>1826</v>
      </c>
    </row>
    <row r="180" spans="1:11" ht="173.25">
      <c r="A180" s="23" t="s">
        <v>130</v>
      </c>
      <c r="B180" s="23" t="s">
        <v>28</v>
      </c>
      <c r="C180" s="23" t="s">
        <v>29</v>
      </c>
      <c r="D180" s="23">
        <v>1</v>
      </c>
      <c r="E180" s="23" t="s">
        <v>745</v>
      </c>
      <c r="F180" s="23" t="s">
        <v>737</v>
      </c>
      <c r="G180" s="23" t="s">
        <v>579</v>
      </c>
      <c r="H180" s="23">
        <v>1</v>
      </c>
      <c r="I180" s="23" t="s">
        <v>1989</v>
      </c>
      <c r="J180" s="23">
        <v>1</v>
      </c>
      <c r="K180" s="23" t="s">
        <v>1826</v>
      </c>
    </row>
    <row r="181" spans="1:11" ht="220.5">
      <c r="A181" s="23" t="s">
        <v>130</v>
      </c>
      <c r="B181" s="23" t="s">
        <v>31</v>
      </c>
      <c r="C181" s="23" t="s">
        <v>32</v>
      </c>
      <c r="D181" s="23">
        <v>0.5</v>
      </c>
      <c r="E181" s="23" t="s">
        <v>746</v>
      </c>
      <c r="F181" s="23" t="s">
        <v>737</v>
      </c>
      <c r="G181" s="23" t="s">
        <v>747</v>
      </c>
      <c r="H181" s="23">
        <v>0.5</v>
      </c>
      <c r="I181" s="23" t="s">
        <v>1990</v>
      </c>
      <c r="J181" s="23">
        <v>0.5</v>
      </c>
      <c r="K181" s="23" t="s">
        <v>1833</v>
      </c>
    </row>
    <row r="182" spans="1:11" ht="236.25">
      <c r="A182" s="23" t="s">
        <v>130</v>
      </c>
      <c r="B182" s="23" t="s">
        <v>34</v>
      </c>
      <c r="C182" s="23" t="s">
        <v>35</v>
      </c>
      <c r="D182" s="23">
        <v>0.5</v>
      </c>
      <c r="E182" s="23" t="s">
        <v>748</v>
      </c>
      <c r="F182" s="23" t="s">
        <v>737</v>
      </c>
      <c r="G182" s="23" t="s">
        <v>597</v>
      </c>
      <c r="H182" s="23">
        <v>0.5</v>
      </c>
      <c r="I182" s="23" t="s">
        <v>1991</v>
      </c>
      <c r="J182" s="23">
        <v>0.5</v>
      </c>
      <c r="K182" s="23" t="s">
        <v>1833</v>
      </c>
    </row>
    <row r="183" spans="1:11" ht="252">
      <c r="A183" s="23" t="s">
        <v>130</v>
      </c>
      <c r="B183" s="23" t="s">
        <v>37</v>
      </c>
      <c r="C183" s="23" t="s">
        <v>38</v>
      </c>
      <c r="D183" s="23">
        <v>0.5</v>
      </c>
      <c r="E183" s="23" t="s">
        <v>749</v>
      </c>
      <c r="F183" s="23" t="s">
        <v>737</v>
      </c>
      <c r="G183" s="23" t="s">
        <v>750</v>
      </c>
      <c r="H183" s="23">
        <v>0.5</v>
      </c>
      <c r="I183" s="23" t="s">
        <v>1992</v>
      </c>
      <c r="J183" s="23">
        <v>0.5</v>
      </c>
      <c r="K183" s="23" t="s">
        <v>1833</v>
      </c>
    </row>
    <row r="184" spans="1:11" ht="189">
      <c r="A184" s="23" t="s">
        <v>134</v>
      </c>
      <c r="B184" s="23" t="s">
        <v>13</v>
      </c>
      <c r="C184" s="23" t="s">
        <v>14</v>
      </c>
      <c r="D184" s="23">
        <v>1</v>
      </c>
      <c r="E184" s="23" t="s">
        <v>751</v>
      </c>
      <c r="F184" s="23" t="s">
        <v>752</v>
      </c>
      <c r="G184" s="23" t="s">
        <v>685</v>
      </c>
      <c r="H184" s="23">
        <v>1</v>
      </c>
      <c r="I184" s="23" t="s">
        <v>1993</v>
      </c>
      <c r="J184" s="23">
        <v>1</v>
      </c>
      <c r="K184" s="23" t="s">
        <v>1826</v>
      </c>
    </row>
    <row r="185" spans="1:11" ht="189">
      <c r="A185" s="23" t="s">
        <v>134</v>
      </c>
      <c r="B185" s="23" t="s">
        <v>16</v>
      </c>
      <c r="C185" s="23" t="s">
        <v>17</v>
      </c>
      <c r="D185" s="23">
        <v>1</v>
      </c>
      <c r="E185" s="23" t="s">
        <v>753</v>
      </c>
      <c r="F185" s="23" t="s">
        <v>752</v>
      </c>
      <c r="G185" s="23" t="s">
        <v>754</v>
      </c>
      <c r="H185" s="23">
        <v>1</v>
      </c>
      <c r="I185" s="23" t="s">
        <v>1994</v>
      </c>
      <c r="J185" s="23">
        <v>1</v>
      </c>
      <c r="K185" s="23" t="s">
        <v>1826</v>
      </c>
    </row>
    <row r="186" spans="1:11" ht="157.5">
      <c r="A186" s="23" t="s">
        <v>134</v>
      </c>
      <c r="B186" s="23" t="s">
        <v>19</v>
      </c>
      <c r="C186" s="23" t="s">
        <v>20</v>
      </c>
      <c r="D186" s="23">
        <v>1</v>
      </c>
      <c r="E186" s="23" t="s">
        <v>755</v>
      </c>
      <c r="F186" s="23" t="s">
        <v>752</v>
      </c>
      <c r="G186" s="23" t="s">
        <v>756</v>
      </c>
      <c r="H186" s="23">
        <v>1</v>
      </c>
      <c r="I186" s="23" t="s">
        <v>1995</v>
      </c>
      <c r="J186" s="23">
        <v>1</v>
      </c>
      <c r="K186" s="23" t="s">
        <v>1826</v>
      </c>
    </row>
    <row r="187" spans="1:11" ht="204.75">
      <c r="A187" s="23" t="s">
        <v>134</v>
      </c>
      <c r="B187" s="23" t="s">
        <v>22</v>
      </c>
      <c r="C187" s="23" t="s">
        <v>23</v>
      </c>
      <c r="D187" s="23">
        <v>1</v>
      </c>
      <c r="E187" s="23" t="s">
        <v>757</v>
      </c>
      <c r="F187" s="23" t="s">
        <v>752</v>
      </c>
      <c r="G187" s="23" t="s">
        <v>758</v>
      </c>
      <c r="H187" s="23">
        <v>1</v>
      </c>
      <c r="I187" s="23" t="s">
        <v>1996</v>
      </c>
      <c r="J187" s="23">
        <v>1</v>
      </c>
      <c r="K187" s="23" t="s">
        <v>1826</v>
      </c>
    </row>
    <row r="188" spans="1:11" ht="173.25">
      <c r="A188" s="23" t="s">
        <v>134</v>
      </c>
      <c r="B188" s="23" t="s">
        <v>25</v>
      </c>
      <c r="C188" s="23" t="s">
        <v>26</v>
      </c>
      <c r="D188" s="23">
        <v>1</v>
      </c>
      <c r="E188" s="23" t="s">
        <v>759</v>
      </c>
      <c r="F188" s="23" t="s">
        <v>752</v>
      </c>
      <c r="G188" s="23" t="s">
        <v>760</v>
      </c>
      <c r="H188" s="23">
        <v>1</v>
      </c>
      <c r="I188" s="23" t="s">
        <v>1997</v>
      </c>
      <c r="J188" s="23">
        <v>1</v>
      </c>
      <c r="K188" s="23" t="s">
        <v>1826</v>
      </c>
    </row>
    <row r="189" spans="1:11" ht="141.75">
      <c r="A189" s="23" t="s">
        <v>134</v>
      </c>
      <c r="B189" s="23" t="s">
        <v>28</v>
      </c>
      <c r="C189" s="23" t="s">
        <v>29</v>
      </c>
      <c r="D189" s="23">
        <v>1</v>
      </c>
      <c r="E189" s="23" t="s">
        <v>761</v>
      </c>
      <c r="F189" s="23" t="s">
        <v>752</v>
      </c>
      <c r="G189" s="23" t="s">
        <v>697</v>
      </c>
      <c r="H189" s="23">
        <v>1</v>
      </c>
      <c r="I189" s="23" t="s">
        <v>1998</v>
      </c>
      <c r="J189" s="23">
        <v>1</v>
      </c>
      <c r="K189" s="23" t="s">
        <v>1826</v>
      </c>
    </row>
    <row r="190" spans="1:11" ht="157.5">
      <c r="A190" s="23" t="s">
        <v>134</v>
      </c>
      <c r="B190" s="23" t="s">
        <v>31</v>
      </c>
      <c r="C190" s="23" t="s">
        <v>32</v>
      </c>
      <c r="D190" s="23">
        <v>1</v>
      </c>
      <c r="E190" s="23" t="s">
        <v>762</v>
      </c>
      <c r="F190" s="23" t="s">
        <v>752</v>
      </c>
      <c r="G190" s="23" t="s">
        <v>597</v>
      </c>
      <c r="H190" s="23">
        <v>1</v>
      </c>
      <c r="I190" s="23" t="s">
        <v>1999</v>
      </c>
      <c r="J190" s="23">
        <v>1</v>
      </c>
      <c r="K190" s="23" t="s">
        <v>1826</v>
      </c>
    </row>
    <row r="191" spans="1:11" ht="236.25">
      <c r="A191" s="23" t="s">
        <v>134</v>
      </c>
      <c r="B191" s="23" t="s">
        <v>34</v>
      </c>
      <c r="C191" s="23" t="s">
        <v>35</v>
      </c>
      <c r="D191" s="23">
        <v>0.5</v>
      </c>
      <c r="E191" s="23" t="s">
        <v>763</v>
      </c>
      <c r="F191" s="23" t="s">
        <v>752</v>
      </c>
      <c r="G191" s="23" t="s">
        <v>764</v>
      </c>
      <c r="H191" s="23">
        <v>0.5</v>
      </c>
      <c r="I191" s="23" t="s">
        <v>2000</v>
      </c>
      <c r="J191" s="23">
        <v>0.5</v>
      </c>
      <c r="K191" s="23" t="s">
        <v>1833</v>
      </c>
    </row>
    <row r="192" spans="1:11" ht="236.25">
      <c r="A192" s="23" t="s">
        <v>134</v>
      </c>
      <c r="B192" s="23" t="s">
        <v>37</v>
      </c>
      <c r="C192" s="23" t="s">
        <v>38</v>
      </c>
      <c r="D192" s="23">
        <v>0.5</v>
      </c>
      <c r="E192" s="23" t="s">
        <v>765</v>
      </c>
      <c r="F192" s="23" t="s">
        <v>752</v>
      </c>
      <c r="G192" s="23" t="s">
        <v>766</v>
      </c>
      <c r="H192" s="23">
        <v>0.5</v>
      </c>
      <c r="I192" s="23" t="s">
        <v>2001</v>
      </c>
      <c r="J192" s="23">
        <v>0.5</v>
      </c>
      <c r="K192" s="23" t="s">
        <v>1833</v>
      </c>
    </row>
    <row r="193" spans="1:11" ht="204.75">
      <c r="A193" s="23" t="s">
        <v>138</v>
      </c>
      <c r="B193" s="23" t="s">
        <v>13</v>
      </c>
      <c r="C193" s="23" t="s">
        <v>14</v>
      </c>
      <c r="D193" s="23">
        <v>1</v>
      </c>
      <c r="E193" s="23" t="s">
        <v>767</v>
      </c>
      <c r="F193" s="23" t="s">
        <v>768</v>
      </c>
      <c r="G193" s="23" t="s">
        <v>685</v>
      </c>
      <c r="H193" s="23">
        <v>1</v>
      </c>
      <c r="I193" s="23" t="s">
        <v>2002</v>
      </c>
      <c r="J193" s="23">
        <v>1</v>
      </c>
      <c r="K193" s="23" t="s">
        <v>1826</v>
      </c>
    </row>
    <row r="194" spans="1:11" ht="189">
      <c r="A194" s="23" t="s">
        <v>138</v>
      </c>
      <c r="B194" s="23" t="s">
        <v>16</v>
      </c>
      <c r="C194" s="23" t="s">
        <v>17</v>
      </c>
      <c r="D194" s="23">
        <v>1</v>
      </c>
      <c r="E194" s="23" t="s">
        <v>769</v>
      </c>
      <c r="F194" s="23" t="s">
        <v>768</v>
      </c>
      <c r="G194" s="23" t="s">
        <v>770</v>
      </c>
      <c r="H194" s="23">
        <v>1</v>
      </c>
      <c r="I194" s="23" t="s">
        <v>2003</v>
      </c>
      <c r="J194" s="23">
        <v>1</v>
      </c>
      <c r="K194" s="23" t="s">
        <v>1826</v>
      </c>
    </row>
    <row r="195" spans="1:11" ht="141.75">
      <c r="A195" s="23" t="s">
        <v>138</v>
      </c>
      <c r="B195" s="23" t="s">
        <v>19</v>
      </c>
      <c r="C195" s="23" t="s">
        <v>20</v>
      </c>
      <c r="D195" s="23">
        <v>1</v>
      </c>
      <c r="E195" s="23" t="s">
        <v>771</v>
      </c>
      <c r="F195" s="23" t="s">
        <v>768</v>
      </c>
      <c r="G195" s="23" t="s">
        <v>772</v>
      </c>
      <c r="H195" s="23">
        <v>1</v>
      </c>
      <c r="I195" s="23" t="s">
        <v>2004</v>
      </c>
      <c r="J195" s="23">
        <v>1</v>
      </c>
      <c r="K195" s="23" t="s">
        <v>1826</v>
      </c>
    </row>
    <row r="196" spans="1:11" ht="220.5">
      <c r="A196" s="23" t="s">
        <v>138</v>
      </c>
      <c r="B196" s="23" t="s">
        <v>22</v>
      </c>
      <c r="C196" s="23" t="s">
        <v>23</v>
      </c>
      <c r="D196" s="23">
        <v>1</v>
      </c>
      <c r="E196" s="23" t="s">
        <v>773</v>
      </c>
      <c r="F196" s="23" t="s">
        <v>768</v>
      </c>
      <c r="G196" s="23" t="s">
        <v>774</v>
      </c>
      <c r="H196" s="23">
        <v>1</v>
      </c>
      <c r="I196" s="23" t="s">
        <v>2005</v>
      </c>
      <c r="J196" s="23">
        <v>1</v>
      </c>
      <c r="K196" s="23" t="s">
        <v>1826</v>
      </c>
    </row>
    <row r="197" spans="1:11" ht="173.25">
      <c r="A197" s="23" t="s">
        <v>138</v>
      </c>
      <c r="B197" s="23" t="s">
        <v>25</v>
      </c>
      <c r="C197" s="23" t="s">
        <v>26</v>
      </c>
      <c r="D197" s="23">
        <v>1</v>
      </c>
      <c r="E197" s="23" t="s">
        <v>775</v>
      </c>
      <c r="F197" s="23" t="s">
        <v>768</v>
      </c>
      <c r="G197" s="23" t="s">
        <v>760</v>
      </c>
      <c r="H197" s="23">
        <v>1</v>
      </c>
      <c r="I197" s="23" t="s">
        <v>2006</v>
      </c>
      <c r="J197" s="23">
        <v>1</v>
      </c>
      <c r="K197" s="23" t="s">
        <v>1826</v>
      </c>
    </row>
    <row r="198" spans="1:11" ht="189">
      <c r="A198" s="23" t="s">
        <v>138</v>
      </c>
      <c r="B198" s="23" t="s">
        <v>28</v>
      </c>
      <c r="C198" s="23" t="s">
        <v>29</v>
      </c>
      <c r="D198" s="23">
        <v>1</v>
      </c>
      <c r="E198" s="23" t="s">
        <v>776</v>
      </c>
      <c r="F198" s="23" t="s">
        <v>768</v>
      </c>
      <c r="G198" s="23" t="s">
        <v>760</v>
      </c>
      <c r="H198" s="23">
        <v>1</v>
      </c>
      <c r="I198" s="23" t="s">
        <v>2007</v>
      </c>
      <c r="J198" s="23">
        <v>1</v>
      </c>
      <c r="K198" s="23" t="s">
        <v>1826</v>
      </c>
    </row>
    <row r="199" spans="1:11" ht="204.75">
      <c r="A199" s="23" t="s">
        <v>138</v>
      </c>
      <c r="B199" s="23" t="s">
        <v>31</v>
      </c>
      <c r="C199" s="23" t="s">
        <v>32</v>
      </c>
      <c r="D199" s="23">
        <v>1</v>
      </c>
      <c r="E199" s="23" t="s">
        <v>777</v>
      </c>
      <c r="F199" s="23" t="s">
        <v>768</v>
      </c>
      <c r="G199" s="23" t="s">
        <v>778</v>
      </c>
      <c r="H199" s="23">
        <v>1</v>
      </c>
      <c r="I199" s="23" t="s">
        <v>2008</v>
      </c>
      <c r="J199" s="23">
        <v>1</v>
      </c>
      <c r="K199" s="23" t="s">
        <v>1826</v>
      </c>
    </row>
    <row r="200" spans="1:11" ht="283.5">
      <c r="A200" s="23" t="s">
        <v>138</v>
      </c>
      <c r="B200" s="23" t="s">
        <v>34</v>
      </c>
      <c r="C200" s="23" t="s">
        <v>35</v>
      </c>
      <c r="D200" s="23">
        <v>0.5</v>
      </c>
      <c r="E200" s="23" t="s">
        <v>779</v>
      </c>
      <c r="F200" s="23" t="s">
        <v>768</v>
      </c>
      <c r="G200" s="23" t="s">
        <v>780</v>
      </c>
      <c r="H200" s="23">
        <v>0.5</v>
      </c>
      <c r="I200" s="23" t="s">
        <v>2009</v>
      </c>
      <c r="J200" s="23">
        <v>0.5</v>
      </c>
      <c r="K200" s="23" t="s">
        <v>1833</v>
      </c>
    </row>
    <row r="201" spans="1:11" ht="236.25">
      <c r="A201" s="23" t="s">
        <v>138</v>
      </c>
      <c r="B201" s="23" t="s">
        <v>37</v>
      </c>
      <c r="C201" s="23" t="s">
        <v>38</v>
      </c>
      <c r="D201" s="23">
        <v>0.5</v>
      </c>
      <c r="E201" s="23" t="s">
        <v>781</v>
      </c>
      <c r="F201" s="23" t="s">
        <v>768</v>
      </c>
      <c r="G201" s="23" t="s">
        <v>780</v>
      </c>
      <c r="H201" s="23">
        <v>0.5</v>
      </c>
      <c r="I201" s="23" t="s">
        <v>2010</v>
      </c>
      <c r="J201" s="23">
        <v>0.5</v>
      </c>
      <c r="K201" s="23" t="s">
        <v>1833</v>
      </c>
    </row>
    <row r="202" spans="1:11" ht="173.25">
      <c r="A202" s="23" t="s">
        <v>142</v>
      </c>
      <c r="B202" s="23" t="s">
        <v>13</v>
      </c>
      <c r="C202" s="23" t="s">
        <v>14</v>
      </c>
      <c r="D202" s="23">
        <v>1</v>
      </c>
      <c r="E202" s="23" t="s">
        <v>782</v>
      </c>
      <c r="F202" s="23" t="s">
        <v>783</v>
      </c>
      <c r="G202" s="23" t="s">
        <v>685</v>
      </c>
      <c r="H202" s="23">
        <v>1</v>
      </c>
      <c r="I202" s="23" t="s">
        <v>2011</v>
      </c>
      <c r="J202" s="23">
        <v>1</v>
      </c>
      <c r="K202" s="23" t="s">
        <v>1826</v>
      </c>
    </row>
    <row r="203" spans="1:11" ht="189">
      <c r="A203" s="23" t="s">
        <v>142</v>
      </c>
      <c r="B203" s="23" t="s">
        <v>16</v>
      </c>
      <c r="C203" s="23" t="s">
        <v>17</v>
      </c>
      <c r="D203" s="23">
        <v>1</v>
      </c>
      <c r="E203" s="23" t="s">
        <v>784</v>
      </c>
      <c r="F203" s="23" t="s">
        <v>783</v>
      </c>
      <c r="G203" s="23" t="s">
        <v>770</v>
      </c>
      <c r="H203" s="23">
        <v>1</v>
      </c>
      <c r="I203" s="23" t="s">
        <v>2012</v>
      </c>
      <c r="J203" s="23">
        <v>1</v>
      </c>
      <c r="K203" s="23" t="s">
        <v>1826</v>
      </c>
    </row>
    <row r="204" spans="1:11" ht="189">
      <c r="A204" s="23" t="s">
        <v>142</v>
      </c>
      <c r="B204" s="23" t="s">
        <v>19</v>
      </c>
      <c r="C204" s="23" t="s">
        <v>20</v>
      </c>
      <c r="D204" s="23">
        <v>1</v>
      </c>
      <c r="E204" s="23" t="s">
        <v>785</v>
      </c>
      <c r="F204" s="23" t="s">
        <v>783</v>
      </c>
      <c r="G204" s="23" t="s">
        <v>772</v>
      </c>
      <c r="H204" s="23">
        <v>1</v>
      </c>
      <c r="I204" s="23" t="s">
        <v>2013</v>
      </c>
      <c r="J204" s="23">
        <v>1</v>
      </c>
      <c r="K204" s="23" t="s">
        <v>1826</v>
      </c>
    </row>
    <row r="205" spans="1:11" ht="189">
      <c r="A205" s="23" t="s">
        <v>142</v>
      </c>
      <c r="B205" s="23" t="s">
        <v>22</v>
      </c>
      <c r="C205" s="23" t="s">
        <v>23</v>
      </c>
      <c r="D205" s="23">
        <v>1</v>
      </c>
      <c r="E205" s="23" t="s">
        <v>786</v>
      </c>
      <c r="F205" s="23" t="s">
        <v>783</v>
      </c>
      <c r="G205" s="23" t="s">
        <v>787</v>
      </c>
      <c r="H205" s="23">
        <v>1</v>
      </c>
      <c r="I205" s="23" t="s">
        <v>2014</v>
      </c>
      <c r="J205" s="23">
        <v>1</v>
      </c>
      <c r="K205" s="23" t="s">
        <v>1826</v>
      </c>
    </row>
    <row r="206" spans="1:11" ht="204.75">
      <c r="A206" s="23" t="s">
        <v>142</v>
      </c>
      <c r="B206" s="23" t="s">
        <v>25</v>
      </c>
      <c r="C206" s="23" t="s">
        <v>26</v>
      </c>
      <c r="D206" s="23">
        <v>1</v>
      </c>
      <c r="E206" s="23" t="s">
        <v>788</v>
      </c>
      <c r="F206" s="23" t="s">
        <v>783</v>
      </c>
      <c r="G206" s="23" t="s">
        <v>789</v>
      </c>
      <c r="H206" s="23">
        <v>1</v>
      </c>
      <c r="I206" s="23" t="s">
        <v>2015</v>
      </c>
      <c r="J206" s="23">
        <v>1</v>
      </c>
      <c r="K206" s="23" t="s">
        <v>1826</v>
      </c>
    </row>
    <row r="207" spans="1:11" ht="189">
      <c r="A207" s="23" t="s">
        <v>142</v>
      </c>
      <c r="B207" s="23" t="s">
        <v>28</v>
      </c>
      <c r="C207" s="23" t="s">
        <v>29</v>
      </c>
      <c r="D207" s="23">
        <v>1</v>
      </c>
      <c r="E207" s="23" t="s">
        <v>790</v>
      </c>
      <c r="F207" s="23" t="s">
        <v>783</v>
      </c>
      <c r="G207" s="23" t="s">
        <v>791</v>
      </c>
      <c r="H207" s="23">
        <v>1</v>
      </c>
      <c r="I207" s="23" t="s">
        <v>2016</v>
      </c>
      <c r="J207" s="23">
        <v>1</v>
      </c>
      <c r="K207" s="23" t="s">
        <v>1826</v>
      </c>
    </row>
    <row r="208" spans="1:11" ht="204.75">
      <c r="A208" s="23" t="s">
        <v>142</v>
      </c>
      <c r="B208" s="23" t="s">
        <v>31</v>
      </c>
      <c r="C208" s="23" t="s">
        <v>32</v>
      </c>
      <c r="D208" s="23">
        <v>1</v>
      </c>
      <c r="E208" s="23" t="s">
        <v>792</v>
      </c>
      <c r="F208" s="23" t="s">
        <v>783</v>
      </c>
      <c r="G208" s="23" t="s">
        <v>778</v>
      </c>
      <c r="H208" s="23">
        <v>1</v>
      </c>
      <c r="I208" s="23" t="s">
        <v>2017</v>
      </c>
      <c r="J208" s="23">
        <v>1</v>
      </c>
      <c r="K208" s="23" t="s">
        <v>1826</v>
      </c>
    </row>
    <row r="209" spans="1:11" ht="173.25">
      <c r="A209" s="23" t="s">
        <v>142</v>
      </c>
      <c r="B209" s="23" t="s">
        <v>34</v>
      </c>
      <c r="C209" s="23" t="s">
        <v>35</v>
      </c>
      <c r="D209" s="23">
        <v>1</v>
      </c>
      <c r="E209" s="23" t="s">
        <v>793</v>
      </c>
      <c r="F209" s="23" t="s">
        <v>783</v>
      </c>
      <c r="G209" s="23" t="s">
        <v>780</v>
      </c>
      <c r="H209" s="23">
        <v>1</v>
      </c>
      <c r="I209" s="23" t="s">
        <v>2018</v>
      </c>
      <c r="J209" s="23">
        <v>1</v>
      </c>
      <c r="K209" s="23" t="s">
        <v>1826</v>
      </c>
    </row>
    <row r="210" spans="1:11" ht="252">
      <c r="A210" s="23" t="s">
        <v>142</v>
      </c>
      <c r="B210" s="23" t="s">
        <v>37</v>
      </c>
      <c r="C210" s="23" t="s">
        <v>38</v>
      </c>
      <c r="D210" s="23">
        <v>0.5</v>
      </c>
      <c r="E210" s="23" t="s">
        <v>794</v>
      </c>
      <c r="F210" s="23" t="s">
        <v>783</v>
      </c>
      <c r="G210" s="23" t="s">
        <v>795</v>
      </c>
      <c r="H210" s="23">
        <v>0.5</v>
      </c>
      <c r="I210" s="23" t="s">
        <v>2019</v>
      </c>
      <c r="J210" s="23">
        <v>0.5</v>
      </c>
      <c r="K210" s="23" t="s">
        <v>1833</v>
      </c>
    </row>
    <row r="211" spans="1:11" ht="189">
      <c r="A211" s="23" t="s">
        <v>146</v>
      </c>
      <c r="B211" s="23" t="s">
        <v>13</v>
      </c>
      <c r="C211" s="23" t="s">
        <v>14</v>
      </c>
      <c r="D211" s="23">
        <v>1</v>
      </c>
      <c r="E211" s="23" t="s">
        <v>796</v>
      </c>
      <c r="F211" s="23" t="s">
        <v>797</v>
      </c>
      <c r="G211" s="23" t="s">
        <v>685</v>
      </c>
      <c r="H211" s="23">
        <v>1</v>
      </c>
      <c r="I211" s="23" t="s">
        <v>2020</v>
      </c>
      <c r="J211" s="23">
        <v>1</v>
      </c>
      <c r="K211" s="23" t="s">
        <v>1826</v>
      </c>
    </row>
    <row r="212" spans="1:11" ht="173.25">
      <c r="A212" s="23" t="s">
        <v>146</v>
      </c>
      <c r="B212" s="23" t="s">
        <v>16</v>
      </c>
      <c r="C212" s="23" t="s">
        <v>17</v>
      </c>
      <c r="D212" s="23">
        <v>1</v>
      </c>
      <c r="E212" s="23" t="s">
        <v>798</v>
      </c>
      <c r="F212" s="23" t="s">
        <v>797</v>
      </c>
      <c r="G212" s="23" t="s">
        <v>770</v>
      </c>
      <c r="H212" s="23">
        <v>1</v>
      </c>
      <c r="I212" s="23" t="s">
        <v>2021</v>
      </c>
      <c r="J212" s="23">
        <v>1</v>
      </c>
      <c r="K212" s="23" t="s">
        <v>1826</v>
      </c>
    </row>
    <row r="213" spans="1:11" ht="173.25">
      <c r="A213" s="23" t="s">
        <v>146</v>
      </c>
      <c r="B213" s="23" t="s">
        <v>19</v>
      </c>
      <c r="C213" s="23" t="s">
        <v>20</v>
      </c>
      <c r="D213" s="23">
        <v>1</v>
      </c>
      <c r="E213" s="23" t="s">
        <v>799</v>
      </c>
      <c r="F213" s="23" t="s">
        <v>797</v>
      </c>
      <c r="G213" s="23" t="s">
        <v>800</v>
      </c>
      <c r="H213" s="23">
        <v>1</v>
      </c>
      <c r="I213" s="23" t="s">
        <v>2022</v>
      </c>
      <c r="J213" s="23">
        <v>1</v>
      </c>
      <c r="K213" s="23" t="s">
        <v>1826</v>
      </c>
    </row>
    <row r="214" spans="1:11" ht="204.75">
      <c r="A214" s="23" t="s">
        <v>146</v>
      </c>
      <c r="B214" s="23" t="s">
        <v>22</v>
      </c>
      <c r="C214" s="23" t="s">
        <v>23</v>
      </c>
      <c r="D214" s="23">
        <v>1</v>
      </c>
      <c r="E214" s="23" t="s">
        <v>801</v>
      </c>
      <c r="F214" s="23" t="s">
        <v>797</v>
      </c>
      <c r="G214" s="23" t="s">
        <v>802</v>
      </c>
      <c r="H214" s="23">
        <v>1</v>
      </c>
      <c r="I214" s="23" t="s">
        <v>2023</v>
      </c>
      <c r="J214" s="23">
        <v>1</v>
      </c>
      <c r="K214" s="23" t="s">
        <v>1826</v>
      </c>
    </row>
    <row r="215" spans="1:11" ht="189">
      <c r="A215" s="23" t="s">
        <v>146</v>
      </c>
      <c r="B215" s="23" t="s">
        <v>25</v>
      </c>
      <c r="C215" s="23" t="s">
        <v>26</v>
      </c>
      <c r="D215" s="23">
        <v>1</v>
      </c>
      <c r="E215" s="23" t="s">
        <v>803</v>
      </c>
      <c r="F215" s="23" t="s">
        <v>797</v>
      </c>
      <c r="G215" s="23" t="s">
        <v>804</v>
      </c>
      <c r="H215" s="23">
        <v>1</v>
      </c>
      <c r="I215" s="23" t="s">
        <v>2024</v>
      </c>
      <c r="J215" s="23">
        <v>1</v>
      </c>
      <c r="K215" s="23" t="s">
        <v>1826</v>
      </c>
    </row>
    <row r="216" spans="1:11" ht="173.25">
      <c r="A216" s="23" t="s">
        <v>146</v>
      </c>
      <c r="B216" s="23" t="s">
        <v>28</v>
      </c>
      <c r="C216" s="23" t="s">
        <v>29</v>
      </c>
      <c r="D216" s="23">
        <v>1</v>
      </c>
      <c r="E216" s="23" t="s">
        <v>805</v>
      </c>
      <c r="F216" s="23" t="s">
        <v>797</v>
      </c>
      <c r="G216" s="23" t="s">
        <v>806</v>
      </c>
      <c r="H216" s="23">
        <v>1</v>
      </c>
      <c r="I216" s="23" t="s">
        <v>2025</v>
      </c>
      <c r="J216" s="23">
        <v>1</v>
      </c>
      <c r="K216" s="23" t="s">
        <v>1826</v>
      </c>
    </row>
    <row r="217" spans="1:11" ht="220.5">
      <c r="A217" s="23" t="s">
        <v>146</v>
      </c>
      <c r="B217" s="23" t="s">
        <v>31</v>
      </c>
      <c r="C217" s="23" t="s">
        <v>32</v>
      </c>
      <c r="D217" s="23">
        <v>0.5</v>
      </c>
      <c r="E217" s="23" t="s">
        <v>807</v>
      </c>
      <c r="F217" s="23" t="s">
        <v>797</v>
      </c>
      <c r="G217" s="23" t="s">
        <v>808</v>
      </c>
      <c r="H217" s="23">
        <v>0.5</v>
      </c>
      <c r="I217" s="23" t="s">
        <v>2026</v>
      </c>
      <c r="J217" s="23">
        <v>0.5</v>
      </c>
      <c r="K217" s="23" t="s">
        <v>1833</v>
      </c>
    </row>
    <row r="218" spans="1:11" ht="236.25">
      <c r="A218" s="23" t="s">
        <v>146</v>
      </c>
      <c r="B218" s="23" t="s">
        <v>34</v>
      </c>
      <c r="C218" s="23" t="s">
        <v>35</v>
      </c>
      <c r="D218" s="23">
        <v>0.5</v>
      </c>
      <c r="E218" s="23" t="s">
        <v>809</v>
      </c>
      <c r="F218" s="23" t="s">
        <v>797</v>
      </c>
      <c r="G218" s="23" t="s">
        <v>806</v>
      </c>
      <c r="H218" s="23">
        <v>0.5</v>
      </c>
      <c r="I218" s="23" t="s">
        <v>2027</v>
      </c>
      <c r="J218" s="23">
        <v>0.5</v>
      </c>
      <c r="K218" s="23" t="s">
        <v>1833</v>
      </c>
    </row>
    <row r="219" spans="1:11" ht="252">
      <c r="A219" s="23" t="s">
        <v>146</v>
      </c>
      <c r="B219" s="23" t="s">
        <v>37</v>
      </c>
      <c r="C219" s="23" t="s">
        <v>38</v>
      </c>
      <c r="D219" s="23">
        <v>0.5</v>
      </c>
      <c r="E219" s="23" t="s">
        <v>810</v>
      </c>
      <c r="F219" s="23" t="s">
        <v>797</v>
      </c>
      <c r="G219" s="23" t="s">
        <v>806</v>
      </c>
      <c r="H219" s="23">
        <v>0.5</v>
      </c>
      <c r="I219" s="23" t="s">
        <v>2028</v>
      </c>
      <c r="J219" s="23">
        <v>0.5</v>
      </c>
      <c r="K219" s="23" t="s">
        <v>1833</v>
      </c>
    </row>
    <row r="220" spans="1:11" ht="173.25">
      <c r="A220" s="23" t="s">
        <v>150</v>
      </c>
      <c r="B220" s="23" t="s">
        <v>13</v>
      </c>
      <c r="C220" s="23" t="s">
        <v>14</v>
      </c>
      <c r="D220" s="23">
        <v>1</v>
      </c>
      <c r="E220" s="23" t="s">
        <v>811</v>
      </c>
      <c r="F220" s="23" t="s">
        <v>812</v>
      </c>
      <c r="G220" s="23" t="s">
        <v>813</v>
      </c>
      <c r="H220" s="23">
        <v>1</v>
      </c>
      <c r="I220" s="23" t="s">
        <v>2029</v>
      </c>
      <c r="J220" s="23">
        <v>1</v>
      </c>
      <c r="K220" s="23" t="s">
        <v>1826</v>
      </c>
    </row>
    <row r="221" spans="1:11" ht="204.75">
      <c r="A221" s="23" t="s">
        <v>150</v>
      </c>
      <c r="B221" s="23" t="s">
        <v>16</v>
      </c>
      <c r="C221" s="23" t="s">
        <v>17</v>
      </c>
      <c r="D221" s="23">
        <v>1</v>
      </c>
      <c r="E221" s="23" t="s">
        <v>814</v>
      </c>
      <c r="F221" s="23" t="s">
        <v>812</v>
      </c>
      <c r="G221" s="23" t="s">
        <v>815</v>
      </c>
      <c r="H221" s="23">
        <v>1</v>
      </c>
      <c r="I221" s="23" t="s">
        <v>2030</v>
      </c>
      <c r="J221" s="23">
        <v>1</v>
      </c>
      <c r="K221" s="23" t="s">
        <v>1826</v>
      </c>
    </row>
    <row r="222" spans="1:11" ht="189">
      <c r="A222" s="23" t="s">
        <v>150</v>
      </c>
      <c r="B222" s="23" t="s">
        <v>19</v>
      </c>
      <c r="C222" s="23" t="s">
        <v>20</v>
      </c>
      <c r="D222" s="23">
        <v>1</v>
      </c>
      <c r="E222" s="23" t="s">
        <v>816</v>
      </c>
      <c r="F222" s="23" t="s">
        <v>812</v>
      </c>
      <c r="G222" s="23" t="s">
        <v>817</v>
      </c>
      <c r="H222" s="23">
        <v>1</v>
      </c>
      <c r="I222" s="23" t="s">
        <v>2031</v>
      </c>
      <c r="J222" s="23">
        <v>1</v>
      </c>
      <c r="K222" s="23" t="s">
        <v>1826</v>
      </c>
    </row>
    <row r="223" spans="1:11" ht="236.25">
      <c r="A223" s="23" t="s">
        <v>150</v>
      </c>
      <c r="B223" s="23" t="s">
        <v>22</v>
      </c>
      <c r="C223" s="23" t="s">
        <v>23</v>
      </c>
      <c r="D223" s="23">
        <v>1</v>
      </c>
      <c r="E223" s="23" t="s">
        <v>818</v>
      </c>
      <c r="F223" s="23" t="s">
        <v>812</v>
      </c>
      <c r="G223" s="23" t="s">
        <v>819</v>
      </c>
      <c r="H223" s="23">
        <v>1</v>
      </c>
      <c r="I223" s="23" t="s">
        <v>2032</v>
      </c>
      <c r="J223" s="23">
        <v>1</v>
      </c>
      <c r="K223" s="23" t="s">
        <v>1826</v>
      </c>
    </row>
    <row r="224" spans="1:11" ht="173.25">
      <c r="A224" s="23" t="s">
        <v>150</v>
      </c>
      <c r="B224" s="23" t="s">
        <v>25</v>
      </c>
      <c r="C224" s="23" t="s">
        <v>26</v>
      </c>
      <c r="D224" s="23">
        <v>1</v>
      </c>
      <c r="E224" s="23" t="s">
        <v>820</v>
      </c>
      <c r="F224" s="23" t="s">
        <v>812</v>
      </c>
      <c r="G224" s="23" t="s">
        <v>821</v>
      </c>
      <c r="H224" s="23">
        <v>1</v>
      </c>
      <c r="I224" s="23" t="s">
        <v>2033</v>
      </c>
      <c r="J224" s="23">
        <v>1</v>
      </c>
      <c r="K224" s="23" t="s">
        <v>1826</v>
      </c>
    </row>
    <row r="225" spans="1:11" ht="173.25">
      <c r="A225" s="23" t="s">
        <v>150</v>
      </c>
      <c r="B225" s="23" t="s">
        <v>28</v>
      </c>
      <c r="C225" s="23" t="s">
        <v>29</v>
      </c>
      <c r="D225" s="23">
        <v>1</v>
      </c>
      <c r="E225" s="23" t="s">
        <v>822</v>
      </c>
      <c r="F225" s="23" t="s">
        <v>812</v>
      </c>
      <c r="G225" s="23" t="s">
        <v>821</v>
      </c>
      <c r="H225" s="23">
        <v>1</v>
      </c>
      <c r="I225" s="23" t="s">
        <v>2034</v>
      </c>
      <c r="J225" s="23">
        <v>1</v>
      </c>
      <c r="K225" s="23" t="s">
        <v>1826</v>
      </c>
    </row>
    <row r="226" spans="1:11" ht="220.5">
      <c r="A226" s="23" t="s">
        <v>150</v>
      </c>
      <c r="B226" s="23" t="s">
        <v>31</v>
      </c>
      <c r="C226" s="23" t="s">
        <v>32</v>
      </c>
      <c r="D226" s="23">
        <v>1</v>
      </c>
      <c r="E226" s="23" t="s">
        <v>823</v>
      </c>
      <c r="F226" s="23" t="s">
        <v>812</v>
      </c>
      <c r="G226" s="23" t="s">
        <v>731</v>
      </c>
      <c r="H226" s="23">
        <v>1</v>
      </c>
      <c r="I226" s="23" t="s">
        <v>2035</v>
      </c>
      <c r="J226" s="23">
        <v>1</v>
      </c>
      <c r="K226" s="23" t="s">
        <v>1826</v>
      </c>
    </row>
    <row r="227" spans="1:11" ht="236.25">
      <c r="A227" s="23" t="s">
        <v>150</v>
      </c>
      <c r="B227" s="23" t="s">
        <v>34</v>
      </c>
      <c r="C227" s="23" t="s">
        <v>35</v>
      </c>
      <c r="D227" s="23">
        <v>0.5</v>
      </c>
      <c r="E227" s="23" t="s">
        <v>824</v>
      </c>
      <c r="F227" s="23" t="s">
        <v>812</v>
      </c>
      <c r="G227" s="23" t="s">
        <v>825</v>
      </c>
      <c r="H227" s="23">
        <v>0.5</v>
      </c>
      <c r="I227" s="23" t="s">
        <v>2036</v>
      </c>
      <c r="J227" s="23">
        <v>0.5</v>
      </c>
      <c r="K227" s="23" t="s">
        <v>1833</v>
      </c>
    </row>
    <row r="228" spans="1:11" ht="236.25">
      <c r="A228" s="23" t="s">
        <v>150</v>
      </c>
      <c r="B228" s="23" t="s">
        <v>37</v>
      </c>
      <c r="C228" s="23" t="s">
        <v>38</v>
      </c>
      <c r="D228" s="23">
        <v>0.5</v>
      </c>
      <c r="E228" s="23" t="s">
        <v>826</v>
      </c>
      <c r="F228" s="23" t="s">
        <v>812</v>
      </c>
      <c r="G228" s="23" t="s">
        <v>825</v>
      </c>
      <c r="H228" s="23">
        <v>0.5</v>
      </c>
      <c r="I228" s="23" t="s">
        <v>2037</v>
      </c>
      <c r="J228" s="23">
        <v>0.5</v>
      </c>
      <c r="K228" s="23" t="s">
        <v>1833</v>
      </c>
    </row>
    <row r="229" spans="1:11" ht="157.5">
      <c r="A229" s="23" t="s">
        <v>154</v>
      </c>
      <c r="B229" s="23" t="s">
        <v>13</v>
      </c>
      <c r="C229" s="23" t="s">
        <v>14</v>
      </c>
      <c r="D229" s="23">
        <v>1</v>
      </c>
      <c r="E229" s="23" t="s">
        <v>827</v>
      </c>
      <c r="F229" s="23" t="s">
        <v>828</v>
      </c>
      <c r="G229" s="23" t="s">
        <v>829</v>
      </c>
      <c r="H229" s="23">
        <v>1</v>
      </c>
      <c r="I229" s="23" t="s">
        <v>2038</v>
      </c>
      <c r="J229" s="23">
        <v>1</v>
      </c>
      <c r="K229" s="23" t="s">
        <v>1826</v>
      </c>
    </row>
    <row r="230" spans="1:11" ht="189">
      <c r="A230" s="23" t="s">
        <v>154</v>
      </c>
      <c r="B230" s="23" t="s">
        <v>16</v>
      </c>
      <c r="C230" s="23" t="s">
        <v>17</v>
      </c>
      <c r="D230" s="23">
        <v>1</v>
      </c>
      <c r="E230" s="23" t="s">
        <v>830</v>
      </c>
      <c r="F230" s="23" t="s">
        <v>828</v>
      </c>
      <c r="G230" s="23" t="s">
        <v>831</v>
      </c>
      <c r="H230" s="23">
        <v>1</v>
      </c>
      <c r="I230" s="23" t="s">
        <v>2039</v>
      </c>
      <c r="J230" s="23">
        <v>1</v>
      </c>
      <c r="K230" s="23" t="s">
        <v>1826</v>
      </c>
    </row>
    <row r="231" spans="1:11" ht="204.75">
      <c r="A231" s="23" t="s">
        <v>154</v>
      </c>
      <c r="B231" s="23" t="s">
        <v>19</v>
      </c>
      <c r="C231" s="23" t="s">
        <v>20</v>
      </c>
      <c r="D231" s="23">
        <v>1</v>
      </c>
      <c r="E231" s="23" t="s">
        <v>832</v>
      </c>
      <c r="F231" s="23" t="s">
        <v>828</v>
      </c>
      <c r="G231" s="23" t="s">
        <v>833</v>
      </c>
      <c r="H231" s="23">
        <v>1</v>
      </c>
      <c r="I231" s="23" t="s">
        <v>2040</v>
      </c>
      <c r="J231" s="23">
        <v>1</v>
      </c>
      <c r="K231" s="23" t="s">
        <v>1826</v>
      </c>
    </row>
    <row r="232" spans="1:11" ht="173.25">
      <c r="A232" s="23" t="s">
        <v>154</v>
      </c>
      <c r="B232" s="23" t="s">
        <v>22</v>
      </c>
      <c r="C232" s="23" t="s">
        <v>23</v>
      </c>
      <c r="D232" s="23" t="s">
        <v>157</v>
      </c>
      <c r="E232" s="23" t="s">
        <v>834</v>
      </c>
      <c r="F232" s="23" t="s">
        <v>828</v>
      </c>
      <c r="G232" s="23" t="s">
        <v>157</v>
      </c>
      <c r="H232" s="23" t="s">
        <v>157</v>
      </c>
      <c r="I232" s="23" t="s">
        <v>2041</v>
      </c>
      <c r="J232" s="23" t="s">
        <v>157</v>
      </c>
      <c r="K232" s="23" t="s">
        <v>2042</v>
      </c>
    </row>
    <row r="233" spans="1:11" ht="204.75">
      <c r="A233" s="23" t="s">
        <v>154</v>
      </c>
      <c r="B233" s="23" t="s">
        <v>25</v>
      </c>
      <c r="C233" s="23" t="s">
        <v>26</v>
      </c>
      <c r="D233" s="23" t="s">
        <v>157</v>
      </c>
      <c r="E233" s="23" t="s">
        <v>835</v>
      </c>
      <c r="F233" s="23" t="s">
        <v>828</v>
      </c>
      <c r="G233" s="23" t="s">
        <v>157</v>
      </c>
      <c r="H233" s="23" t="s">
        <v>157</v>
      </c>
      <c r="I233" s="23" t="s">
        <v>2043</v>
      </c>
      <c r="J233" s="23" t="s">
        <v>157</v>
      </c>
      <c r="K233" s="23" t="s">
        <v>2042</v>
      </c>
    </row>
    <row r="234" spans="1:11" ht="157.5">
      <c r="A234" s="23" t="s">
        <v>154</v>
      </c>
      <c r="B234" s="23" t="s">
        <v>28</v>
      </c>
      <c r="C234" s="23" t="s">
        <v>29</v>
      </c>
      <c r="D234" s="23">
        <v>1</v>
      </c>
      <c r="E234" s="23" t="s">
        <v>836</v>
      </c>
      <c r="F234" s="23" t="s">
        <v>828</v>
      </c>
      <c r="G234" s="23" t="s">
        <v>837</v>
      </c>
      <c r="H234" s="23">
        <v>1</v>
      </c>
      <c r="I234" s="23" t="s">
        <v>2044</v>
      </c>
      <c r="J234" s="23">
        <v>1</v>
      </c>
      <c r="K234" s="23" t="s">
        <v>1826</v>
      </c>
    </row>
    <row r="235" spans="1:11" ht="189">
      <c r="A235" s="23" t="s">
        <v>154</v>
      </c>
      <c r="B235" s="23" t="s">
        <v>31</v>
      </c>
      <c r="C235" s="23" t="s">
        <v>32</v>
      </c>
      <c r="D235" s="23">
        <v>1</v>
      </c>
      <c r="E235" s="23" t="s">
        <v>838</v>
      </c>
      <c r="F235" s="23" t="s">
        <v>828</v>
      </c>
      <c r="G235" s="23" t="s">
        <v>839</v>
      </c>
      <c r="H235" s="23">
        <v>1</v>
      </c>
      <c r="I235" s="23" t="s">
        <v>2045</v>
      </c>
      <c r="J235" s="23">
        <v>1</v>
      </c>
      <c r="K235" s="23" t="s">
        <v>1826</v>
      </c>
    </row>
    <row r="236" spans="1:11" ht="173.25">
      <c r="A236" s="23" t="s">
        <v>154</v>
      </c>
      <c r="B236" s="23" t="s">
        <v>34</v>
      </c>
      <c r="C236" s="23" t="s">
        <v>35</v>
      </c>
      <c r="D236" s="23">
        <v>1</v>
      </c>
      <c r="E236" s="23" t="s">
        <v>840</v>
      </c>
      <c r="F236" s="23" t="s">
        <v>828</v>
      </c>
      <c r="G236" s="23" t="s">
        <v>841</v>
      </c>
      <c r="H236" s="23">
        <v>1</v>
      </c>
      <c r="I236" s="23" t="s">
        <v>2046</v>
      </c>
      <c r="J236" s="23">
        <v>1</v>
      </c>
      <c r="K236" s="23" t="s">
        <v>1826</v>
      </c>
    </row>
    <row r="237" spans="1:11" ht="189">
      <c r="A237" s="23" t="s">
        <v>154</v>
      </c>
      <c r="B237" s="23" t="s">
        <v>37</v>
      </c>
      <c r="C237" s="23" t="s">
        <v>38</v>
      </c>
      <c r="D237" s="23" t="s">
        <v>157</v>
      </c>
      <c r="E237" s="23" t="s">
        <v>842</v>
      </c>
      <c r="F237" s="23" t="s">
        <v>828</v>
      </c>
      <c r="G237" s="23" t="s">
        <v>157</v>
      </c>
      <c r="H237" s="23" t="s">
        <v>157</v>
      </c>
      <c r="I237" s="23" t="s">
        <v>2047</v>
      </c>
      <c r="J237" s="23" t="s">
        <v>157</v>
      </c>
      <c r="K237" s="23" t="s">
        <v>2042</v>
      </c>
    </row>
    <row r="238" spans="1:11" ht="173.25">
      <c r="A238" s="23" t="s">
        <v>159</v>
      </c>
      <c r="B238" s="23" t="s">
        <v>13</v>
      </c>
      <c r="C238" s="23" t="s">
        <v>14</v>
      </c>
      <c r="D238" s="23">
        <v>1</v>
      </c>
      <c r="E238" s="23" t="s">
        <v>843</v>
      </c>
      <c r="F238" s="23" t="s">
        <v>844</v>
      </c>
      <c r="G238" s="23" t="s">
        <v>685</v>
      </c>
      <c r="H238" s="23">
        <v>1</v>
      </c>
      <c r="I238" s="23" t="s">
        <v>2048</v>
      </c>
      <c r="J238" s="23">
        <v>1</v>
      </c>
      <c r="K238" s="23" t="s">
        <v>1826</v>
      </c>
    </row>
    <row r="239" spans="1:11" ht="173.25">
      <c r="A239" s="23" t="s">
        <v>159</v>
      </c>
      <c r="B239" s="23" t="s">
        <v>16</v>
      </c>
      <c r="C239" s="23" t="s">
        <v>17</v>
      </c>
      <c r="D239" s="23">
        <v>1</v>
      </c>
      <c r="E239" s="23" t="s">
        <v>845</v>
      </c>
      <c r="F239" s="23" t="s">
        <v>844</v>
      </c>
      <c r="G239" s="23" t="s">
        <v>770</v>
      </c>
      <c r="H239" s="23">
        <v>1</v>
      </c>
      <c r="I239" s="23" t="s">
        <v>2049</v>
      </c>
      <c r="J239" s="23">
        <v>1</v>
      </c>
      <c r="K239" s="23" t="s">
        <v>1826</v>
      </c>
    </row>
    <row r="240" spans="1:11" ht="141.75">
      <c r="A240" s="23" t="s">
        <v>159</v>
      </c>
      <c r="B240" s="23" t="s">
        <v>19</v>
      </c>
      <c r="C240" s="23" t="s">
        <v>20</v>
      </c>
      <c r="D240" s="23">
        <v>1</v>
      </c>
      <c r="E240" s="23" t="s">
        <v>846</v>
      </c>
      <c r="F240" s="23" t="s">
        <v>844</v>
      </c>
      <c r="G240" s="23" t="s">
        <v>847</v>
      </c>
      <c r="H240" s="23">
        <v>1</v>
      </c>
      <c r="I240" s="23" t="s">
        <v>2050</v>
      </c>
      <c r="J240" s="23">
        <v>1</v>
      </c>
      <c r="K240" s="23" t="s">
        <v>1826</v>
      </c>
    </row>
    <row r="241" spans="1:11" ht="220.5">
      <c r="A241" s="23" t="s">
        <v>159</v>
      </c>
      <c r="B241" s="23" t="s">
        <v>22</v>
      </c>
      <c r="C241" s="23" t="s">
        <v>23</v>
      </c>
      <c r="D241" s="23">
        <v>1</v>
      </c>
      <c r="E241" s="23" t="s">
        <v>848</v>
      </c>
      <c r="F241" s="23" t="s">
        <v>844</v>
      </c>
      <c r="G241" s="23" t="s">
        <v>849</v>
      </c>
      <c r="H241" s="23">
        <v>1</v>
      </c>
      <c r="I241" s="23" t="s">
        <v>2051</v>
      </c>
      <c r="J241" s="23">
        <v>1</v>
      </c>
      <c r="K241" s="23" t="s">
        <v>1826</v>
      </c>
    </row>
    <row r="242" spans="1:11" ht="157.5">
      <c r="A242" s="23" t="s">
        <v>159</v>
      </c>
      <c r="B242" s="23" t="s">
        <v>25</v>
      </c>
      <c r="C242" s="23" t="s">
        <v>26</v>
      </c>
      <c r="D242" s="23">
        <v>1</v>
      </c>
      <c r="E242" s="23" t="s">
        <v>850</v>
      </c>
      <c r="F242" s="23" t="s">
        <v>844</v>
      </c>
      <c r="G242" s="23" t="s">
        <v>851</v>
      </c>
      <c r="H242" s="23">
        <v>1</v>
      </c>
      <c r="I242" s="23" t="s">
        <v>2052</v>
      </c>
      <c r="J242" s="23">
        <v>1</v>
      </c>
      <c r="K242" s="23" t="s">
        <v>1826</v>
      </c>
    </row>
    <row r="243" spans="1:11" ht="173.25">
      <c r="A243" s="23" t="s">
        <v>159</v>
      </c>
      <c r="B243" s="23" t="s">
        <v>28</v>
      </c>
      <c r="C243" s="23" t="s">
        <v>29</v>
      </c>
      <c r="D243" s="23">
        <v>1</v>
      </c>
      <c r="E243" s="23" t="s">
        <v>852</v>
      </c>
      <c r="F243" s="23" t="s">
        <v>844</v>
      </c>
      <c r="G243" s="23" t="s">
        <v>851</v>
      </c>
      <c r="H243" s="23">
        <v>1</v>
      </c>
      <c r="I243" s="23" t="s">
        <v>2053</v>
      </c>
      <c r="J243" s="23">
        <v>1</v>
      </c>
      <c r="K243" s="23" t="s">
        <v>1826</v>
      </c>
    </row>
    <row r="244" spans="1:11" ht="252">
      <c r="A244" s="23" t="s">
        <v>159</v>
      </c>
      <c r="B244" s="23" t="s">
        <v>31</v>
      </c>
      <c r="C244" s="23" t="s">
        <v>32</v>
      </c>
      <c r="D244" s="23">
        <v>0.5</v>
      </c>
      <c r="E244" s="23" t="s">
        <v>853</v>
      </c>
      <c r="F244" s="23" t="s">
        <v>844</v>
      </c>
      <c r="G244" s="23" t="s">
        <v>597</v>
      </c>
      <c r="H244" s="23">
        <v>0.5</v>
      </c>
      <c r="I244" s="23" t="s">
        <v>2054</v>
      </c>
      <c r="J244" s="23">
        <v>0.5</v>
      </c>
      <c r="K244" s="23" t="s">
        <v>1833</v>
      </c>
    </row>
    <row r="245" spans="1:11" ht="220.5">
      <c r="A245" s="23" t="s">
        <v>159</v>
      </c>
      <c r="B245" s="23" t="s">
        <v>34</v>
      </c>
      <c r="C245" s="23" t="s">
        <v>35</v>
      </c>
      <c r="D245" s="23">
        <v>1</v>
      </c>
      <c r="E245" s="23" t="s">
        <v>854</v>
      </c>
      <c r="F245" s="23" t="s">
        <v>844</v>
      </c>
      <c r="G245" s="23" t="s">
        <v>806</v>
      </c>
      <c r="H245" s="23">
        <v>1</v>
      </c>
      <c r="I245" s="23" t="s">
        <v>2055</v>
      </c>
      <c r="J245" s="23">
        <v>1</v>
      </c>
      <c r="K245" s="23" t="s">
        <v>1826</v>
      </c>
    </row>
    <row r="246" spans="1:11" ht="204.75">
      <c r="A246" s="23" t="s">
        <v>159</v>
      </c>
      <c r="B246" s="23" t="s">
        <v>37</v>
      </c>
      <c r="C246" s="23" t="s">
        <v>38</v>
      </c>
      <c r="D246" s="23">
        <v>1</v>
      </c>
      <c r="E246" s="23" t="s">
        <v>855</v>
      </c>
      <c r="F246" s="23" t="s">
        <v>844</v>
      </c>
      <c r="G246" s="23" t="s">
        <v>856</v>
      </c>
      <c r="H246" s="23">
        <v>1</v>
      </c>
      <c r="I246" s="23" t="s">
        <v>2056</v>
      </c>
      <c r="J246" s="23">
        <v>1</v>
      </c>
      <c r="K246" s="23" t="s">
        <v>1826</v>
      </c>
    </row>
    <row r="247" spans="1:11" ht="173.25">
      <c r="A247" s="23" t="s">
        <v>163</v>
      </c>
      <c r="B247" s="23" t="s">
        <v>13</v>
      </c>
      <c r="C247" s="23" t="s">
        <v>14</v>
      </c>
      <c r="D247" s="23">
        <v>1</v>
      </c>
      <c r="E247" s="23" t="s">
        <v>857</v>
      </c>
      <c r="F247" s="23" t="s">
        <v>858</v>
      </c>
      <c r="G247" s="23" t="s">
        <v>685</v>
      </c>
      <c r="H247" s="23">
        <v>1</v>
      </c>
      <c r="I247" s="23" t="s">
        <v>2057</v>
      </c>
      <c r="J247" s="23">
        <v>1</v>
      </c>
      <c r="K247" s="23" t="s">
        <v>1826</v>
      </c>
    </row>
    <row r="248" spans="1:11" ht="173.25">
      <c r="A248" s="23" t="s">
        <v>163</v>
      </c>
      <c r="B248" s="23" t="s">
        <v>16</v>
      </c>
      <c r="C248" s="23" t="s">
        <v>17</v>
      </c>
      <c r="D248" s="23">
        <v>1</v>
      </c>
      <c r="E248" s="23" t="s">
        <v>859</v>
      </c>
      <c r="F248" s="23" t="s">
        <v>858</v>
      </c>
      <c r="G248" s="23" t="s">
        <v>770</v>
      </c>
      <c r="H248" s="23">
        <v>1</v>
      </c>
      <c r="I248" s="23" t="s">
        <v>2058</v>
      </c>
      <c r="J248" s="23">
        <v>1</v>
      </c>
      <c r="K248" s="23" t="s">
        <v>1826</v>
      </c>
    </row>
    <row r="249" spans="1:11" ht="189">
      <c r="A249" s="23" t="s">
        <v>163</v>
      </c>
      <c r="B249" s="23" t="s">
        <v>19</v>
      </c>
      <c r="C249" s="23" t="s">
        <v>20</v>
      </c>
      <c r="D249" s="23">
        <v>1</v>
      </c>
      <c r="E249" s="23" t="s">
        <v>860</v>
      </c>
      <c r="F249" s="23" t="s">
        <v>858</v>
      </c>
      <c r="G249" s="23" t="s">
        <v>861</v>
      </c>
      <c r="H249" s="23">
        <v>1</v>
      </c>
      <c r="I249" s="23" t="s">
        <v>2059</v>
      </c>
      <c r="J249" s="23">
        <v>1</v>
      </c>
      <c r="K249" s="23" t="s">
        <v>1826</v>
      </c>
    </row>
    <row r="250" spans="1:11" ht="220.5">
      <c r="A250" s="23" t="s">
        <v>163</v>
      </c>
      <c r="B250" s="23" t="s">
        <v>22</v>
      </c>
      <c r="C250" s="23" t="s">
        <v>23</v>
      </c>
      <c r="D250" s="23">
        <v>1</v>
      </c>
      <c r="E250" s="23" t="s">
        <v>862</v>
      </c>
      <c r="F250" s="23" t="s">
        <v>858</v>
      </c>
      <c r="G250" s="23" t="s">
        <v>863</v>
      </c>
      <c r="H250" s="23">
        <v>1</v>
      </c>
      <c r="I250" s="23" t="s">
        <v>2060</v>
      </c>
      <c r="J250" s="23">
        <v>1</v>
      </c>
      <c r="K250" s="23" t="s">
        <v>1826</v>
      </c>
    </row>
    <row r="251" spans="1:11" ht="173.25">
      <c r="A251" s="23" t="s">
        <v>163</v>
      </c>
      <c r="B251" s="23" t="s">
        <v>25</v>
      </c>
      <c r="C251" s="23" t="s">
        <v>26</v>
      </c>
      <c r="D251" s="23">
        <v>1</v>
      </c>
      <c r="E251" s="23" t="s">
        <v>864</v>
      </c>
      <c r="F251" s="23" t="s">
        <v>858</v>
      </c>
      <c r="G251" s="23" t="s">
        <v>865</v>
      </c>
      <c r="H251" s="23">
        <v>1</v>
      </c>
      <c r="I251" s="23" t="s">
        <v>2061</v>
      </c>
      <c r="J251" s="23">
        <v>1</v>
      </c>
      <c r="K251" s="23" t="s">
        <v>1826</v>
      </c>
    </row>
    <row r="252" spans="1:11" ht="157.5">
      <c r="A252" s="23" t="s">
        <v>163</v>
      </c>
      <c r="B252" s="23" t="s">
        <v>28</v>
      </c>
      <c r="C252" s="23" t="s">
        <v>29</v>
      </c>
      <c r="D252" s="23">
        <v>1</v>
      </c>
      <c r="E252" s="23" t="s">
        <v>866</v>
      </c>
      <c r="F252" s="23" t="s">
        <v>858</v>
      </c>
      <c r="G252" s="23" t="s">
        <v>865</v>
      </c>
      <c r="H252" s="23">
        <v>1</v>
      </c>
      <c r="I252" s="23" t="s">
        <v>2062</v>
      </c>
      <c r="J252" s="23">
        <v>1</v>
      </c>
      <c r="K252" s="23" t="s">
        <v>1826</v>
      </c>
    </row>
    <row r="253" spans="1:11" ht="204.75">
      <c r="A253" s="23" t="s">
        <v>163</v>
      </c>
      <c r="B253" s="23" t="s">
        <v>31</v>
      </c>
      <c r="C253" s="23" t="s">
        <v>32</v>
      </c>
      <c r="D253" s="23">
        <v>1</v>
      </c>
      <c r="E253" s="23" t="s">
        <v>867</v>
      </c>
      <c r="F253" s="23" t="s">
        <v>858</v>
      </c>
      <c r="G253" s="23" t="s">
        <v>868</v>
      </c>
      <c r="H253" s="23">
        <v>1</v>
      </c>
      <c r="I253" s="23" t="s">
        <v>2063</v>
      </c>
      <c r="J253" s="23">
        <v>1</v>
      </c>
      <c r="K253" s="23" t="s">
        <v>1826</v>
      </c>
    </row>
    <row r="254" spans="1:11" ht="173.25">
      <c r="A254" s="23" t="s">
        <v>163</v>
      </c>
      <c r="B254" s="23" t="s">
        <v>34</v>
      </c>
      <c r="C254" s="23" t="s">
        <v>35</v>
      </c>
      <c r="D254" s="23">
        <v>1</v>
      </c>
      <c r="E254" s="23" t="s">
        <v>869</v>
      </c>
      <c r="F254" s="23" t="s">
        <v>858</v>
      </c>
      <c r="G254" s="23" t="s">
        <v>806</v>
      </c>
      <c r="H254" s="23">
        <v>1</v>
      </c>
      <c r="I254" s="23" t="s">
        <v>2064</v>
      </c>
      <c r="J254" s="23">
        <v>1</v>
      </c>
      <c r="K254" s="23" t="s">
        <v>1826</v>
      </c>
    </row>
    <row r="255" spans="1:11" ht="236.25">
      <c r="A255" s="23" t="s">
        <v>163</v>
      </c>
      <c r="B255" s="23" t="s">
        <v>37</v>
      </c>
      <c r="C255" s="23" t="s">
        <v>38</v>
      </c>
      <c r="D255" s="23">
        <v>0.5</v>
      </c>
      <c r="E255" s="23" t="s">
        <v>870</v>
      </c>
      <c r="F255" s="23" t="s">
        <v>858</v>
      </c>
      <c r="G255" s="23" t="s">
        <v>804</v>
      </c>
      <c r="H255" s="23">
        <v>0.5</v>
      </c>
      <c r="I255" s="23" t="s">
        <v>2065</v>
      </c>
      <c r="J255" s="23">
        <v>0.5</v>
      </c>
      <c r="K255" s="23" t="s">
        <v>1833</v>
      </c>
    </row>
    <row r="256" spans="1:11" ht="204.75">
      <c r="A256" s="23" t="s">
        <v>167</v>
      </c>
      <c r="B256" s="23" t="s">
        <v>13</v>
      </c>
      <c r="C256" s="23" t="s">
        <v>14</v>
      </c>
      <c r="D256" s="23">
        <v>1</v>
      </c>
      <c r="E256" s="23" t="s">
        <v>871</v>
      </c>
      <c r="F256" s="23" t="s">
        <v>872</v>
      </c>
      <c r="G256" s="23" t="s">
        <v>873</v>
      </c>
      <c r="H256" s="23">
        <v>1</v>
      </c>
      <c r="I256" s="23" t="s">
        <v>2066</v>
      </c>
      <c r="J256" s="23">
        <v>1</v>
      </c>
      <c r="K256" s="23" t="s">
        <v>1826</v>
      </c>
    </row>
    <row r="257" spans="1:11" ht="204.75">
      <c r="A257" s="23" t="s">
        <v>167</v>
      </c>
      <c r="B257" s="23" t="s">
        <v>16</v>
      </c>
      <c r="C257" s="23" t="s">
        <v>17</v>
      </c>
      <c r="D257" s="23">
        <v>1</v>
      </c>
      <c r="E257" s="23" t="s">
        <v>874</v>
      </c>
      <c r="F257" s="23" t="s">
        <v>872</v>
      </c>
      <c r="G257" s="23" t="s">
        <v>873</v>
      </c>
      <c r="H257" s="23">
        <v>1</v>
      </c>
      <c r="I257" s="23" t="s">
        <v>2067</v>
      </c>
      <c r="J257" s="23">
        <v>1</v>
      </c>
      <c r="K257" s="23" t="s">
        <v>1826</v>
      </c>
    </row>
    <row r="258" spans="1:11" ht="252">
      <c r="A258" s="23" t="s">
        <v>167</v>
      </c>
      <c r="B258" s="23" t="s">
        <v>19</v>
      </c>
      <c r="C258" s="23" t="s">
        <v>20</v>
      </c>
      <c r="D258" s="23">
        <v>0.5</v>
      </c>
      <c r="E258" s="23" t="s">
        <v>875</v>
      </c>
      <c r="F258" s="23" t="s">
        <v>872</v>
      </c>
      <c r="G258" s="23" t="s">
        <v>873</v>
      </c>
      <c r="H258" s="23">
        <v>0.5</v>
      </c>
      <c r="I258" s="23" t="s">
        <v>2068</v>
      </c>
      <c r="J258" s="23">
        <v>0.5</v>
      </c>
      <c r="K258" s="23" t="s">
        <v>1833</v>
      </c>
    </row>
    <row r="259" spans="1:11" ht="157.5">
      <c r="A259" s="23" t="s">
        <v>167</v>
      </c>
      <c r="B259" s="23" t="s">
        <v>22</v>
      </c>
      <c r="C259" s="23" t="s">
        <v>23</v>
      </c>
      <c r="D259" s="23" t="s">
        <v>157</v>
      </c>
      <c r="E259" s="23" t="s">
        <v>876</v>
      </c>
      <c r="F259" s="23" t="s">
        <v>872</v>
      </c>
      <c r="G259" s="23" t="s">
        <v>157</v>
      </c>
      <c r="H259" s="23" t="s">
        <v>157</v>
      </c>
      <c r="I259" s="23" t="s">
        <v>2069</v>
      </c>
      <c r="J259" s="23" t="s">
        <v>157</v>
      </c>
      <c r="K259" s="23" t="s">
        <v>2042</v>
      </c>
    </row>
    <row r="260" spans="1:11" ht="189">
      <c r="A260" s="23" t="s">
        <v>167</v>
      </c>
      <c r="B260" s="23" t="s">
        <v>25</v>
      </c>
      <c r="C260" s="23" t="s">
        <v>26</v>
      </c>
      <c r="D260" s="23" t="s">
        <v>157</v>
      </c>
      <c r="E260" s="23" t="s">
        <v>877</v>
      </c>
      <c r="F260" s="23" t="s">
        <v>872</v>
      </c>
      <c r="G260" s="23" t="s">
        <v>157</v>
      </c>
      <c r="H260" s="23" t="s">
        <v>157</v>
      </c>
      <c r="I260" s="23" t="s">
        <v>2070</v>
      </c>
      <c r="J260" s="23" t="s">
        <v>157</v>
      </c>
      <c r="K260" s="23" t="s">
        <v>2042</v>
      </c>
    </row>
    <row r="261" spans="1:11" ht="267.75">
      <c r="A261" s="23" t="s">
        <v>167</v>
      </c>
      <c r="B261" s="23" t="s">
        <v>28</v>
      </c>
      <c r="C261" s="23" t="s">
        <v>29</v>
      </c>
      <c r="D261" s="23">
        <v>0.5</v>
      </c>
      <c r="E261" s="23" t="s">
        <v>878</v>
      </c>
      <c r="F261" s="23" t="s">
        <v>872</v>
      </c>
      <c r="G261" s="23" t="s">
        <v>873</v>
      </c>
      <c r="H261" s="23">
        <v>0.5</v>
      </c>
      <c r="I261" s="23" t="s">
        <v>2071</v>
      </c>
      <c r="J261" s="23">
        <v>0.5</v>
      </c>
      <c r="K261" s="23" t="s">
        <v>1833</v>
      </c>
    </row>
    <row r="262" spans="1:11" ht="189">
      <c r="A262" s="23" t="s">
        <v>167</v>
      </c>
      <c r="B262" s="23" t="s">
        <v>31</v>
      </c>
      <c r="C262" s="23" t="s">
        <v>32</v>
      </c>
      <c r="D262" s="23">
        <v>1</v>
      </c>
      <c r="E262" s="23" t="s">
        <v>879</v>
      </c>
      <c r="F262" s="23" t="s">
        <v>872</v>
      </c>
      <c r="G262" s="23" t="s">
        <v>880</v>
      </c>
      <c r="H262" s="23">
        <v>1</v>
      </c>
      <c r="I262" s="23" t="s">
        <v>2072</v>
      </c>
      <c r="J262" s="23">
        <v>1</v>
      </c>
      <c r="K262" s="23" t="s">
        <v>1826</v>
      </c>
    </row>
    <row r="263" spans="1:11" ht="204.75">
      <c r="A263" s="23" t="s">
        <v>167</v>
      </c>
      <c r="B263" s="23" t="s">
        <v>34</v>
      </c>
      <c r="C263" s="23" t="s">
        <v>35</v>
      </c>
      <c r="D263" s="23">
        <v>0.5</v>
      </c>
      <c r="E263" s="23" t="s">
        <v>881</v>
      </c>
      <c r="F263" s="23" t="s">
        <v>872</v>
      </c>
      <c r="G263" s="23" t="s">
        <v>882</v>
      </c>
      <c r="H263" s="23">
        <v>0.5</v>
      </c>
      <c r="I263" s="23" t="s">
        <v>2073</v>
      </c>
      <c r="J263" s="23">
        <v>0.5</v>
      </c>
      <c r="K263" s="23" t="s">
        <v>1833</v>
      </c>
    </row>
    <row r="264" spans="1:11" ht="236.25">
      <c r="A264" s="23" t="s">
        <v>167</v>
      </c>
      <c r="B264" s="23" t="s">
        <v>37</v>
      </c>
      <c r="C264" s="23" t="s">
        <v>38</v>
      </c>
      <c r="D264" s="23">
        <v>0.5</v>
      </c>
      <c r="E264" s="23" t="s">
        <v>883</v>
      </c>
      <c r="F264" s="23" t="s">
        <v>872</v>
      </c>
      <c r="G264" s="23" t="s">
        <v>873</v>
      </c>
      <c r="H264" s="23">
        <v>0.5</v>
      </c>
      <c r="I264" s="23" t="s">
        <v>2074</v>
      </c>
      <c r="J264" s="23">
        <v>0.5</v>
      </c>
      <c r="K264" s="23" t="s">
        <v>1833</v>
      </c>
    </row>
    <row r="265" spans="1:11" ht="173.25">
      <c r="A265" s="23" t="s">
        <v>171</v>
      </c>
      <c r="B265" s="23" t="s">
        <v>13</v>
      </c>
      <c r="C265" s="23" t="s">
        <v>14</v>
      </c>
      <c r="D265" s="23">
        <v>1</v>
      </c>
      <c r="E265" s="23" t="s">
        <v>884</v>
      </c>
      <c r="F265" s="23" t="s">
        <v>885</v>
      </c>
      <c r="G265" s="23" t="s">
        <v>886</v>
      </c>
      <c r="H265" s="23">
        <v>1</v>
      </c>
      <c r="I265" s="23" t="s">
        <v>2075</v>
      </c>
      <c r="J265" s="23">
        <v>1</v>
      </c>
      <c r="K265" s="23" t="s">
        <v>1826</v>
      </c>
    </row>
    <row r="266" spans="1:11" ht="189">
      <c r="A266" s="23" t="s">
        <v>171</v>
      </c>
      <c r="B266" s="23" t="s">
        <v>16</v>
      </c>
      <c r="C266" s="23" t="s">
        <v>17</v>
      </c>
      <c r="D266" s="23">
        <v>1</v>
      </c>
      <c r="E266" s="23" t="s">
        <v>887</v>
      </c>
      <c r="F266" s="23" t="s">
        <v>885</v>
      </c>
      <c r="G266" s="23" t="s">
        <v>888</v>
      </c>
      <c r="H266" s="23">
        <v>1</v>
      </c>
      <c r="I266" s="23" t="s">
        <v>2076</v>
      </c>
      <c r="J266" s="23">
        <v>1</v>
      </c>
      <c r="K266" s="23" t="s">
        <v>1826</v>
      </c>
    </row>
    <row r="267" spans="1:11" ht="157.5">
      <c r="A267" s="23" t="s">
        <v>171</v>
      </c>
      <c r="B267" s="23" t="s">
        <v>19</v>
      </c>
      <c r="C267" s="23" t="s">
        <v>20</v>
      </c>
      <c r="D267" s="23">
        <v>1</v>
      </c>
      <c r="E267" s="23" t="s">
        <v>889</v>
      </c>
      <c r="F267" s="23" t="s">
        <v>885</v>
      </c>
      <c r="G267" s="23" t="s">
        <v>890</v>
      </c>
      <c r="H267" s="23">
        <v>1</v>
      </c>
      <c r="I267" s="23" t="s">
        <v>2077</v>
      </c>
      <c r="J267" s="23">
        <v>1</v>
      </c>
      <c r="K267" s="23" t="s">
        <v>1826</v>
      </c>
    </row>
    <row r="268" spans="1:11" ht="189">
      <c r="A268" s="23" t="s">
        <v>171</v>
      </c>
      <c r="B268" s="23" t="s">
        <v>22</v>
      </c>
      <c r="C268" s="23" t="s">
        <v>23</v>
      </c>
      <c r="D268" s="23">
        <v>1</v>
      </c>
      <c r="E268" s="23" t="s">
        <v>891</v>
      </c>
      <c r="F268" s="23" t="s">
        <v>885</v>
      </c>
      <c r="G268" s="23" t="s">
        <v>892</v>
      </c>
      <c r="H268" s="23">
        <v>1</v>
      </c>
      <c r="I268" s="23" t="s">
        <v>2078</v>
      </c>
      <c r="J268" s="23">
        <v>1</v>
      </c>
      <c r="K268" s="23" t="s">
        <v>1826</v>
      </c>
    </row>
    <row r="269" spans="1:11" ht="141.75">
      <c r="A269" s="23" t="s">
        <v>171</v>
      </c>
      <c r="B269" s="23" t="s">
        <v>25</v>
      </c>
      <c r="C269" s="23" t="s">
        <v>26</v>
      </c>
      <c r="D269" s="23">
        <v>1</v>
      </c>
      <c r="E269" s="23" t="s">
        <v>893</v>
      </c>
      <c r="F269" s="23" t="s">
        <v>885</v>
      </c>
      <c r="G269" s="23" t="s">
        <v>644</v>
      </c>
      <c r="H269" s="23">
        <v>1</v>
      </c>
      <c r="I269" s="23" t="s">
        <v>2079</v>
      </c>
      <c r="J269" s="23">
        <v>1</v>
      </c>
      <c r="K269" s="23" t="s">
        <v>1826</v>
      </c>
    </row>
    <row r="270" spans="1:11" ht="189">
      <c r="A270" s="23" t="s">
        <v>171</v>
      </c>
      <c r="B270" s="23" t="s">
        <v>28</v>
      </c>
      <c r="C270" s="23" t="s">
        <v>29</v>
      </c>
      <c r="D270" s="23">
        <v>1</v>
      </c>
      <c r="E270" s="23" t="s">
        <v>894</v>
      </c>
      <c r="F270" s="23" t="s">
        <v>885</v>
      </c>
      <c r="G270" s="23" t="s">
        <v>644</v>
      </c>
      <c r="H270" s="23">
        <v>1</v>
      </c>
      <c r="I270" s="23" t="s">
        <v>2080</v>
      </c>
      <c r="J270" s="23">
        <v>1</v>
      </c>
      <c r="K270" s="23" t="s">
        <v>1826</v>
      </c>
    </row>
    <row r="271" spans="1:11" ht="189">
      <c r="A271" s="23" t="s">
        <v>171</v>
      </c>
      <c r="B271" s="23" t="s">
        <v>31</v>
      </c>
      <c r="C271" s="23" t="s">
        <v>32</v>
      </c>
      <c r="D271" s="23">
        <v>1</v>
      </c>
      <c r="E271" s="23" t="s">
        <v>895</v>
      </c>
      <c r="F271" s="23" t="s">
        <v>885</v>
      </c>
      <c r="G271" s="23" t="s">
        <v>715</v>
      </c>
      <c r="H271" s="23">
        <v>1</v>
      </c>
      <c r="I271" s="23" t="s">
        <v>2081</v>
      </c>
      <c r="J271" s="23">
        <v>1</v>
      </c>
      <c r="K271" s="23" t="s">
        <v>1826</v>
      </c>
    </row>
    <row r="272" spans="1:11" ht="189">
      <c r="A272" s="23" t="s">
        <v>171</v>
      </c>
      <c r="B272" s="23" t="s">
        <v>34</v>
      </c>
      <c r="C272" s="23" t="s">
        <v>35</v>
      </c>
      <c r="D272" s="23">
        <v>1</v>
      </c>
      <c r="E272" s="23" t="s">
        <v>896</v>
      </c>
      <c r="F272" s="23" t="s">
        <v>885</v>
      </c>
      <c r="G272" s="23" t="s">
        <v>897</v>
      </c>
      <c r="H272" s="23">
        <v>1</v>
      </c>
      <c r="I272" s="23" t="s">
        <v>2082</v>
      </c>
      <c r="J272" s="23">
        <v>1</v>
      </c>
      <c r="K272" s="23" t="s">
        <v>1826</v>
      </c>
    </row>
    <row r="273" spans="1:11" ht="173.25">
      <c r="A273" s="23" t="s">
        <v>171</v>
      </c>
      <c r="B273" s="23" t="s">
        <v>37</v>
      </c>
      <c r="C273" s="23" t="s">
        <v>38</v>
      </c>
      <c r="D273" s="23">
        <v>1</v>
      </c>
      <c r="E273" s="23" t="s">
        <v>898</v>
      </c>
      <c r="F273" s="23" t="s">
        <v>885</v>
      </c>
      <c r="G273" s="23" t="s">
        <v>892</v>
      </c>
      <c r="H273" s="23">
        <v>1</v>
      </c>
      <c r="I273" s="23" t="s">
        <v>2083</v>
      </c>
      <c r="J273" s="23">
        <v>1</v>
      </c>
      <c r="K273" s="23" t="s">
        <v>1826</v>
      </c>
    </row>
    <row r="274" spans="1:11" ht="126">
      <c r="A274" s="23" t="s">
        <v>175</v>
      </c>
      <c r="B274" s="23" t="s">
        <v>13</v>
      </c>
      <c r="C274" s="23" t="s">
        <v>14</v>
      </c>
      <c r="D274" s="23"/>
      <c r="E274" s="23" t="s">
        <v>899</v>
      </c>
      <c r="F274" s="23" t="s">
        <v>900</v>
      </c>
      <c r="G274" s="23" t="s">
        <v>901</v>
      </c>
      <c r="H274" s="23"/>
      <c r="I274" s="23" t="s">
        <v>2084</v>
      </c>
      <c r="J274" s="23"/>
      <c r="K274" s="23" t="s">
        <v>2085</v>
      </c>
    </row>
    <row r="275" spans="1:11" ht="126">
      <c r="A275" s="23" t="s">
        <v>175</v>
      </c>
      <c r="B275" s="23" t="s">
        <v>16</v>
      </c>
      <c r="C275" s="23" t="s">
        <v>17</v>
      </c>
      <c r="D275" s="23"/>
      <c r="E275" s="23" t="s">
        <v>902</v>
      </c>
      <c r="F275" s="23" t="s">
        <v>900</v>
      </c>
      <c r="G275" s="23" t="s">
        <v>903</v>
      </c>
      <c r="H275" s="23"/>
      <c r="I275" s="23" t="s">
        <v>2084</v>
      </c>
      <c r="J275" s="23"/>
      <c r="K275" s="23" t="s">
        <v>2085</v>
      </c>
    </row>
    <row r="276" spans="1:11" ht="126">
      <c r="A276" s="23" t="s">
        <v>175</v>
      </c>
      <c r="B276" s="23" t="s">
        <v>19</v>
      </c>
      <c r="C276" s="23" t="s">
        <v>20</v>
      </c>
      <c r="D276" s="23"/>
      <c r="E276" s="23" t="s">
        <v>902</v>
      </c>
      <c r="F276" s="23" t="s">
        <v>900</v>
      </c>
      <c r="G276" s="23" t="s">
        <v>904</v>
      </c>
      <c r="H276" s="23"/>
      <c r="I276" s="23" t="s">
        <v>2084</v>
      </c>
      <c r="J276" s="23"/>
      <c r="K276" s="23" t="s">
        <v>2085</v>
      </c>
    </row>
    <row r="277" spans="1:11" ht="126">
      <c r="A277" s="23" t="s">
        <v>175</v>
      </c>
      <c r="B277" s="23" t="s">
        <v>22</v>
      </c>
      <c r="C277" s="23" t="s">
        <v>23</v>
      </c>
      <c r="D277" s="23"/>
      <c r="E277" s="23" t="s">
        <v>902</v>
      </c>
      <c r="F277" s="23" t="s">
        <v>900</v>
      </c>
      <c r="G277" s="23" t="s">
        <v>904</v>
      </c>
      <c r="H277" s="23"/>
      <c r="I277" s="23" t="s">
        <v>2084</v>
      </c>
      <c r="J277" s="23"/>
      <c r="K277" s="23" t="s">
        <v>2085</v>
      </c>
    </row>
    <row r="278" spans="1:11" ht="126">
      <c r="A278" s="23" t="s">
        <v>175</v>
      </c>
      <c r="B278" s="23" t="s">
        <v>25</v>
      </c>
      <c r="C278" s="23" t="s">
        <v>26</v>
      </c>
      <c r="D278" s="23"/>
      <c r="E278" s="23" t="s">
        <v>902</v>
      </c>
      <c r="F278" s="23" t="s">
        <v>900</v>
      </c>
      <c r="G278" s="23" t="s">
        <v>904</v>
      </c>
      <c r="H278" s="23"/>
      <c r="I278" s="23" t="s">
        <v>2084</v>
      </c>
      <c r="J278" s="23"/>
      <c r="K278" s="23" t="s">
        <v>2085</v>
      </c>
    </row>
    <row r="279" spans="1:11" ht="126">
      <c r="A279" s="23" t="s">
        <v>175</v>
      </c>
      <c r="B279" s="23" t="s">
        <v>28</v>
      </c>
      <c r="C279" s="23" t="s">
        <v>29</v>
      </c>
      <c r="D279" s="23"/>
      <c r="E279" s="23" t="s">
        <v>902</v>
      </c>
      <c r="F279" s="23" t="s">
        <v>900</v>
      </c>
      <c r="G279" s="23" t="s">
        <v>904</v>
      </c>
      <c r="H279" s="23"/>
      <c r="I279" s="23" t="s">
        <v>2084</v>
      </c>
      <c r="J279" s="23"/>
      <c r="K279" s="23" t="s">
        <v>2085</v>
      </c>
    </row>
    <row r="280" spans="1:11" ht="126">
      <c r="A280" s="23" t="s">
        <v>175</v>
      </c>
      <c r="B280" s="23" t="s">
        <v>31</v>
      </c>
      <c r="C280" s="23" t="s">
        <v>32</v>
      </c>
      <c r="D280" s="23"/>
      <c r="E280" s="23" t="s">
        <v>902</v>
      </c>
      <c r="F280" s="23" t="s">
        <v>900</v>
      </c>
      <c r="G280" s="23" t="s">
        <v>904</v>
      </c>
      <c r="H280" s="23"/>
      <c r="I280" s="23" t="s">
        <v>2084</v>
      </c>
      <c r="J280" s="23"/>
      <c r="K280" s="23" t="s">
        <v>2085</v>
      </c>
    </row>
    <row r="281" spans="1:11" ht="126">
      <c r="A281" s="23" t="s">
        <v>175</v>
      </c>
      <c r="B281" s="23" t="s">
        <v>34</v>
      </c>
      <c r="C281" s="23" t="s">
        <v>35</v>
      </c>
      <c r="D281" s="23"/>
      <c r="E281" s="23" t="s">
        <v>902</v>
      </c>
      <c r="F281" s="23" t="s">
        <v>900</v>
      </c>
      <c r="G281" s="23" t="s">
        <v>904</v>
      </c>
      <c r="H281" s="23"/>
      <c r="I281" s="23" t="s">
        <v>2084</v>
      </c>
      <c r="J281" s="23"/>
      <c r="K281" s="23" t="s">
        <v>2085</v>
      </c>
    </row>
    <row r="282" spans="1:11" ht="126">
      <c r="A282" s="23" t="s">
        <v>175</v>
      </c>
      <c r="B282" s="23" t="s">
        <v>37</v>
      </c>
      <c r="C282" s="23" t="s">
        <v>38</v>
      </c>
      <c r="D282" s="23"/>
      <c r="E282" s="23" t="s">
        <v>902</v>
      </c>
      <c r="F282" s="23" t="s">
        <v>900</v>
      </c>
      <c r="G282" s="23" t="s">
        <v>904</v>
      </c>
      <c r="H282" s="23"/>
      <c r="I282" s="23" t="s">
        <v>2084</v>
      </c>
      <c r="J282" s="23"/>
      <c r="K282" s="23" t="s">
        <v>2085</v>
      </c>
    </row>
    <row r="283" spans="1:11" ht="157.5">
      <c r="A283" s="23" t="s">
        <v>180</v>
      </c>
      <c r="B283" s="23" t="s">
        <v>13</v>
      </c>
      <c r="C283" s="23" t="s">
        <v>14</v>
      </c>
      <c r="D283" s="23">
        <v>1</v>
      </c>
      <c r="E283" s="23" t="s">
        <v>905</v>
      </c>
      <c r="F283" s="23" t="s">
        <v>906</v>
      </c>
      <c r="G283" s="23" t="s">
        <v>907</v>
      </c>
      <c r="H283" s="23">
        <v>1</v>
      </c>
      <c r="I283" s="23" t="s">
        <v>2086</v>
      </c>
      <c r="J283" s="23">
        <v>1</v>
      </c>
      <c r="K283" s="23" t="s">
        <v>1826</v>
      </c>
    </row>
    <row r="284" spans="1:11" ht="189">
      <c r="A284" s="23" t="s">
        <v>180</v>
      </c>
      <c r="B284" s="23" t="s">
        <v>16</v>
      </c>
      <c r="C284" s="23" t="s">
        <v>17</v>
      </c>
      <c r="D284" s="23">
        <v>1</v>
      </c>
      <c r="E284" s="23" t="s">
        <v>908</v>
      </c>
      <c r="F284" s="23" t="s">
        <v>906</v>
      </c>
      <c r="G284" s="23" t="s">
        <v>909</v>
      </c>
      <c r="H284" s="23">
        <v>1</v>
      </c>
      <c r="I284" s="23" t="s">
        <v>2087</v>
      </c>
      <c r="J284" s="23">
        <v>1</v>
      </c>
      <c r="K284" s="23" t="s">
        <v>1826</v>
      </c>
    </row>
    <row r="285" spans="1:11" ht="173.25">
      <c r="A285" s="23" t="s">
        <v>180</v>
      </c>
      <c r="B285" s="23" t="s">
        <v>19</v>
      </c>
      <c r="C285" s="23" t="s">
        <v>20</v>
      </c>
      <c r="D285" s="23">
        <v>1</v>
      </c>
      <c r="E285" s="23" t="s">
        <v>910</v>
      </c>
      <c r="F285" s="23" t="s">
        <v>906</v>
      </c>
      <c r="G285" s="23" t="s">
        <v>709</v>
      </c>
      <c r="H285" s="23">
        <v>1</v>
      </c>
      <c r="I285" s="23" t="s">
        <v>2088</v>
      </c>
      <c r="J285" s="23">
        <v>1</v>
      </c>
      <c r="K285" s="23" t="s">
        <v>1826</v>
      </c>
    </row>
    <row r="286" spans="1:11" ht="173.25">
      <c r="A286" s="23" t="s">
        <v>180</v>
      </c>
      <c r="B286" s="23" t="s">
        <v>22</v>
      </c>
      <c r="C286" s="23" t="s">
        <v>23</v>
      </c>
      <c r="D286" s="23">
        <v>1</v>
      </c>
      <c r="E286" s="23" t="s">
        <v>911</v>
      </c>
      <c r="F286" s="23" t="s">
        <v>906</v>
      </c>
      <c r="G286" s="23" t="s">
        <v>707</v>
      </c>
      <c r="H286" s="23">
        <v>1</v>
      </c>
      <c r="I286" s="23" t="s">
        <v>2089</v>
      </c>
      <c r="J286" s="23">
        <v>1</v>
      </c>
      <c r="K286" s="23" t="s">
        <v>1826</v>
      </c>
    </row>
    <row r="287" spans="1:11" ht="157.5">
      <c r="A287" s="23" t="s">
        <v>180</v>
      </c>
      <c r="B287" s="23" t="s">
        <v>25</v>
      </c>
      <c r="C287" s="23" t="s">
        <v>26</v>
      </c>
      <c r="D287" s="23">
        <v>1</v>
      </c>
      <c r="E287" s="23" t="s">
        <v>912</v>
      </c>
      <c r="F287" s="23" t="s">
        <v>906</v>
      </c>
      <c r="G287" s="23" t="s">
        <v>913</v>
      </c>
      <c r="H287" s="23">
        <v>1</v>
      </c>
      <c r="I287" s="23" t="s">
        <v>2090</v>
      </c>
      <c r="J287" s="23">
        <v>1</v>
      </c>
      <c r="K287" s="23" t="s">
        <v>1826</v>
      </c>
    </row>
    <row r="288" spans="1:11" ht="141.75">
      <c r="A288" s="23" t="s">
        <v>180</v>
      </c>
      <c r="B288" s="23" t="s">
        <v>28</v>
      </c>
      <c r="C288" s="23" t="s">
        <v>29</v>
      </c>
      <c r="D288" s="23">
        <v>1</v>
      </c>
      <c r="E288" s="23" t="s">
        <v>914</v>
      </c>
      <c r="F288" s="23" t="s">
        <v>906</v>
      </c>
      <c r="G288" s="23" t="s">
        <v>913</v>
      </c>
      <c r="H288" s="23">
        <v>1</v>
      </c>
      <c r="I288" s="23" t="s">
        <v>2091</v>
      </c>
      <c r="J288" s="23">
        <v>1</v>
      </c>
      <c r="K288" s="23" t="s">
        <v>1826</v>
      </c>
    </row>
    <row r="289" spans="1:11" ht="141.75">
      <c r="A289" s="23" t="s">
        <v>180</v>
      </c>
      <c r="B289" s="23" t="s">
        <v>31</v>
      </c>
      <c r="C289" s="23" t="s">
        <v>32</v>
      </c>
      <c r="D289" s="23">
        <v>0</v>
      </c>
      <c r="E289" s="23" t="s">
        <v>915</v>
      </c>
      <c r="F289" s="23" t="s">
        <v>906</v>
      </c>
      <c r="G289" s="23" t="s">
        <v>916</v>
      </c>
      <c r="H289" s="23">
        <v>0</v>
      </c>
      <c r="I289" s="23" t="s">
        <v>2092</v>
      </c>
      <c r="J289" s="23">
        <v>0</v>
      </c>
      <c r="K289" s="23" t="s">
        <v>2093</v>
      </c>
    </row>
    <row r="290" spans="1:11" ht="267.75">
      <c r="A290" s="23" t="s">
        <v>180</v>
      </c>
      <c r="B290" s="23" t="s">
        <v>34</v>
      </c>
      <c r="C290" s="23" t="s">
        <v>35</v>
      </c>
      <c r="D290" s="23">
        <v>0.5</v>
      </c>
      <c r="E290" s="23" t="s">
        <v>917</v>
      </c>
      <c r="F290" s="23" t="s">
        <v>906</v>
      </c>
      <c r="G290" s="23" t="s">
        <v>913</v>
      </c>
      <c r="H290" s="23">
        <v>0.5</v>
      </c>
      <c r="I290" s="23" t="s">
        <v>2094</v>
      </c>
      <c r="J290" s="23">
        <v>0.5</v>
      </c>
      <c r="K290" s="23" t="s">
        <v>1833</v>
      </c>
    </row>
    <row r="291" spans="1:11" ht="236.25">
      <c r="A291" s="23" t="s">
        <v>180</v>
      </c>
      <c r="B291" s="23" t="s">
        <v>37</v>
      </c>
      <c r="C291" s="23" t="s">
        <v>38</v>
      </c>
      <c r="D291" s="23">
        <v>0.5</v>
      </c>
      <c r="E291" s="23" t="s">
        <v>918</v>
      </c>
      <c r="F291" s="23" t="s">
        <v>906</v>
      </c>
      <c r="G291" s="23" t="s">
        <v>919</v>
      </c>
      <c r="H291" s="23">
        <v>0.5</v>
      </c>
      <c r="I291" s="23" t="s">
        <v>2095</v>
      </c>
      <c r="J291" s="23">
        <v>0.5</v>
      </c>
      <c r="K291" s="23" t="s">
        <v>1833</v>
      </c>
    </row>
    <row r="292" spans="1:11" ht="110.25">
      <c r="A292" s="23" t="s">
        <v>184</v>
      </c>
      <c r="B292" s="23" t="s">
        <v>13</v>
      </c>
      <c r="C292" s="23" t="s">
        <v>14</v>
      </c>
      <c r="D292" s="23"/>
      <c r="E292" s="23" t="s">
        <v>920</v>
      </c>
      <c r="F292" s="23" t="s">
        <v>921</v>
      </c>
      <c r="G292" s="23" t="s">
        <v>922</v>
      </c>
      <c r="H292" s="23"/>
      <c r="I292" s="23" t="s">
        <v>2096</v>
      </c>
      <c r="J292" s="23"/>
      <c r="K292" s="23" t="s">
        <v>2097</v>
      </c>
    </row>
    <row r="293" spans="1:11" ht="110.25">
      <c r="A293" s="23" t="s">
        <v>184</v>
      </c>
      <c r="B293" s="23" t="s">
        <v>16</v>
      </c>
      <c r="C293" s="23" t="s">
        <v>17</v>
      </c>
      <c r="D293" s="23"/>
      <c r="E293" s="23" t="s">
        <v>920</v>
      </c>
      <c r="F293" s="23" t="s">
        <v>921</v>
      </c>
      <c r="G293" s="23" t="s">
        <v>922</v>
      </c>
      <c r="H293" s="23"/>
      <c r="I293" s="23" t="s">
        <v>2096</v>
      </c>
      <c r="J293" s="23"/>
      <c r="K293" s="23" t="s">
        <v>2097</v>
      </c>
    </row>
    <row r="294" spans="1:11" ht="110.25">
      <c r="A294" s="23" t="s">
        <v>184</v>
      </c>
      <c r="B294" s="23" t="s">
        <v>19</v>
      </c>
      <c r="C294" s="23" t="s">
        <v>20</v>
      </c>
      <c r="D294" s="23"/>
      <c r="E294" s="23" t="s">
        <v>923</v>
      </c>
      <c r="F294" s="23" t="s">
        <v>921</v>
      </c>
      <c r="G294" s="23" t="s">
        <v>924</v>
      </c>
      <c r="H294" s="23"/>
      <c r="I294" s="23" t="s">
        <v>2096</v>
      </c>
      <c r="J294" s="23"/>
      <c r="K294" s="23" t="s">
        <v>2097</v>
      </c>
    </row>
    <row r="295" spans="1:11" ht="110.25">
      <c r="A295" s="23" t="s">
        <v>184</v>
      </c>
      <c r="B295" s="23" t="s">
        <v>22</v>
      </c>
      <c r="C295" s="23" t="s">
        <v>23</v>
      </c>
      <c r="D295" s="23"/>
      <c r="E295" s="23" t="s">
        <v>925</v>
      </c>
      <c r="F295" s="23" t="s">
        <v>921</v>
      </c>
      <c r="G295" s="23" t="s">
        <v>924</v>
      </c>
      <c r="H295" s="23"/>
      <c r="I295" s="23" t="s">
        <v>2096</v>
      </c>
      <c r="J295" s="23"/>
      <c r="K295" s="23" t="s">
        <v>2097</v>
      </c>
    </row>
    <row r="296" spans="1:11" ht="110.25">
      <c r="A296" s="23" t="s">
        <v>184</v>
      </c>
      <c r="B296" s="23" t="s">
        <v>25</v>
      </c>
      <c r="C296" s="23" t="s">
        <v>26</v>
      </c>
      <c r="D296" s="23"/>
      <c r="E296" s="23" t="s">
        <v>926</v>
      </c>
      <c r="F296" s="23" t="s">
        <v>921</v>
      </c>
      <c r="G296" s="23" t="s">
        <v>924</v>
      </c>
      <c r="H296" s="23"/>
      <c r="I296" s="23" t="s">
        <v>2096</v>
      </c>
      <c r="J296" s="23"/>
      <c r="K296" s="23" t="s">
        <v>2097</v>
      </c>
    </row>
    <row r="297" spans="1:11" ht="110.25">
      <c r="A297" s="23" t="s">
        <v>184</v>
      </c>
      <c r="B297" s="23" t="s">
        <v>28</v>
      </c>
      <c r="C297" s="23" t="s">
        <v>29</v>
      </c>
      <c r="D297" s="23"/>
      <c r="E297" s="23" t="s">
        <v>927</v>
      </c>
      <c r="F297" s="23" t="s">
        <v>921</v>
      </c>
      <c r="G297" s="23" t="s">
        <v>924</v>
      </c>
      <c r="H297" s="23"/>
      <c r="I297" s="23" t="s">
        <v>2096</v>
      </c>
      <c r="J297" s="23"/>
      <c r="K297" s="23" t="s">
        <v>2097</v>
      </c>
    </row>
    <row r="298" spans="1:11" ht="110.25">
      <c r="A298" s="23" t="s">
        <v>184</v>
      </c>
      <c r="B298" s="23" t="s">
        <v>31</v>
      </c>
      <c r="C298" s="23" t="s">
        <v>32</v>
      </c>
      <c r="D298" s="23"/>
      <c r="E298" s="23" t="s">
        <v>928</v>
      </c>
      <c r="F298" s="23" t="s">
        <v>921</v>
      </c>
      <c r="G298" s="23" t="s">
        <v>924</v>
      </c>
      <c r="H298" s="23"/>
      <c r="I298" s="23" t="s">
        <v>2096</v>
      </c>
      <c r="J298" s="23"/>
      <c r="K298" s="23" t="s">
        <v>2097</v>
      </c>
    </row>
    <row r="299" spans="1:11" ht="110.25">
      <c r="A299" s="23" t="s">
        <v>184</v>
      </c>
      <c r="B299" s="23" t="s">
        <v>34</v>
      </c>
      <c r="C299" s="23" t="s">
        <v>35</v>
      </c>
      <c r="D299" s="23"/>
      <c r="E299" s="23" t="s">
        <v>929</v>
      </c>
      <c r="F299" s="23" t="s">
        <v>921</v>
      </c>
      <c r="G299" s="23" t="s">
        <v>924</v>
      </c>
      <c r="H299" s="23"/>
      <c r="I299" s="23" t="s">
        <v>2096</v>
      </c>
      <c r="J299" s="23"/>
      <c r="K299" s="23" t="s">
        <v>2097</v>
      </c>
    </row>
    <row r="300" spans="1:11" ht="110.25">
      <c r="A300" s="23" t="s">
        <v>184</v>
      </c>
      <c r="B300" s="23" t="s">
        <v>37</v>
      </c>
      <c r="C300" s="23" t="s">
        <v>38</v>
      </c>
      <c r="D300" s="23"/>
      <c r="E300" s="23" t="s">
        <v>930</v>
      </c>
      <c r="F300" s="23" t="s">
        <v>921</v>
      </c>
      <c r="G300" s="23" t="s">
        <v>924</v>
      </c>
      <c r="H300" s="23"/>
      <c r="I300" s="23" t="s">
        <v>2096</v>
      </c>
      <c r="J300" s="23"/>
      <c r="K300" s="23" t="s">
        <v>2097</v>
      </c>
    </row>
    <row r="301" spans="1:11" ht="173.25">
      <c r="A301" s="23" t="s">
        <v>189</v>
      </c>
      <c r="B301" s="23" t="s">
        <v>13</v>
      </c>
      <c r="C301" s="23" t="s">
        <v>14</v>
      </c>
      <c r="D301" s="23">
        <v>1</v>
      </c>
      <c r="E301" s="23" t="s">
        <v>931</v>
      </c>
      <c r="F301" s="23" t="s">
        <v>932</v>
      </c>
      <c r="G301" s="23" t="s">
        <v>907</v>
      </c>
      <c r="H301" s="23">
        <v>1</v>
      </c>
      <c r="I301" s="23" t="s">
        <v>2098</v>
      </c>
      <c r="J301" s="23">
        <v>1</v>
      </c>
      <c r="K301" s="23" t="s">
        <v>1826</v>
      </c>
    </row>
    <row r="302" spans="1:11" ht="189">
      <c r="A302" s="23" t="s">
        <v>189</v>
      </c>
      <c r="B302" s="23" t="s">
        <v>16</v>
      </c>
      <c r="C302" s="23" t="s">
        <v>17</v>
      </c>
      <c r="D302" s="23">
        <v>1</v>
      </c>
      <c r="E302" s="23" t="s">
        <v>933</v>
      </c>
      <c r="F302" s="23" t="s">
        <v>932</v>
      </c>
      <c r="G302" s="23" t="s">
        <v>813</v>
      </c>
      <c r="H302" s="23">
        <v>1</v>
      </c>
      <c r="I302" s="23" t="s">
        <v>2099</v>
      </c>
      <c r="J302" s="23">
        <v>1</v>
      </c>
      <c r="K302" s="23" t="s">
        <v>1826</v>
      </c>
    </row>
    <row r="303" spans="1:11" ht="173.25">
      <c r="A303" s="23" t="s">
        <v>189</v>
      </c>
      <c r="B303" s="23" t="s">
        <v>19</v>
      </c>
      <c r="C303" s="23" t="s">
        <v>20</v>
      </c>
      <c r="D303" s="23">
        <v>1</v>
      </c>
      <c r="E303" s="23" t="s">
        <v>934</v>
      </c>
      <c r="F303" s="23" t="s">
        <v>932</v>
      </c>
      <c r="G303" s="23" t="s">
        <v>935</v>
      </c>
      <c r="H303" s="23">
        <v>1</v>
      </c>
      <c r="I303" s="23" t="s">
        <v>2100</v>
      </c>
      <c r="J303" s="23">
        <v>1</v>
      </c>
      <c r="K303" s="23" t="s">
        <v>1826</v>
      </c>
    </row>
    <row r="304" spans="1:11" ht="189">
      <c r="A304" s="23" t="s">
        <v>189</v>
      </c>
      <c r="B304" s="23" t="s">
        <v>22</v>
      </c>
      <c r="C304" s="23" t="s">
        <v>23</v>
      </c>
      <c r="D304" s="23">
        <v>1</v>
      </c>
      <c r="E304" s="23" t="s">
        <v>936</v>
      </c>
      <c r="F304" s="23" t="s">
        <v>932</v>
      </c>
      <c r="G304" s="23" t="s">
        <v>937</v>
      </c>
      <c r="H304" s="23">
        <v>1</v>
      </c>
      <c r="I304" s="23" t="s">
        <v>2101</v>
      </c>
      <c r="J304" s="23">
        <v>1</v>
      </c>
      <c r="K304" s="23" t="s">
        <v>1826</v>
      </c>
    </row>
    <row r="305" spans="1:11" ht="157.5">
      <c r="A305" s="23" t="s">
        <v>189</v>
      </c>
      <c r="B305" s="23" t="s">
        <v>25</v>
      </c>
      <c r="C305" s="23" t="s">
        <v>26</v>
      </c>
      <c r="D305" s="23">
        <v>1</v>
      </c>
      <c r="E305" s="23" t="s">
        <v>938</v>
      </c>
      <c r="F305" s="23" t="s">
        <v>932</v>
      </c>
      <c r="G305" s="23" t="s">
        <v>935</v>
      </c>
      <c r="H305" s="23">
        <v>1</v>
      </c>
      <c r="I305" s="23" t="s">
        <v>2102</v>
      </c>
      <c r="J305" s="23">
        <v>1</v>
      </c>
      <c r="K305" s="23" t="s">
        <v>1826</v>
      </c>
    </row>
    <row r="306" spans="1:11" ht="157.5">
      <c r="A306" s="23" t="s">
        <v>189</v>
      </c>
      <c r="B306" s="23" t="s">
        <v>28</v>
      </c>
      <c r="C306" s="23" t="s">
        <v>29</v>
      </c>
      <c r="D306" s="23">
        <v>1</v>
      </c>
      <c r="E306" s="23" t="s">
        <v>939</v>
      </c>
      <c r="F306" s="23" t="s">
        <v>932</v>
      </c>
      <c r="G306" s="23" t="s">
        <v>935</v>
      </c>
      <c r="H306" s="23">
        <v>1</v>
      </c>
      <c r="I306" s="23" t="s">
        <v>2103</v>
      </c>
      <c r="J306" s="23">
        <v>1</v>
      </c>
      <c r="K306" s="23" t="s">
        <v>1826</v>
      </c>
    </row>
    <row r="307" spans="1:11" ht="252">
      <c r="A307" s="23" t="s">
        <v>189</v>
      </c>
      <c r="B307" s="23" t="s">
        <v>31</v>
      </c>
      <c r="C307" s="23" t="s">
        <v>32</v>
      </c>
      <c r="D307" s="23">
        <v>0.5</v>
      </c>
      <c r="E307" s="23" t="s">
        <v>940</v>
      </c>
      <c r="F307" s="23" t="s">
        <v>932</v>
      </c>
      <c r="G307" s="23" t="s">
        <v>941</v>
      </c>
      <c r="H307" s="23">
        <v>0.5</v>
      </c>
      <c r="I307" s="23" t="s">
        <v>2104</v>
      </c>
      <c r="J307" s="23">
        <v>0.5</v>
      </c>
      <c r="K307" s="23" t="s">
        <v>1833</v>
      </c>
    </row>
    <row r="308" spans="1:11" ht="267.75">
      <c r="A308" s="23" t="s">
        <v>189</v>
      </c>
      <c r="B308" s="23" t="s">
        <v>34</v>
      </c>
      <c r="C308" s="23" t="s">
        <v>35</v>
      </c>
      <c r="D308" s="23">
        <v>0.5</v>
      </c>
      <c r="E308" s="23" t="s">
        <v>942</v>
      </c>
      <c r="F308" s="23" t="s">
        <v>932</v>
      </c>
      <c r="G308" s="23" t="s">
        <v>935</v>
      </c>
      <c r="H308" s="23">
        <v>0.5</v>
      </c>
      <c r="I308" s="23" t="s">
        <v>2105</v>
      </c>
      <c r="J308" s="23">
        <v>0.5</v>
      </c>
      <c r="K308" s="23" t="s">
        <v>1833</v>
      </c>
    </row>
    <row r="309" spans="1:11" ht="157.5">
      <c r="A309" s="23" t="s">
        <v>189</v>
      </c>
      <c r="B309" s="23" t="s">
        <v>37</v>
      </c>
      <c r="C309" s="23" t="s">
        <v>38</v>
      </c>
      <c r="D309" s="23">
        <v>1</v>
      </c>
      <c r="E309" s="23" t="s">
        <v>943</v>
      </c>
      <c r="F309" s="23" t="s">
        <v>932</v>
      </c>
      <c r="G309" s="23" t="s">
        <v>944</v>
      </c>
      <c r="H309" s="23">
        <v>1</v>
      </c>
      <c r="I309" s="23" t="s">
        <v>2106</v>
      </c>
      <c r="J309" s="23">
        <v>1</v>
      </c>
      <c r="K309" s="23" t="s">
        <v>1826</v>
      </c>
    </row>
    <row r="310" spans="1:11" ht="189">
      <c r="A310" s="23" t="s">
        <v>193</v>
      </c>
      <c r="B310" s="23" t="s">
        <v>13</v>
      </c>
      <c r="C310" s="23" t="s">
        <v>14</v>
      </c>
      <c r="D310" s="23">
        <v>1</v>
      </c>
      <c r="E310" s="23" t="s">
        <v>945</v>
      </c>
      <c r="F310" s="23" t="s">
        <v>946</v>
      </c>
      <c r="G310" s="23" t="s">
        <v>907</v>
      </c>
      <c r="H310" s="23">
        <v>1</v>
      </c>
      <c r="I310" s="23" t="s">
        <v>2107</v>
      </c>
      <c r="J310" s="23">
        <v>1</v>
      </c>
      <c r="K310" s="23" t="s">
        <v>1826</v>
      </c>
    </row>
    <row r="311" spans="1:11" ht="157.5">
      <c r="A311" s="23" t="s">
        <v>193</v>
      </c>
      <c r="B311" s="23" t="s">
        <v>16</v>
      </c>
      <c r="C311" s="23" t="s">
        <v>17</v>
      </c>
      <c r="D311" s="23">
        <v>1</v>
      </c>
      <c r="E311" s="23" t="s">
        <v>947</v>
      </c>
      <c r="F311" s="23" t="s">
        <v>946</v>
      </c>
      <c r="G311" s="23" t="s">
        <v>948</v>
      </c>
      <c r="H311" s="23">
        <v>1</v>
      </c>
      <c r="I311" s="23" t="s">
        <v>2108</v>
      </c>
      <c r="J311" s="23">
        <v>1</v>
      </c>
      <c r="K311" s="23" t="s">
        <v>1826</v>
      </c>
    </row>
    <row r="312" spans="1:11" ht="173.25">
      <c r="A312" s="23" t="s">
        <v>193</v>
      </c>
      <c r="B312" s="23" t="s">
        <v>19</v>
      </c>
      <c r="C312" s="23" t="s">
        <v>20</v>
      </c>
      <c r="D312" s="23">
        <v>1</v>
      </c>
      <c r="E312" s="23" t="s">
        <v>949</v>
      </c>
      <c r="F312" s="23" t="s">
        <v>946</v>
      </c>
      <c r="G312" s="23" t="s">
        <v>950</v>
      </c>
      <c r="H312" s="23">
        <v>1</v>
      </c>
      <c r="I312" s="23" t="s">
        <v>2109</v>
      </c>
      <c r="J312" s="23">
        <v>1</v>
      </c>
      <c r="K312" s="23" t="s">
        <v>1826</v>
      </c>
    </row>
    <row r="313" spans="1:11" ht="173.25">
      <c r="A313" s="23" t="s">
        <v>193</v>
      </c>
      <c r="B313" s="23" t="s">
        <v>22</v>
      </c>
      <c r="C313" s="23" t="s">
        <v>23</v>
      </c>
      <c r="D313" s="23">
        <v>1</v>
      </c>
      <c r="E313" s="23" t="s">
        <v>951</v>
      </c>
      <c r="F313" s="23" t="s">
        <v>946</v>
      </c>
      <c r="G313" s="23" t="s">
        <v>952</v>
      </c>
      <c r="H313" s="23">
        <v>1</v>
      </c>
      <c r="I313" s="23" t="s">
        <v>2110</v>
      </c>
      <c r="J313" s="23">
        <v>1</v>
      </c>
      <c r="K313" s="23" t="s">
        <v>1826</v>
      </c>
    </row>
    <row r="314" spans="1:11" ht="173.25">
      <c r="A314" s="23" t="s">
        <v>193</v>
      </c>
      <c r="B314" s="23" t="s">
        <v>25</v>
      </c>
      <c r="C314" s="23" t="s">
        <v>26</v>
      </c>
      <c r="D314" s="23">
        <v>1</v>
      </c>
      <c r="E314" s="23" t="s">
        <v>953</v>
      </c>
      <c r="F314" s="23" t="s">
        <v>946</v>
      </c>
      <c r="G314" s="23" t="s">
        <v>950</v>
      </c>
      <c r="H314" s="23">
        <v>1</v>
      </c>
      <c r="I314" s="23" t="s">
        <v>2111</v>
      </c>
      <c r="J314" s="23">
        <v>1</v>
      </c>
      <c r="K314" s="23" t="s">
        <v>1826</v>
      </c>
    </row>
    <row r="315" spans="1:11" ht="157.5">
      <c r="A315" s="23" t="s">
        <v>193</v>
      </c>
      <c r="B315" s="23" t="s">
        <v>28</v>
      </c>
      <c r="C315" s="23" t="s">
        <v>29</v>
      </c>
      <c r="D315" s="23">
        <v>1</v>
      </c>
      <c r="E315" s="23" t="s">
        <v>954</v>
      </c>
      <c r="F315" s="23" t="s">
        <v>946</v>
      </c>
      <c r="G315" s="23" t="s">
        <v>950</v>
      </c>
      <c r="H315" s="23">
        <v>1</v>
      </c>
      <c r="I315" s="23" t="s">
        <v>2112</v>
      </c>
      <c r="J315" s="23">
        <v>1</v>
      </c>
      <c r="K315" s="23" t="s">
        <v>1826</v>
      </c>
    </row>
    <row r="316" spans="1:11" ht="157.5">
      <c r="A316" s="23" t="s">
        <v>193</v>
      </c>
      <c r="B316" s="23" t="s">
        <v>31</v>
      </c>
      <c r="C316" s="23" t="s">
        <v>32</v>
      </c>
      <c r="D316" s="23">
        <v>0</v>
      </c>
      <c r="E316" s="23" t="s">
        <v>955</v>
      </c>
      <c r="F316" s="23" t="s">
        <v>946</v>
      </c>
      <c r="G316" s="23" t="s">
        <v>916</v>
      </c>
      <c r="H316" s="23">
        <v>0</v>
      </c>
      <c r="I316" s="23" t="s">
        <v>2113</v>
      </c>
      <c r="J316" s="23">
        <v>0</v>
      </c>
      <c r="K316" s="23" t="s">
        <v>2093</v>
      </c>
    </row>
    <row r="317" spans="1:11" ht="220.5">
      <c r="A317" s="23" t="s">
        <v>193</v>
      </c>
      <c r="B317" s="23" t="s">
        <v>34</v>
      </c>
      <c r="C317" s="23" t="s">
        <v>35</v>
      </c>
      <c r="D317" s="23">
        <v>1</v>
      </c>
      <c r="E317" s="23" t="s">
        <v>956</v>
      </c>
      <c r="F317" s="23" t="s">
        <v>946</v>
      </c>
      <c r="G317" s="23" t="s">
        <v>957</v>
      </c>
      <c r="H317" s="23">
        <v>1</v>
      </c>
      <c r="I317" s="23" t="s">
        <v>2114</v>
      </c>
      <c r="J317" s="23">
        <v>1</v>
      </c>
      <c r="K317" s="23" t="s">
        <v>1826</v>
      </c>
    </row>
    <row r="318" spans="1:11" ht="157.5">
      <c r="A318" s="23" t="s">
        <v>193</v>
      </c>
      <c r="B318" s="23" t="s">
        <v>37</v>
      </c>
      <c r="C318" s="23" t="s">
        <v>38</v>
      </c>
      <c r="D318" s="23">
        <v>1</v>
      </c>
      <c r="E318" s="23" t="s">
        <v>958</v>
      </c>
      <c r="F318" s="23" t="s">
        <v>946</v>
      </c>
      <c r="G318" s="23" t="s">
        <v>959</v>
      </c>
      <c r="H318" s="23">
        <v>1</v>
      </c>
      <c r="I318" s="23" t="s">
        <v>2115</v>
      </c>
      <c r="J318" s="23">
        <v>1</v>
      </c>
      <c r="K318" s="23" t="s">
        <v>1826</v>
      </c>
    </row>
    <row r="319" spans="1:11" ht="141.75">
      <c r="A319" s="23" t="s">
        <v>197</v>
      </c>
      <c r="B319" s="23" t="s">
        <v>13</v>
      </c>
      <c r="C319" s="23" t="s">
        <v>14</v>
      </c>
      <c r="D319" s="23">
        <v>1</v>
      </c>
      <c r="E319" s="23" t="s">
        <v>960</v>
      </c>
      <c r="F319" s="23" t="s">
        <v>961</v>
      </c>
      <c r="G319" s="23" t="s">
        <v>907</v>
      </c>
      <c r="H319" s="23">
        <v>1</v>
      </c>
      <c r="I319" s="23" t="s">
        <v>2116</v>
      </c>
      <c r="J319" s="23">
        <v>1</v>
      </c>
      <c r="K319" s="23" t="s">
        <v>1826</v>
      </c>
    </row>
    <row r="320" spans="1:11" ht="173.25">
      <c r="A320" s="23" t="s">
        <v>197</v>
      </c>
      <c r="B320" s="23" t="s">
        <v>16</v>
      </c>
      <c r="C320" s="23" t="s">
        <v>17</v>
      </c>
      <c r="D320" s="23">
        <v>1</v>
      </c>
      <c r="E320" s="23" t="s">
        <v>962</v>
      </c>
      <c r="F320" s="23" t="s">
        <v>961</v>
      </c>
      <c r="G320" s="23" t="s">
        <v>833</v>
      </c>
      <c r="H320" s="23">
        <v>1</v>
      </c>
      <c r="I320" s="23" t="s">
        <v>2117</v>
      </c>
      <c r="J320" s="23">
        <v>1</v>
      </c>
      <c r="K320" s="23" t="s">
        <v>1826</v>
      </c>
    </row>
    <row r="321" spans="1:11" ht="141.75">
      <c r="A321" s="23" t="s">
        <v>197</v>
      </c>
      <c r="B321" s="23" t="s">
        <v>19</v>
      </c>
      <c r="C321" s="23" t="s">
        <v>20</v>
      </c>
      <c r="D321" s="23">
        <v>1</v>
      </c>
      <c r="E321" s="23" t="s">
        <v>963</v>
      </c>
      <c r="F321" s="23" t="s">
        <v>961</v>
      </c>
      <c r="G321" s="23" t="s">
        <v>964</v>
      </c>
      <c r="H321" s="23">
        <v>1</v>
      </c>
      <c r="I321" s="23" t="s">
        <v>2118</v>
      </c>
      <c r="J321" s="23">
        <v>1</v>
      </c>
      <c r="K321" s="23" t="s">
        <v>1826</v>
      </c>
    </row>
    <row r="322" spans="1:11" ht="173.25">
      <c r="A322" s="23" t="s">
        <v>197</v>
      </c>
      <c r="B322" s="23" t="s">
        <v>22</v>
      </c>
      <c r="C322" s="23" t="s">
        <v>23</v>
      </c>
      <c r="D322" s="23">
        <v>1</v>
      </c>
      <c r="E322" s="23" t="s">
        <v>965</v>
      </c>
      <c r="F322" s="23" t="s">
        <v>961</v>
      </c>
      <c r="G322" s="23" t="s">
        <v>673</v>
      </c>
      <c r="H322" s="23">
        <v>1</v>
      </c>
      <c r="I322" s="23" t="s">
        <v>2119</v>
      </c>
      <c r="J322" s="23">
        <v>1</v>
      </c>
      <c r="K322" s="23" t="s">
        <v>1826</v>
      </c>
    </row>
    <row r="323" spans="1:11" ht="157.5">
      <c r="A323" s="23" t="s">
        <v>197</v>
      </c>
      <c r="B323" s="23" t="s">
        <v>25</v>
      </c>
      <c r="C323" s="23" t="s">
        <v>26</v>
      </c>
      <c r="D323" s="23">
        <v>1</v>
      </c>
      <c r="E323" s="23" t="s">
        <v>966</v>
      </c>
      <c r="F323" s="23" t="s">
        <v>961</v>
      </c>
      <c r="G323" s="23" t="s">
        <v>644</v>
      </c>
      <c r="H323" s="23">
        <v>1</v>
      </c>
      <c r="I323" s="23" t="s">
        <v>2120</v>
      </c>
      <c r="J323" s="23">
        <v>1</v>
      </c>
      <c r="K323" s="23" t="s">
        <v>1826</v>
      </c>
    </row>
    <row r="324" spans="1:11" ht="157.5">
      <c r="A324" s="23" t="s">
        <v>197</v>
      </c>
      <c r="B324" s="23" t="s">
        <v>28</v>
      </c>
      <c r="C324" s="23" t="s">
        <v>29</v>
      </c>
      <c r="D324" s="23">
        <v>1</v>
      </c>
      <c r="E324" s="23" t="s">
        <v>967</v>
      </c>
      <c r="F324" s="23" t="s">
        <v>961</v>
      </c>
      <c r="G324" s="23" t="s">
        <v>897</v>
      </c>
      <c r="H324" s="23">
        <v>1</v>
      </c>
      <c r="I324" s="23" t="s">
        <v>2121</v>
      </c>
      <c r="J324" s="23">
        <v>1</v>
      </c>
      <c r="K324" s="23" t="s">
        <v>1826</v>
      </c>
    </row>
    <row r="325" spans="1:11" ht="236.25">
      <c r="A325" s="23" t="s">
        <v>197</v>
      </c>
      <c r="B325" s="23" t="s">
        <v>31</v>
      </c>
      <c r="C325" s="23" t="s">
        <v>32</v>
      </c>
      <c r="D325" s="23">
        <v>0.5</v>
      </c>
      <c r="E325" s="23" t="s">
        <v>968</v>
      </c>
      <c r="F325" s="23" t="s">
        <v>961</v>
      </c>
      <c r="G325" s="23" t="s">
        <v>969</v>
      </c>
      <c r="H325" s="23">
        <v>0.5</v>
      </c>
      <c r="I325" s="23" t="s">
        <v>2122</v>
      </c>
      <c r="J325" s="23">
        <v>0.5</v>
      </c>
      <c r="K325" s="23" t="s">
        <v>1833</v>
      </c>
    </row>
    <row r="326" spans="1:11" ht="252">
      <c r="A326" s="23" t="s">
        <v>197</v>
      </c>
      <c r="B326" s="23" t="s">
        <v>34</v>
      </c>
      <c r="C326" s="23" t="s">
        <v>35</v>
      </c>
      <c r="D326" s="23">
        <v>0.5</v>
      </c>
      <c r="E326" s="23" t="s">
        <v>970</v>
      </c>
      <c r="F326" s="23" t="s">
        <v>961</v>
      </c>
      <c r="G326" s="23" t="s">
        <v>613</v>
      </c>
      <c r="H326" s="23">
        <v>0.5</v>
      </c>
      <c r="I326" s="23" t="s">
        <v>2123</v>
      </c>
      <c r="J326" s="23">
        <v>0.5</v>
      </c>
      <c r="K326" s="23" t="s">
        <v>1833</v>
      </c>
    </row>
    <row r="327" spans="1:11" ht="252">
      <c r="A327" s="23" t="s">
        <v>197</v>
      </c>
      <c r="B327" s="23" t="s">
        <v>37</v>
      </c>
      <c r="C327" s="23" t="s">
        <v>38</v>
      </c>
      <c r="D327" s="23">
        <v>0.5</v>
      </c>
      <c r="E327" s="23" t="s">
        <v>971</v>
      </c>
      <c r="F327" s="23" t="s">
        <v>961</v>
      </c>
      <c r="G327" s="23" t="s">
        <v>972</v>
      </c>
      <c r="H327" s="23">
        <v>0.5</v>
      </c>
      <c r="I327" s="23" t="s">
        <v>2124</v>
      </c>
      <c r="J327" s="23">
        <v>0.5</v>
      </c>
      <c r="K327" s="23" t="s">
        <v>1833</v>
      </c>
    </row>
    <row r="328" spans="1:11" ht="157.5">
      <c r="A328" s="23" t="s">
        <v>201</v>
      </c>
      <c r="B328" s="23" t="s">
        <v>13</v>
      </c>
      <c r="C328" s="23" t="s">
        <v>14</v>
      </c>
      <c r="D328" s="23">
        <v>1</v>
      </c>
      <c r="E328" s="23" t="s">
        <v>973</v>
      </c>
      <c r="F328" s="23" t="s">
        <v>974</v>
      </c>
      <c r="G328" s="23" t="s">
        <v>813</v>
      </c>
      <c r="H328" s="23">
        <v>1</v>
      </c>
      <c r="I328" s="23" t="s">
        <v>2125</v>
      </c>
      <c r="J328" s="23">
        <v>1</v>
      </c>
      <c r="K328" s="23" t="s">
        <v>1826</v>
      </c>
    </row>
    <row r="329" spans="1:11" ht="173.25">
      <c r="A329" s="23" t="s">
        <v>201</v>
      </c>
      <c r="B329" s="23" t="s">
        <v>16</v>
      </c>
      <c r="C329" s="23" t="s">
        <v>17</v>
      </c>
      <c r="D329" s="23">
        <v>1</v>
      </c>
      <c r="E329" s="23" t="s">
        <v>975</v>
      </c>
      <c r="F329" s="23" t="s">
        <v>974</v>
      </c>
      <c r="G329" s="23" t="s">
        <v>976</v>
      </c>
      <c r="H329" s="23">
        <v>1</v>
      </c>
      <c r="I329" s="23" t="s">
        <v>2126</v>
      </c>
      <c r="J329" s="23">
        <v>1</v>
      </c>
      <c r="K329" s="23" t="s">
        <v>1826</v>
      </c>
    </row>
    <row r="330" spans="1:11" ht="157.5">
      <c r="A330" s="23" t="s">
        <v>201</v>
      </c>
      <c r="B330" s="23" t="s">
        <v>19</v>
      </c>
      <c r="C330" s="23" t="s">
        <v>20</v>
      </c>
      <c r="D330" s="23">
        <v>1</v>
      </c>
      <c r="E330" s="23" t="s">
        <v>977</v>
      </c>
      <c r="F330" s="23" t="s">
        <v>974</v>
      </c>
      <c r="G330" s="23" t="s">
        <v>780</v>
      </c>
      <c r="H330" s="23">
        <v>1</v>
      </c>
      <c r="I330" s="23" t="s">
        <v>2127</v>
      </c>
      <c r="J330" s="23">
        <v>1</v>
      </c>
      <c r="K330" s="23" t="s">
        <v>1826</v>
      </c>
    </row>
    <row r="331" spans="1:11" ht="189">
      <c r="A331" s="23" t="s">
        <v>201</v>
      </c>
      <c r="B331" s="23" t="s">
        <v>22</v>
      </c>
      <c r="C331" s="23" t="s">
        <v>23</v>
      </c>
      <c r="D331" s="23">
        <v>1</v>
      </c>
      <c r="E331" s="23" t="s">
        <v>978</v>
      </c>
      <c r="F331" s="23" t="s">
        <v>974</v>
      </c>
      <c r="G331" s="23" t="s">
        <v>979</v>
      </c>
      <c r="H331" s="23">
        <v>1</v>
      </c>
      <c r="I331" s="23" t="s">
        <v>2128</v>
      </c>
      <c r="J331" s="23">
        <v>1</v>
      </c>
      <c r="K331" s="23" t="s">
        <v>1826</v>
      </c>
    </row>
    <row r="332" spans="1:11" ht="204.75">
      <c r="A332" s="23" t="s">
        <v>201</v>
      </c>
      <c r="B332" s="23" t="s">
        <v>25</v>
      </c>
      <c r="C332" s="23" t="s">
        <v>26</v>
      </c>
      <c r="D332" s="23">
        <v>1</v>
      </c>
      <c r="E332" s="23" t="s">
        <v>980</v>
      </c>
      <c r="F332" s="23" t="s">
        <v>974</v>
      </c>
      <c r="G332" s="23" t="s">
        <v>780</v>
      </c>
      <c r="H332" s="23">
        <v>1</v>
      </c>
      <c r="I332" s="23" t="s">
        <v>2129</v>
      </c>
      <c r="J332" s="23">
        <v>1</v>
      </c>
      <c r="K332" s="23" t="s">
        <v>1826</v>
      </c>
    </row>
    <row r="333" spans="1:11" ht="157.5">
      <c r="A333" s="23" t="s">
        <v>201</v>
      </c>
      <c r="B333" s="23" t="s">
        <v>28</v>
      </c>
      <c r="C333" s="23" t="s">
        <v>29</v>
      </c>
      <c r="D333" s="23">
        <v>1</v>
      </c>
      <c r="E333" s="23" t="s">
        <v>981</v>
      </c>
      <c r="F333" s="23" t="s">
        <v>974</v>
      </c>
      <c r="G333" s="23" t="s">
        <v>760</v>
      </c>
      <c r="H333" s="23">
        <v>1</v>
      </c>
      <c r="I333" s="23" t="s">
        <v>2130</v>
      </c>
      <c r="J333" s="23">
        <v>1</v>
      </c>
      <c r="K333" s="23" t="s">
        <v>1826</v>
      </c>
    </row>
    <row r="334" spans="1:11" ht="157.5">
      <c r="A334" s="23" t="s">
        <v>201</v>
      </c>
      <c r="B334" s="23" t="s">
        <v>31</v>
      </c>
      <c r="C334" s="23" t="s">
        <v>32</v>
      </c>
      <c r="D334" s="23">
        <v>0</v>
      </c>
      <c r="E334" s="23" t="s">
        <v>982</v>
      </c>
      <c r="F334" s="23" t="s">
        <v>974</v>
      </c>
      <c r="G334" s="23" t="s">
        <v>916</v>
      </c>
      <c r="H334" s="23">
        <v>0</v>
      </c>
      <c r="I334" s="23" t="s">
        <v>2131</v>
      </c>
      <c r="J334" s="23">
        <v>0</v>
      </c>
      <c r="K334" s="23" t="s">
        <v>2093</v>
      </c>
    </row>
    <row r="335" spans="1:11" ht="236.25">
      <c r="A335" s="23" t="s">
        <v>201</v>
      </c>
      <c r="B335" s="23" t="s">
        <v>34</v>
      </c>
      <c r="C335" s="23" t="s">
        <v>35</v>
      </c>
      <c r="D335" s="23">
        <v>0.5</v>
      </c>
      <c r="E335" s="23" t="s">
        <v>983</v>
      </c>
      <c r="F335" s="23" t="s">
        <v>974</v>
      </c>
      <c r="G335" s="23" t="s">
        <v>764</v>
      </c>
      <c r="H335" s="23">
        <v>0.5</v>
      </c>
      <c r="I335" s="23" t="s">
        <v>2132</v>
      </c>
      <c r="J335" s="23">
        <v>0.5</v>
      </c>
      <c r="K335" s="23" t="s">
        <v>1833</v>
      </c>
    </row>
    <row r="336" spans="1:11" ht="220.5">
      <c r="A336" s="23" t="s">
        <v>201</v>
      </c>
      <c r="B336" s="23" t="s">
        <v>37</v>
      </c>
      <c r="C336" s="23" t="s">
        <v>38</v>
      </c>
      <c r="D336" s="23">
        <v>0.5</v>
      </c>
      <c r="E336" s="23" t="s">
        <v>984</v>
      </c>
      <c r="F336" s="23" t="s">
        <v>974</v>
      </c>
      <c r="G336" s="23" t="s">
        <v>985</v>
      </c>
      <c r="H336" s="23">
        <v>0.5</v>
      </c>
      <c r="I336" s="23" t="s">
        <v>2133</v>
      </c>
      <c r="J336" s="23">
        <v>0.5</v>
      </c>
      <c r="K336" s="23" t="s">
        <v>1833</v>
      </c>
    </row>
    <row r="337" spans="1:11" ht="141.75">
      <c r="A337" s="23" t="s">
        <v>205</v>
      </c>
      <c r="B337" s="23" t="s">
        <v>13</v>
      </c>
      <c r="C337" s="23" t="s">
        <v>14</v>
      </c>
      <c r="D337" s="23">
        <v>1</v>
      </c>
      <c r="E337" s="23" t="s">
        <v>986</v>
      </c>
      <c r="F337" s="23" t="s">
        <v>987</v>
      </c>
      <c r="G337" s="23" t="s">
        <v>907</v>
      </c>
      <c r="H337" s="23">
        <v>1</v>
      </c>
      <c r="I337" s="23" t="s">
        <v>2134</v>
      </c>
      <c r="J337" s="23">
        <v>1</v>
      </c>
      <c r="K337" s="23" t="s">
        <v>1826</v>
      </c>
    </row>
    <row r="338" spans="1:11" ht="189">
      <c r="A338" s="23" t="s">
        <v>205</v>
      </c>
      <c r="B338" s="23" t="s">
        <v>16</v>
      </c>
      <c r="C338" s="23" t="s">
        <v>17</v>
      </c>
      <c r="D338" s="23">
        <v>1</v>
      </c>
      <c r="E338" s="23" t="s">
        <v>988</v>
      </c>
      <c r="F338" s="23" t="s">
        <v>987</v>
      </c>
      <c r="G338" s="23" t="s">
        <v>888</v>
      </c>
      <c r="H338" s="23">
        <v>1</v>
      </c>
      <c r="I338" s="23" t="s">
        <v>2135</v>
      </c>
      <c r="J338" s="23">
        <v>1</v>
      </c>
      <c r="K338" s="23" t="s">
        <v>1826</v>
      </c>
    </row>
    <row r="339" spans="1:11" ht="141.75">
      <c r="A339" s="23" t="s">
        <v>205</v>
      </c>
      <c r="B339" s="23" t="s">
        <v>19</v>
      </c>
      <c r="C339" s="23" t="s">
        <v>20</v>
      </c>
      <c r="D339" s="23">
        <v>1</v>
      </c>
      <c r="E339" s="23" t="s">
        <v>989</v>
      </c>
      <c r="F339" s="23" t="s">
        <v>987</v>
      </c>
      <c r="G339" s="23" t="s">
        <v>990</v>
      </c>
      <c r="H339" s="23">
        <v>1</v>
      </c>
      <c r="I339" s="23" t="s">
        <v>2136</v>
      </c>
      <c r="J339" s="23">
        <v>1</v>
      </c>
      <c r="K339" s="23" t="s">
        <v>1826</v>
      </c>
    </row>
    <row r="340" spans="1:11" ht="157.5">
      <c r="A340" s="23" t="s">
        <v>205</v>
      </c>
      <c r="B340" s="23" t="s">
        <v>22</v>
      </c>
      <c r="C340" s="23" t="s">
        <v>23</v>
      </c>
      <c r="D340" s="23">
        <v>1</v>
      </c>
      <c r="E340" s="23" t="s">
        <v>991</v>
      </c>
      <c r="F340" s="23" t="s">
        <v>987</v>
      </c>
      <c r="G340" s="23" t="s">
        <v>613</v>
      </c>
      <c r="H340" s="23">
        <v>1</v>
      </c>
      <c r="I340" s="23" t="s">
        <v>2137</v>
      </c>
      <c r="J340" s="23">
        <v>1</v>
      </c>
      <c r="K340" s="23" t="s">
        <v>1826</v>
      </c>
    </row>
    <row r="341" spans="1:11" ht="204.75">
      <c r="A341" s="23" t="s">
        <v>205</v>
      </c>
      <c r="B341" s="23" t="s">
        <v>25</v>
      </c>
      <c r="C341" s="23" t="s">
        <v>26</v>
      </c>
      <c r="D341" s="23">
        <v>1</v>
      </c>
      <c r="E341" s="23" t="s">
        <v>992</v>
      </c>
      <c r="F341" s="23" t="s">
        <v>987</v>
      </c>
      <c r="G341" s="23" t="s">
        <v>964</v>
      </c>
      <c r="H341" s="23">
        <v>1</v>
      </c>
      <c r="I341" s="23" t="s">
        <v>2138</v>
      </c>
      <c r="J341" s="23">
        <v>1</v>
      </c>
      <c r="K341" s="23" t="s">
        <v>1826</v>
      </c>
    </row>
    <row r="342" spans="1:11" ht="157.5">
      <c r="A342" s="23" t="s">
        <v>205</v>
      </c>
      <c r="B342" s="23" t="s">
        <v>28</v>
      </c>
      <c r="C342" s="23" t="s">
        <v>29</v>
      </c>
      <c r="D342" s="23">
        <v>1</v>
      </c>
      <c r="E342" s="23" t="s">
        <v>993</v>
      </c>
      <c r="F342" s="23" t="s">
        <v>987</v>
      </c>
      <c r="G342" s="23" t="s">
        <v>808</v>
      </c>
      <c r="H342" s="23">
        <v>1</v>
      </c>
      <c r="I342" s="23" t="s">
        <v>2139</v>
      </c>
      <c r="J342" s="23">
        <v>1</v>
      </c>
      <c r="K342" s="23" t="s">
        <v>1826</v>
      </c>
    </row>
    <row r="343" spans="1:11" ht="189">
      <c r="A343" s="23" t="s">
        <v>205</v>
      </c>
      <c r="B343" s="23" t="s">
        <v>31</v>
      </c>
      <c r="C343" s="23" t="s">
        <v>32</v>
      </c>
      <c r="D343" s="23">
        <v>1</v>
      </c>
      <c r="E343" s="23" t="s">
        <v>994</v>
      </c>
      <c r="F343" s="23" t="s">
        <v>987</v>
      </c>
      <c r="G343" s="23" t="s">
        <v>995</v>
      </c>
      <c r="H343" s="23">
        <v>1</v>
      </c>
      <c r="I343" s="23" t="s">
        <v>2140</v>
      </c>
      <c r="J343" s="23">
        <v>1</v>
      </c>
      <c r="K343" s="23" t="s">
        <v>1826</v>
      </c>
    </row>
    <row r="344" spans="1:11" ht="157.5">
      <c r="A344" s="23" t="s">
        <v>205</v>
      </c>
      <c r="B344" s="23" t="s">
        <v>34</v>
      </c>
      <c r="C344" s="23" t="s">
        <v>35</v>
      </c>
      <c r="D344" s="23">
        <v>1</v>
      </c>
      <c r="E344" s="23" t="s">
        <v>996</v>
      </c>
      <c r="F344" s="23" t="s">
        <v>987</v>
      </c>
      <c r="G344" s="23" t="s">
        <v>990</v>
      </c>
      <c r="H344" s="23">
        <v>1</v>
      </c>
      <c r="I344" s="23" t="s">
        <v>2141</v>
      </c>
      <c r="J344" s="23">
        <v>1</v>
      </c>
      <c r="K344" s="23" t="s">
        <v>1826</v>
      </c>
    </row>
    <row r="345" spans="1:11" ht="173.25">
      <c r="A345" s="23" t="s">
        <v>205</v>
      </c>
      <c r="B345" s="23" t="s">
        <v>37</v>
      </c>
      <c r="C345" s="23" t="s">
        <v>38</v>
      </c>
      <c r="D345" s="23">
        <v>1</v>
      </c>
      <c r="E345" s="23" t="s">
        <v>997</v>
      </c>
      <c r="F345" s="23" t="s">
        <v>987</v>
      </c>
      <c r="G345" s="23" t="s">
        <v>998</v>
      </c>
      <c r="H345" s="23">
        <v>1</v>
      </c>
      <c r="I345" s="23" t="s">
        <v>2142</v>
      </c>
      <c r="J345" s="23">
        <v>1</v>
      </c>
      <c r="K345" s="23" t="s">
        <v>1826</v>
      </c>
    </row>
    <row r="346" spans="1:11" ht="173.25">
      <c r="A346" s="23" t="s">
        <v>209</v>
      </c>
      <c r="B346" s="23" t="s">
        <v>13</v>
      </c>
      <c r="C346" s="23" t="s">
        <v>14</v>
      </c>
      <c r="D346" s="23">
        <v>1</v>
      </c>
      <c r="E346" s="23" t="s">
        <v>999</v>
      </c>
      <c r="F346" s="23" t="s">
        <v>1000</v>
      </c>
      <c r="G346" s="23" t="s">
        <v>813</v>
      </c>
      <c r="H346" s="23">
        <v>1</v>
      </c>
      <c r="I346" s="23" t="s">
        <v>2143</v>
      </c>
      <c r="J346" s="23">
        <v>1</v>
      </c>
      <c r="K346" s="23" t="s">
        <v>1826</v>
      </c>
    </row>
    <row r="347" spans="1:11" ht="157.5">
      <c r="A347" s="23" t="s">
        <v>209</v>
      </c>
      <c r="B347" s="23" t="s">
        <v>16</v>
      </c>
      <c r="C347" s="23" t="s">
        <v>17</v>
      </c>
      <c r="D347" s="23">
        <v>1</v>
      </c>
      <c r="E347" s="23" t="s">
        <v>1001</v>
      </c>
      <c r="F347" s="23" t="s">
        <v>1000</v>
      </c>
      <c r="G347" s="23" t="s">
        <v>1002</v>
      </c>
      <c r="H347" s="23">
        <v>1</v>
      </c>
      <c r="I347" s="23" t="s">
        <v>2144</v>
      </c>
      <c r="J347" s="23">
        <v>1</v>
      </c>
      <c r="K347" s="23" t="s">
        <v>1826</v>
      </c>
    </row>
    <row r="348" spans="1:11" ht="157.5">
      <c r="A348" s="23" t="s">
        <v>209</v>
      </c>
      <c r="B348" s="23" t="s">
        <v>19</v>
      </c>
      <c r="C348" s="23" t="s">
        <v>20</v>
      </c>
      <c r="D348" s="23">
        <v>1</v>
      </c>
      <c r="E348" s="23" t="s">
        <v>1003</v>
      </c>
      <c r="F348" s="23" t="s">
        <v>1000</v>
      </c>
      <c r="G348" s="23" t="s">
        <v>964</v>
      </c>
      <c r="H348" s="23">
        <v>1</v>
      </c>
      <c r="I348" s="23" t="s">
        <v>2145</v>
      </c>
      <c r="J348" s="23">
        <v>1</v>
      </c>
      <c r="K348" s="23" t="s">
        <v>1826</v>
      </c>
    </row>
    <row r="349" spans="1:11" ht="189">
      <c r="A349" s="23" t="s">
        <v>209</v>
      </c>
      <c r="B349" s="23" t="s">
        <v>22</v>
      </c>
      <c r="C349" s="23" t="s">
        <v>23</v>
      </c>
      <c r="D349" s="23">
        <v>1</v>
      </c>
      <c r="E349" s="23" t="s">
        <v>1004</v>
      </c>
      <c r="F349" s="23" t="s">
        <v>1000</v>
      </c>
      <c r="G349" s="23" t="s">
        <v>1005</v>
      </c>
      <c r="H349" s="23">
        <v>1</v>
      </c>
      <c r="I349" s="23" t="s">
        <v>2146</v>
      </c>
      <c r="J349" s="23">
        <v>1</v>
      </c>
      <c r="K349" s="23" t="s">
        <v>1826</v>
      </c>
    </row>
    <row r="350" spans="1:11" ht="189">
      <c r="A350" s="23" t="s">
        <v>209</v>
      </c>
      <c r="B350" s="23" t="s">
        <v>25</v>
      </c>
      <c r="C350" s="23" t="s">
        <v>26</v>
      </c>
      <c r="D350" s="23">
        <v>1</v>
      </c>
      <c r="E350" s="23" t="s">
        <v>1006</v>
      </c>
      <c r="F350" s="23" t="s">
        <v>1000</v>
      </c>
      <c r="G350" s="23" t="s">
        <v>964</v>
      </c>
      <c r="H350" s="23">
        <v>1</v>
      </c>
      <c r="I350" s="23" t="s">
        <v>2147</v>
      </c>
      <c r="J350" s="23">
        <v>1</v>
      </c>
      <c r="K350" s="23" t="s">
        <v>1826</v>
      </c>
    </row>
    <row r="351" spans="1:11" ht="157.5">
      <c r="A351" s="23" t="s">
        <v>209</v>
      </c>
      <c r="B351" s="23" t="s">
        <v>28</v>
      </c>
      <c r="C351" s="23" t="s">
        <v>29</v>
      </c>
      <c r="D351" s="23">
        <v>1</v>
      </c>
      <c r="E351" s="23" t="s">
        <v>1007</v>
      </c>
      <c r="F351" s="23" t="s">
        <v>1000</v>
      </c>
      <c r="G351" s="23" t="s">
        <v>613</v>
      </c>
      <c r="H351" s="23">
        <v>1</v>
      </c>
      <c r="I351" s="23" t="s">
        <v>2148</v>
      </c>
      <c r="J351" s="23">
        <v>1</v>
      </c>
      <c r="K351" s="23" t="s">
        <v>1826</v>
      </c>
    </row>
    <row r="352" spans="1:11" ht="220.5">
      <c r="A352" s="23" t="s">
        <v>209</v>
      </c>
      <c r="B352" s="23" t="s">
        <v>31</v>
      </c>
      <c r="C352" s="23" t="s">
        <v>32</v>
      </c>
      <c r="D352" s="23">
        <v>0</v>
      </c>
      <c r="E352" s="23" t="s">
        <v>1008</v>
      </c>
      <c r="F352" s="23" t="s">
        <v>1000</v>
      </c>
      <c r="G352" s="23" t="s">
        <v>916</v>
      </c>
      <c r="H352" s="23">
        <v>0</v>
      </c>
      <c r="I352" s="23" t="s">
        <v>2149</v>
      </c>
      <c r="J352" s="23">
        <v>0</v>
      </c>
      <c r="K352" s="23" t="s">
        <v>2093</v>
      </c>
    </row>
    <row r="353" spans="1:11" ht="173.25">
      <c r="A353" s="23" t="s">
        <v>209</v>
      </c>
      <c r="B353" s="23" t="s">
        <v>34</v>
      </c>
      <c r="C353" s="23" t="s">
        <v>35</v>
      </c>
      <c r="D353" s="23">
        <v>1</v>
      </c>
      <c r="E353" s="23" t="s">
        <v>1009</v>
      </c>
      <c r="F353" s="23" t="s">
        <v>1000</v>
      </c>
      <c r="G353" s="23" t="s">
        <v>964</v>
      </c>
      <c r="H353" s="23">
        <v>1</v>
      </c>
      <c r="I353" s="23" t="s">
        <v>2150</v>
      </c>
      <c r="J353" s="23">
        <v>1</v>
      </c>
      <c r="K353" s="23" t="s">
        <v>1826</v>
      </c>
    </row>
    <row r="354" spans="1:11" ht="220.5">
      <c r="A354" s="23" t="s">
        <v>209</v>
      </c>
      <c r="B354" s="23" t="s">
        <v>37</v>
      </c>
      <c r="C354" s="23" t="s">
        <v>38</v>
      </c>
      <c r="D354" s="23">
        <v>0.5</v>
      </c>
      <c r="E354" s="23" t="s">
        <v>1010</v>
      </c>
      <c r="F354" s="23" t="s">
        <v>1000</v>
      </c>
      <c r="G354" s="23" t="s">
        <v>1011</v>
      </c>
      <c r="H354" s="23">
        <v>0.5</v>
      </c>
      <c r="I354" s="23" t="s">
        <v>2151</v>
      </c>
      <c r="J354" s="23">
        <v>0.5</v>
      </c>
      <c r="K354" s="23" t="s">
        <v>1833</v>
      </c>
    </row>
    <row r="355" spans="1:11" ht="126">
      <c r="A355" s="23" t="s">
        <v>213</v>
      </c>
      <c r="B355" s="23" t="s">
        <v>13</v>
      </c>
      <c r="C355" s="23" t="s">
        <v>14</v>
      </c>
      <c r="D355" s="23"/>
      <c r="E355" s="23" t="s">
        <v>1012</v>
      </c>
      <c r="F355" s="23" t="s">
        <v>1013</v>
      </c>
      <c r="G355" s="23" t="s">
        <v>1014</v>
      </c>
      <c r="H355" s="23"/>
      <c r="I355" s="23" t="s">
        <v>2152</v>
      </c>
      <c r="J355" s="23"/>
      <c r="K355" s="23" t="s">
        <v>2153</v>
      </c>
    </row>
    <row r="356" spans="1:11" ht="126">
      <c r="A356" s="23" t="s">
        <v>213</v>
      </c>
      <c r="B356" s="23" t="s">
        <v>16</v>
      </c>
      <c r="C356" s="23" t="s">
        <v>17</v>
      </c>
      <c r="D356" s="23"/>
      <c r="E356" s="23" t="s">
        <v>1015</v>
      </c>
      <c r="F356" s="23" t="s">
        <v>1013</v>
      </c>
      <c r="G356" s="23" t="s">
        <v>1016</v>
      </c>
      <c r="H356" s="23"/>
      <c r="I356" s="23" t="s">
        <v>2152</v>
      </c>
      <c r="J356" s="23"/>
      <c r="K356" s="23" t="s">
        <v>2153</v>
      </c>
    </row>
    <row r="357" spans="1:11" ht="126">
      <c r="A357" s="23" t="s">
        <v>213</v>
      </c>
      <c r="B357" s="23" t="s">
        <v>19</v>
      </c>
      <c r="C357" s="23" t="s">
        <v>20</v>
      </c>
      <c r="D357" s="23"/>
      <c r="E357" s="23" t="s">
        <v>1015</v>
      </c>
      <c r="F357" s="23" t="s">
        <v>1013</v>
      </c>
      <c r="G357" s="23" t="s">
        <v>1016</v>
      </c>
      <c r="H357" s="23"/>
      <c r="I357" s="23" t="s">
        <v>2152</v>
      </c>
      <c r="J357" s="23"/>
      <c r="K357" s="23" t="s">
        <v>2153</v>
      </c>
    </row>
    <row r="358" spans="1:11" ht="126">
      <c r="A358" s="23" t="s">
        <v>213</v>
      </c>
      <c r="B358" s="23" t="s">
        <v>22</v>
      </c>
      <c r="C358" s="23" t="s">
        <v>23</v>
      </c>
      <c r="D358" s="23"/>
      <c r="E358" s="23" t="s">
        <v>1015</v>
      </c>
      <c r="F358" s="23" t="s">
        <v>1013</v>
      </c>
      <c r="G358" s="23" t="s">
        <v>1016</v>
      </c>
      <c r="H358" s="23"/>
      <c r="I358" s="23" t="s">
        <v>2152</v>
      </c>
      <c r="J358" s="23"/>
      <c r="K358" s="23" t="s">
        <v>2153</v>
      </c>
    </row>
    <row r="359" spans="1:11" ht="126">
      <c r="A359" s="23" t="s">
        <v>213</v>
      </c>
      <c r="B359" s="23" t="s">
        <v>25</v>
      </c>
      <c r="C359" s="23" t="s">
        <v>26</v>
      </c>
      <c r="D359" s="23"/>
      <c r="E359" s="23" t="s">
        <v>1015</v>
      </c>
      <c r="F359" s="23" t="s">
        <v>1013</v>
      </c>
      <c r="G359" s="23" t="s">
        <v>1016</v>
      </c>
      <c r="H359" s="23"/>
      <c r="I359" s="23" t="s">
        <v>2152</v>
      </c>
      <c r="J359" s="23"/>
      <c r="K359" s="23" t="s">
        <v>2153</v>
      </c>
    </row>
    <row r="360" spans="1:11" ht="126">
      <c r="A360" s="23" t="s">
        <v>213</v>
      </c>
      <c r="B360" s="23" t="s">
        <v>28</v>
      </c>
      <c r="C360" s="23" t="s">
        <v>29</v>
      </c>
      <c r="D360" s="23"/>
      <c r="E360" s="23" t="s">
        <v>1015</v>
      </c>
      <c r="F360" s="23" t="s">
        <v>1013</v>
      </c>
      <c r="G360" s="23" t="s">
        <v>1016</v>
      </c>
      <c r="H360" s="23"/>
      <c r="I360" s="23" t="s">
        <v>2152</v>
      </c>
      <c r="J360" s="23"/>
      <c r="K360" s="23" t="s">
        <v>2153</v>
      </c>
    </row>
    <row r="361" spans="1:11" ht="126">
      <c r="A361" s="23" t="s">
        <v>213</v>
      </c>
      <c r="B361" s="23" t="s">
        <v>31</v>
      </c>
      <c r="C361" s="23" t="s">
        <v>32</v>
      </c>
      <c r="D361" s="23"/>
      <c r="E361" s="23" t="s">
        <v>1015</v>
      </c>
      <c r="F361" s="23" t="s">
        <v>1013</v>
      </c>
      <c r="G361" s="23" t="s">
        <v>1016</v>
      </c>
      <c r="H361" s="23"/>
      <c r="I361" s="23" t="s">
        <v>2152</v>
      </c>
      <c r="J361" s="23"/>
      <c r="K361" s="23" t="s">
        <v>2153</v>
      </c>
    </row>
    <row r="362" spans="1:11" ht="126">
      <c r="A362" s="23" t="s">
        <v>213</v>
      </c>
      <c r="B362" s="23" t="s">
        <v>34</v>
      </c>
      <c r="C362" s="23" t="s">
        <v>35</v>
      </c>
      <c r="D362" s="23"/>
      <c r="E362" s="23" t="s">
        <v>1015</v>
      </c>
      <c r="F362" s="23" t="s">
        <v>1013</v>
      </c>
      <c r="G362" s="23" t="s">
        <v>1016</v>
      </c>
      <c r="H362" s="23"/>
      <c r="I362" s="23" t="s">
        <v>2152</v>
      </c>
      <c r="J362" s="23"/>
      <c r="K362" s="23" t="s">
        <v>2153</v>
      </c>
    </row>
    <row r="363" spans="1:11" ht="126">
      <c r="A363" s="23" t="s">
        <v>213</v>
      </c>
      <c r="B363" s="23" t="s">
        <v>37</v>
      </c>
      <c r="C363" s="23" t="s">
        <v>38</v>
      </c>
      <c r="D363" s="23"/>
      <c r="E363" s="23" t="s">
        <v>1015</v>
      </c>
      <c r="F363" s="23" t="s">
        <v>1013</v>
      </c>
      <c r="G363" s="23" t="s">
        <v>1016</v>
      </c>
      <c r="H363" s="23"/>
      <c r="I363" s="23" t="s">
        <v>2152</v>
      </c>
      <c r="J363" s="23"/>
      <c r="K363" s="23" t="s">
        <v>2153</v>
      </c>
    </row>
    <row r="364" spans="1:11" ht="173.25">
      <c r="A364" s="23" t="s">
        <v>218</v>
      </c>
      <c r="B364" s="23" t="s">
        <v>13</v>
      </c>
      <c r="C364" s="23" t="s">
        <v>14</v>
      </c>
      <c r="D364" s="23">
        <v>1</v>
      </c>
      <c r="E364" s="23" t="s">
        <v>1017</v>
      </c>
      <c r="F364" s="23" t="s">
        <v>1018</v>
      </c>
      <c r="G364" s="23" t="s">
        <v>907</v>
      </c>
      <c r="H364" s="23">
        <v>1</v>
      </c>
      <c r="I364" s="23" t="s">
        <v>2154</v>
      </c>
      <c r="J364" s="23">
        <v>1</v>
      </c>
      <c r="K364" s="23" t="s">
        <v>1826</v>
      </c>
    </row>
    <row r="365" spans="1:11" ht="173.25">
      <c r="A365" s="23" t="s">
        <v>218</v>
      </c>
      <c r="B365" s="23" t="s">
        <v>16</v>
      </c>
      <c r="C365" s="23" t="s">
        <v>17</v>
      </c>
      <c r="D365" s="23">
        <v>1</v>
      </c>
      <c r="E365" s="23" t="s">
        <v>1019</v>
      </c>
      <c r="F365" s="23" t="s">
        <v>1018</v>
      </c>
      <c r="G365" s="23" t="s">
        <v>1020</v>
      </c>
      <c r="H365" s="23">
        <v>1</v>
      </c>
      <c r="I365" s="23" t="s">
        <v>2155</v>
      </c>
      <c r="J365" s="23">
        <v>1</v>
      </c>
      <c r="K365" s="23" t="s">
        <v>1826</v>
      </c>
    </row>
    <row r="366" spans="1:11" ht="173.25">
      <c r="A366" s="23" t="s">
        <v>218</v>
      </c>
      <c r="B366" s="23" t="s">
        <v>19</v>
      </c>
      <c r="C366" s="23" t="s">
        <v>20</v>
      </c>
      <c r="D366" s="23">
        <v>1</v>
      </c>
      <c r="E366" s="23" t="s">
        <v>1021</v>
      </c>
      <c r="F366" s="23" t="s">
        <v>1018</v>
      </c>
      <c r="G366" s="23" t="s">
        <v>808</v>
      </c>
      <c r="H366" s="23">
        <v>1</v>
      </c>
      <c r="I366" s="23" t="s">
        <v>2156</v>
      </c>
      <c r="J366" s="23">
        <v>1</v>
      </c>
      <c r="K366" s="23" t="s">
        <v>1826</v>
      </c>
    </row>
    <row r="367" spans="1:11" ht="173.25">
      <c r="A367" s="23" t="s">
        <v>218</v>
      </c>
      <c r="B367" s="23" t="s">
        <v>22</v>
      </c>
      <c r="C367" s="23" t="s">
        <v>23</v>
      </c>
      <c r="D367" s="23">
        <v>1</v>
      </c>
      <c r="E367" s="23" t="s">
        <v>1022</v>
      </c>
      <c r="F367" s="23" t="s">
        <v>1018</v>
      </c>
      <c r="G367" s="23" t="s">
        <v>808</v>
      </c>
      <c r="H367" s="23">
        <v>1</v>
      </c>
      <c r="I367" s="23" t="s">
        <v>2157</v>
      </c>
      <c r="J367" s="23">
        <v>1</v>
      </c>
      <c r="K367" s="23" t="s">
        <v>1826</v>
      </c>
    </row>
    <row r="368" spans="1:11" ht="189">
      <c r="A368" s="23" t="s">
        <v>218</v>
      </c>
      <c r="B368" s="23" t="s">
        <v>25</v>
      </c>
      <c r="C368" s="23" t="s">
        <v>26</v>
      </c>
      <c r="D368" s="23">
        <v>1</v>
      </c>
      <c r="E368" s="23" t="s">
        <v>1023</v>
      </c>
      <c r="F368" s="23" t="s">
        <v>1018</v>
      </c>
      <c r="G368" s="23" t="s">
        <v>808</v>
      </c>
      <c r="H368" s="23">
        <v>1</v>
      </c>
      <c r="I368" s="23" t="s">
        <v>2158</v>
      </c>
      <c r="J368" s="23">
        <v>1</v>
      </c>
      <c r="K368" s="23" t="s">
        <v>1826</v>
      </c>
    </row>
    <row r="369" spans="1:11" ht="173.25">
      <c r="A369" s="23" t="s">
        <v>218</v>
      </c>
      <c r="B369" s="23" t="s">
        <v>28</v>
      </c>
      <c r="C369" s="23" t="s">
        <v>29</v>
      </c>
      <c r="D369" s="23">
        <v>1</v>
      </c>
      <c r="E369" s="23" t="s">
        <v>1024</v>
      </c>
      <c r="F369" s="23" t="s">
        <v>1018</v>
      </c>
      <c r="G369" s="23" t="s">
        <v>806</v>
      </c>
      <c r="H369" s="23">
        <v>1</v>
      </c>
      <c r="I369" s="23" t="s">
        <v>2159</v>
      </c>
      <c r="J369" s="23">
        <v>1</v>
      </c>
      <c r="K369" s="23" t="s">
        <v>1826</v>
      </c>
    </row>
    <row r="370" spans="1:11" ht="189">
      <c r="A370" s="23" t="s">
        <v>218</v>
      </c>
      <c r="B370" s="23" t="s">
        <v>31</v>
      </c>
      <c r="C370" s="23" t="s">
        <v>32</v>
      </c>
      <c r="D370" s="23">
        <v>1</v>
      </c>
      <c r="E370" s="23" t="s">
        <v>1025</v>
      </c>
      <c r="F370" s="23" t="s">
        <v>1018</v>
      </c>
      <c r="G370" s="23" t="s">
        <v>1026</v>
      </c>
      <c r="H370" s="23">
        <v>1</v>
      </c>
      <c r="I370" s="23" t="s">
        <v>2160</v>
      </c>
      <c r="J370" s="23">
        <v>1</v>
      </c>
      <c r="K370" s="23" t="s">
        <v>1826</v>
      </c>
    </row>
    <row r="371" spans="1:11" ht="189">
      <c r="A371" s="23" t="s">
        <v>218</v>
      </c>
      <c r="B371" s="23" t="s">
        <v>34</v>
      </c>
      <c r="C371" s="23" t="s">
        <v>35</v>
      </c>
      <c r="D371" s="23">
        <v>1</v>
      </c>
      <c r="E371" s="23" t="s">
        <v>1027</v>
      </c>
      <c r="F371" s="23" t="s">
        <v>1018</v>
      </c>
      <c r="G371" s="23" t="s">
        <v>1028</v>
      </c>
      <c r="H371" s="23">
        <v>1</v>
      </c>
      <c r="I371" s="23" t="s">
        <v>2161</v>
      </c>
      <c r="J371" s="23">
        <v>1</v>
      </c>
      <c r="K371" s="23" t="s">
        <v>1826</v>
      </c>
    </row>
    <row r="372" spans="1:11" ht="236.25">
      <c r="A372" s="23" t="s">
        <v>218</v>
      </c>
      <c r="B372" s="23" t="s">
        <v>37</v>
      </c>
      <c r="C372" s="23" t="s">
        <v>38</v>
      </c>
      <c r="D372" s="23">
        <v>0.5</v>
      </c>
      <c r="E372" s="23" t="s">
        <v>1029</v>
      </c>
      <c r="F372" s="23" t="s">
        <v>1018</v>
      </c>
      <c r="G372" s="23" t="s">
        <v>1030</v>
      </c>
      <c r="H372" s="23">
        <v>0.5</v>
      </c>
      <c r="I372" s="23" t="s">
        <v>2162</v>
      </c>
      <c r="J372" s="23">
        <v>0.5</v>
      </c>
      <c r="K372" s="23" t="s">
        <v>1833</v>
      </c>
    </row>
    <row r="373" spans="1:11" ht="173.25">
      <c r="A373" s="23" t="s">
        <v>222</v>
      </c>
      <c r="B373" s="23" t="s">
        <v>13</v>
      </c>
      <c r="C373" s="23" t="s">
        <v>14</v>
      </c>
      <c r="D373" s="23">
        <v>1</v>
      </c>
      <c r="E373" s="23" t="s">
        <v>1031</v>
      </c>
      <c r="F373" s="23" t="s">
        <v>1032</v>
      </c>
      <c r="G373" s="23" t="s">
        <v>907</v>
      </c>
      <c r="H373" s="23">
        <v>1</v>
      </c>
      <c r="I373" s="23" t="s">
        <v>2163</v>
      </c>
      <c r="J373" s="23">
        <v>1</v>
      </c>
      <c r="K373" s="23" t="s">
        <v>1826</v>
      </c>
    </row>
    <row r="374" spans="1:11" ht="189">
      <c r="A374" s="23" t="s">
        <v>222</v>
      </c>
      <c r="B374" s="23" t="s">
        <v>16</v>
      </c>
      <c r="C374" s="23" t="s">
        <v>17</v>
      </c>
      <c r="D374" s="23">
        <v>1</v>
      </c>
      <c r="E374" s="23" t="s">
        <v>1033</v>
      </c>
      <c r="F374" s="23" t="s">
        <v>1032</v>
      </c>
      <c r="G374" s="23" t="s">
        <v>873</v>
      </c>
      <c r="H374" s="23">
        <v>1</v>
      </c>
      <c r="I374" s="23" t="s">
        <v>2164</v>
      </c>
      <c r="J374" s="23">
        <v>1</v>
      </c>
      <c r="K374" s="23" t="s">
        <v>1826</v>
      </c>
    </row>
    <row r="375" spans="1:11" ht="189">
      <c r="A375" s="23" t="s">
        <v>222</v>
      </c>
      <c r="B375" s="23" t="s">
        <v>19</v>
      </c>
      <c r="C375" s="23" t="s">
        <v>20</v>
      </c>
      <c r="D375" s="23">
        <v>1</v>
      </c>
      <c r="E375" s="23" t="s">
        <v>1034</v>
      </c>
      <c r="F375" s="23" t="s">
        <v>1032</v>
      </c>
      <c r="G375" s="23" t="s">
        <v>935</v>
      </c>
      <c r="H375" s="23">
        <v>1</v>
      </c>
      <c r="I375" s="23" t="s">
        <v>2165</v>
      </c>
      <c r="J375" s="23">
        <v>1</v>
      </c>
      <c r="K375" s="23" t="s">
        <v>1826</v>
      </c>
    </row>
    <row r="376" spans="1:11" ht="189">
      <c r="A376" s="23" t="s">
        <v>222</v>
      </c>
      <c r="B376" s="23" t="s">
        <v>22</v>
      </c>
      <c r="C376" s="23" t="s">
        <v>23</v>
      </c>
      <c r="D376" s="23">
        <v>1</v>
      </c>
      <c r="E376" s="23" t="s">
        <v>1035</v>
      </c>
      <c r="F376" s="23" t="s">
        <v>1032</v>
      </c>
      <c r="G376" s="23" t="s">
        <v>1036</v>
      </c>
      <c r="H376" s="23">
        <v>1</v>
      </c>
      <c r="I376" s="23" t="s">
        <v>2166</v>
      </c>
      <c r="J376" s="23">
        <v>1</v>
      </c>
      <c r="K376" s="23" t="s">
        <v>1826</v>
      </c>
    </row>
    <row r="377" spans="1:11" ht="267.75">
      <c r="A377" s="23" t="s">
        <v>222</v>
      </c>
      <c r="B377" s="23" t="s">
        <v>25</v>
      </c>
      <c r="C377" s="23" t="s">
        <v>26</v>
      </c>
      <c r="D377" s="23">
        <v>0.5</v>
      </c>
      <c r="E377" s="23" t="s">
        <v>1037</v>
      </c>
      <c r="F377" s="23" t="s">
        <v>1032</v>
      </c>
      <c r="G377" s="23" t="s">
        <v>935</v>
      </c>
      <c r="H377" s="23">
        <v>0.5</v>
      </c>
      <c r="I377" s="23" t="s">
        <v>2167</v>
      </c>
      <c r="J377" s="23">
        <v>0.5</v>
      </c>
      <c r="K377" s="23" t="s">
        <v>1833</v>
      </c>
    </row>
    <row r="378" spans="1:11" ht="173.25">
      <c r="A378" s="23" t="s">
        <v>222</v>
      </c>
      <c r="B378" s="23" t="s">
        <v>28</v>
      </c>
      <c r="C378" s="23" t="s">
        <v>29</v>
      </c>
      <c r="D378" s="23">
        <v>1</v>
      </c>
      <c r="E378" s="23" t="s">
        <v>1038</v>
      </c>
      <c r="F378" s="23" t="s">
        <v>1032</v>
      </c>
      <c r="G378" s="23" t="s">
        <v>935</v>
      </c>
      <c r="H378" s="23">
        <v>1</v>
      </c>
      <c r="I378" s="23" t="s">
        <v>2168</v>
      </c>
      <c r="J378" s="23">
        <v>1</v>
      </c>
      <c r="K378" s="23" t="s">
        <v>1826</v>
      </c>
    </row>
    <row r="379" spans="1:11" ht="141.75">
      <c r="A379" s="23" t="s">
        <v>222</v>
      </c>
      <c r="B379" s="23" t="s">
        <v>31</v>
      </c>
      <c r="C379" s="23" t="s">
        <v>32</v>
      </c>
      <c r="D379" s="23">
        <v>0</v>
      </c>
      <c r="E379" s="23" t="s">
        <v>1039</v>
      </c>
      <c r="F379" s="23" t="s">
        <v>1032</v>
      </c>
      <c r="G379" s="23" t="s">
        <v>916</v>
      </c>
      <c r="H379" s="23">
        <v>0</v>
      </c>
      <c r="I379" s="23" t="s">
        <v>2169</v>
      </c>
      <c r="J379" s="23">
        <v>0</v>
      </c>
      <c r="K379" s="23" t="s">
        <v>2093</v>
      </c>
    </row>
    <row r="380" spans="1:11" ht="252">
      <c r="A380" s="23" t="s">
        <v>222</v>
      </c>
      <c r="B380" s="23" t="s">
        <v>34</v>
      </c>
      <c r="C380" s="23" t="s">
        <v>35</v>
      </c>
      <c r="D380" s="23">
        <v>0.5</v>
      </c>
      <c r="E380" s="23" t="s">
        <v>1040</v>
      </c>
      <c r="F380" s="23" t="s">
        <v>1032</v>
      </c>
      <c r="G380" s="23" t="s">
        <v>935</v>
      </c>
      <c r="H380" s="23">
        <v>0.5</v>
      </c>
      <c r="I380" s="23" t="s">
        <v>2170</v>
      </c>
      <c r="J380" s="23">
        <v>0.5</v>
      </c>
      <c r="K380" s="23" t="s">
        <v>1833</v>
      </c>
    </row>
    <row r="381" spans="1:11" ht="204.75">
      <c r="A381" s="23" t="s">
        <v>222</v>
      </c>
      <c r="B381" s="23" t="s">
        <v>37</v>
      </c>
      <c r="C381" s="23" t="s">
        <v>38</v>
      </c>
      <c r="D381" s="23">
        <v>0.5</v>
      </c>
      <c r="E381" s="23" t="s">
        <v>1041</v>
      </c>
      <c r="F381" s="23" t="s">
        <v>1032</v>
      </c>
      <c r="G381" s="23" t="s">
        <v>935</v>
      </c>
      <c r="H381" s="23">
        <v>0.5</v>
      </c>
      <c r="I381" s="23" t="s">
        <v>2171</v>
      </c>
      <c r="J381" s="23">
        <v>0.5</v>
      </c>
      <c r="K381" s="23" t="s">
        <v>1833</v>
      </c>
    </row>
    <row r="382" spans="1:11" ht="189">
      <c r="A382" s="23" t="s">
        <v>226</v>
      </c>
      <c r="B382" s="23" t="s">
        <v>13</v>
      </c>
      <c r="C382" s="23" t="s">
        <v>14</v>
      </c>
      <c r="D382" s="23">
        <v>1</v>
      </c>
      <c r="E382" s="23" t="s">
        <v>1042</v>
      </c>
      <c r="F382" s="23" t="s">
        <v>1043</v>
      </c>
      <c r="G382" s="23" t="s">
        <v>1044</v>
      </c>
      <c r="H382" s="23">
        <v>1</v>
      </c>
      <c r="I382" s="23" t="s">
        <v>2172</v>
      </c>
      <c r="J382" s="23">
        <v>1</v>
      </c>
      <c r="K382" s="23" t="s">
        <v>1826</v>
      </c>
    </row>
    <row r="383" spans="1:11" ht="157.5">
      <c r="A383" s="23" t="s">
        <v>226</v>
      </c>
      <c r="B383" s="23" t="s">
        <v>16</v>
      </c>
      <c r="C383" s="23" t="s">
        <v>17</v>
      </c>
      <c r="D383" s="23">
        <v>1</v>
      </c>
      <c r="E383" s="23" t="s">
        <v>1045</v>
      </c>
      <c r="F383" s="23" t="s">
        <v>1043</v>
      </c>
      <c r="G383" s="23" t="s">
        <v>1044</v>
      </c>
      <c r="H383" s="23">
        <v>1</v>
      </c>
      <c r="I383" s="23" t="s">
        <v>2173</v>
      </c>
      <c r="J383" s="23">
        <v>1</v>
      </c>
      <c r="K383" s="23" t="s">
        <v>1826</v>
      </c>
    </row>
    <row r="384" spans="1:11" ht="189">
      <c r="A384" s="23" t="s">
        <v>226</v>
      </c>
      <c r="B384" s="23" t="s">
        <v>19</v>
      </c>
      <c r="C384" s="23" t="s">
        <v>20</v>
      </c>
      <c r="D384" s="23">
        <v>1</v>
      </c>
      <c r="E384" s="23" t="s">
        <v>1046</v>
      </c>
      <c r="F384" s="23" t="s">
        <v>1043</v>
      </c>
      <c r="G384" s="23" t="s">
        <v>1047</v>
      </c>
      <c r="H384" s="23">
        <v>1</v>
      </c>
      <c r="I384" s="23" t="s">
        <v>2174</v>
      </c>
      <c r="J384" s="23">
        <v>1</v>
      </c>
      <c r="K384" s="23" t="s">
        <v>1826</v>
      </c>
    </row>
    <row r="385" spans="1:11" ht="189">
      <c r="A385" s="23" t="s">
        <v>226</v>
      </c>
      <c r="B385" s="23" t="s">
        <v>22</v>
      </c>
      <c r="C385" s="23" t="s">
        <v>23</v>
      </c>
      <c r="D385" s="23">
        <v>1</v>
      </c>
      <c r="E385" s="23" t="s">
        <v>1048</v>
      </c>
      <c r="F385" s="23" t="s">
        <v>1043</v>
      </c>
      <c r="G385" s="23" t="s">
        <v>1049</v>
      </c>
      <c r="H385" s="23">
        <v>1</v>
      </c>
      <c r="I385" s="23" t="s">
        <v>2175</v>
      </c>
      <c r="J385" s="23">
        <v>1</v>
      </c>
      <c r="K385" s="23" t="s">
        <v>1826</v>
      </c>
    </row>
    <row r="386" spans="1:11" ht="189">
      <c r="A386" s="23" t="s">
        <v>226</v>
      </c>
      <c r="B386" s="23" t="s">
        <v>25</v>
      </c>
      <c r="C386" s="23" t="s">
        <v>26</v>
      </c>
      <c r="D386" s="23">
        <v>1</v>
      </c>
      <c r="E386" s="23" t="s">
        <v>1050</v>
      </c>
      <c r="F386" s="23" t="s">
        <v>1043</v>
      </c>
      <c r="G386" s="23" t="s">
        <v>1051</v>
      </c>
      <c r="H386" s="23">
        <v>1</v>
      </c>
      <c r="I386" s="23" t="s">
        <v>2176</v>
      </c>
      <c r="J386" s="23">
        <v>1</v>
      </c>
      <c r="K386" s="23" t="s">
        <v>1826</v>
      </c>
    </row>
    <row r="387" spans="1:11" ht="173.25">
      <c r="A387" s="23" t="s">
        <v>226</v>
      </c>
      <c r="B387" s="23" t="s">
        <v>28</v>
      </c>
      <c r="C387" s="23" t="s">
        <v>29</v>
      </c>
      <c r="D387" s="23">
        <v>1</v>
      </c>
      <c r="E387" s="23" t="s">
        <v>1052</v>
      </c>
      <c r="F387" s="23" t="s">
        <v>1043</v>
      </c>
      <c r="G387" s="23" t="s">
        <v>1053</v>
      </c>
      <c r="H387" s="23">
        <v>1</v>
      </c>
      <c r="I387" s="23" t="s">
        <v>2177</v>
      </c>
      <c r="J387" s="23">
        <v>1</v>
      </c>
      <c r="K387" s="23" t="s">
        <v>1826</v>
      </c>
    </row>
    <row r="388" spans="1:11" ht="157.5">
      <c r="A388" s="23" t="s">
        <v>226</v>
      </c>
      <c r="B388" s="23" t="s">
        <v>31</v>
      </c>
      <c r="C388" s="23" t="s">
        <v>32</v>
      </c>
      <c r="D388" s="23">
        <v>1</v>
      </c>
      <c r="E388" s="23" t="s">
        <v>1054</v>
      </c>
      <c r="F388" s="23" t="s">
        <v>1043</v>
      </c>
      <c r="G388" s="23" t="s">
        <v>1055</v>
      </c>
      <c r="H388" s="23">
        <v>1</v>
      </c>
      <c r="I388" s="23" t="s">
        <v>2178</v>
      </c>
      <c r="J388" s="23">
        <v>1</v>
      </c>
      <c r="K388" s="23" t="s">
        <v>1826</v>
      </c>
    </row>
    <row r="389" spans="1:11" ht="204.75">
      <c r="A389" s="23" t="s">
        <v>226</v>
      </c>
      <c r="B389" s="23" t="s">
        <v>34</v>
      </c>
      <c r="C389" s="23" t="s">
        <v>35</v>
      </c>
      <c r="D389" s="23">
        <v>1</v>
      </c>
      <c r="E389" s="23" t="s">
        <v>1056</v>
      </c>
      <c r="F389" s="23" t="s">
        <v>1043</v>
      </c>
      <c r="G389" s="23" t="s">
        <v>1057</v>
      </c>
      <c r="H389" s="23">
        <v>1</v>
      </c>
      <c r="I389" s="23" t="s">
        <v>2179</v>
      </c>
      <c r="J389" s="23">
        <v>1</v>
      </c>
      <c r="K389" s="23" t="s">
        <v>1826</v>
      </c>
    </row>
    <row r="390" spans="1:11" ht="252">
      <c r="A390" s="23" t="s">
        <v>226</v>
      </c>
      <c r="B390" s="23" t="s">
        <v>37</v>
      </c>
      <c r="C390" s="23" t="s">
        <v>38</v>
      </c>
      <c r="D390" s="23">
        <v>0.5</v>
      </c>
      <c r="E390" s="23" t="s">
        <v>1058</v>
      </c>
      <c r="F390" s="23" t="s">
        <v>1043</v>
      </c>
      <c r="G390" s="23" t="s">
        <v>1059</v>
      </c>
      <c r="H390" s="23">
        <v>0.5</v>
      </c>
      <c r="I390" s="23" t="s">
        <v>2180</v>
      </c>
      <c r="J390" s="23">
        <v>0.5</v>
      </c>
      <c r="K390" s="23" t="s">
        <v>1833</v>
      </c>
    </row>
    <row r="391" spans="1:11" ht="173.25">
      <c r="A391" s="23" t="s">
        <v>230</v>
      </c>
      <c r="B391" s="23" t="s">
        <v>13</v>
      </c>
      <c r="C391" s="23" t="s">
        <v>14</v>
      </c>
      <c r="D391" s="23">
        <v>1</v>
      </c>
      <c r="E391" s="23" t="s">
        <v>1060</v>
      </c>
      <c r="F391" s="23" t="s">
        <v>1061</v>
      </c>
      <c r="G391" s="23" t="s">
        <v>907</v>
      </c>
      <c r="H391" s="23">
        <v>1</v>
      </c>
      <c r="I391" s="23" t="s">
        <v>2181</v>
      </c>
      <c r="J391" s="23">
        <v>1</v>
      </c>
      <c r="K391" s="23" t="s">
        <v>1826</v>
      </c>
    </row>
    <row r="392" spans="1:11" ht="204.75">
      <c r="A392" s="23" t="s">
        <v>230</v>
      </c>
      <c r="B392" s="23" t="s">
        <v>16</v>
      </c>
      <c r="C392" s="23" t="s">
        <v>17</v>
      </c>
      <c r="D392" s="23">
        <v>1</v>
      </c>
      <c r="E392" s="23" t="s">
        <v>1062</v>
      </c>
      <c r="F392" s="23" t="s">
        <v>1061</v>
      </c>
      <c r="G392" s="23" t="s">
        <v>841</v>
      </c>
      <c r="H392" s="23">
        <v>1</v>
      </c>
      <c r="I392" s="23" t="s">
        <v>2182</v>
      </c>
      <c r="J392" s="23">
        <v>1</v>
      </c>
      <c r="K392" s="23" t="s">
        <v>1826</v>
      </c>
    </row>
    <row r="393" spans="1:11" ht="173.25">
      <c r="A393" s="23" t="s">
        <v>230</v>
      </c>
      <c r="B393" s="23" t="s">
        <v>19</v>
      </c>
      <c r="C393" s="23" t="s">
        <v>20</v>
      </c>
      <c r="D393" s="23">
        <v>1</v>
      </c>
      <c r="E393" s="23" t="s">
        <v>1063</v>
      </c>
      <c r="F393" s="23" t="s">
        <v>1061</v>
      </c>
      <c r="G393" s="23" t="s">
        <v>1064</v>
      </c>
      <c r="H393" s="23">
        <v>1</v>
      </c>
      <c r="I393" s="23" t="s">
        <v>2183</v>
      </c>
      <c r="J393" s="23">
        <v>1</v>
      </c>
      <c r="K393" s="23" t="s">
        <v>1826</v>
      </c>
    </row>
    <row r="394" spans="1:11" ht="204.75">
      <c r="A394" s="23" t="s">
        <v>230</v>
      </c>
      <c r="B394" s="23" t="s">
        <v>22</v>
      </c>
      <c r="C394" s="23" t="s">
        <v>23</v>
      </c>
      <c r="D394" s="23">
        <v>1</v>
      </c>
      <c r="E394" s="23" t="s">
        <v>1065</v>
      </c>
      <c r="F394" s="23" t="s">
        <v>1061</v>
      </c>
      <c r="G394" s="23" t="s">
        <v>1066</v>
      </c>
      <c r="H394" s="23">
        <v>1</v>
      </c>
      <c r="I394" s="23" t="s">
        <v>2184</v>
      </c>
      <c r="J394" s="23">
        <v>1</v>
      </c>
      <c r="K394" s="23" t="s">
        <v>1826</v>
      </c>
    </row>
    <row r="395" spans="1:11" ht="236.25">
      <c r="A395" s="23" t="s">
        <v>230</v>
      </c>
      <c r="B395" s="23" t="s">
        <v>25</v>
      </c>
      <c r="C395" s="23" t="s">
        <v>26</v>
      </c>
      <c r="D395" s="23">
        <v>0.5</v>
      </c>
      <c r="E395" s="23" t="s">
        <v>1067</v>
      </c>
      <c r="F395" s="23" t="s">
        <v>1061</v>
      </c>
      <c r="G395" s="23" t="s">
        <v>1068</v>
      </c>
      <c r="H395" s="23">
        <v>0.5</v>
      </c>
      <c r="I395" s="23" t="s">
        <v>2185</v>
      </c>
      <c r="J395" s="23">
        <v>0.5</v>
      </c>
      <c r="K395" s="23" t="s">
        <v>1833</v>
      </c>
    </row>
    <row r="396" spans="1:11" ht="157.5">
      <c r="A396" s="23" t="s">
        <v>230</v>
      </c>
      <c r="B396" s="23" t="s">
        <v>28</v>
      </c>
      <c r="C396" s="23" t="s">
        <v>29</v>
      </c>
      <c r="D396" s="23">
        <v>1</v>
      </c>
      <c r="E396" s="23" t="s">
        <v>1069</v>
      </c>
      <c r="F396" s="23" t="s">
        <v>1061</v>
      </c>
      <c r="G396" s="23" t="s">
        <v>1070</v>
      </c>
      <c r="H396" s="23">
        <v>1</v>
      </c>
      <c r="I396" s="23" t="s">
        <v>2186</v>
      </c>
      <c r="J396" s="23">
        <v>1</v>
      </c>
      <c r="K396" s="23" t="s">
        <v>1826</v>
      </c>
    </row>
    <row r="397" spans="1:11" ht="204.75">
      <c r="A397" s="23" t="s">
        <v>230</v>
      </c>
      <c r="B397" s="23" t="s">
        <v>31</v>
      </c>
      <c r="C397" s="23" t="s">
        <v>32</v>
      </c>
      <c r="D397" s="23">
        <v>1</v>
      </c>
      <c r="E397" s="23" t="s">
        <v>1071</v>
      </c>
      <c r="F397" s="23" t="s">
        <v>1061</v>
      </c>
      <c r="G397" s="23" t="s">
        <v>1072</v>
      </c>
      <c r="H397" s="23">
        <v>1</v>
      </c>
      <c r="I397" s="23" t="s">
        <v>2187</v>
      </c>
      <c r="J397" s="23">
        <v>1</v>
      </c>
      <c r="K397" s="23" t="s">
        <v>1826</v>
      </c>
    </row>
    <row r="398" spans="1:11" ht="267.75">
      <c r="A398" s="23" t="s">
        <v>230</v>
      </c>
      <c r="B398" s="23" t="s">
        <v>34</v>
      </c>
      <c r="C398" s="23" t="s">
        <v>35</v>
      </c>
      <c r="D398" s="23">
        <v>0.5</v>
      </c>
      <c r="E398" s="23" t="s">
        <v>1073</v>
      </c>
      <c r="F398" s="23" t="s">
        <v>1061</v>
      </c>
      <c r="G398" s="23" t="s">
        <v>1070</v>
      </c>
      <c r="H398" s="23">
        <v>0.5</v>
      </c>
      <c r="I398" s="23" t="s">
        <v>2188</v>
      </c>
      <c r="J398" s="23">
        <v>0.5</v>
      </c>
      <c r="K398" s="23" t="s">
        <v>1833</v>
      </c>
    </row>
    <row r="399" spans="1:11" ht="252">
      <c r="A399" s="23" t="s">
        <v>230</v>
      </c>
      <c r="B399" s="23" t="s">
        <v>37</v>
      </c>
      <c r="C399" s="23" t="s">
        <v>38</v>
      </c>
      <c r="D399" s="23">
        <v>0.5</v>
      </c>
      <c r="E399" s="23" t="s">
        <v>1074</v>
      </c>
      <c r="F399" s="23" t="s">
        <v>1061</v>
      </c>
      <c r="G399" s="23" t="s">
        <v>1075</v>
      </c>
      <c r="H399" s="23">
        <v>0.5</v>
      </c>
      <c r="I399" s="23" t="s">
        <v>2189</v>
      </c>
      <c r="J399" s="23">
        <v>0.5</v>
      </c>
      <c r="K399" s="23" t="s">
        <v>1833</v>
      </c>
    </row>
    <row r="400" spans="1:11" ht="157.5">
      <c r="A400" s="23" t="s">
        <v>234</v>
      </c>
      <c r="B400" s="23" t="s">
        <v>13</v>
      </c>
      <c r="C400" s="23" t="s">
        <v>14</v>
      </c>
      <c r="D400" s="23">
        <v>1</v>
      </c>
      <c r="E400" s="23" t="s">
        <v>1076</v>
      </c>
      <c r="F400" s="23" t="s">
        <v>1077</v>
      </c>
      <c r="G400" s="23" t="s">
        <v>907</v>
      </c>
      <c r="H400" s="23">
        <v>1</v>
      </c>
      <c r="I400" s="23" t="s">
        <v>2190</v>
      </c>
      <c r="J400" s="23">
        <v>1</v>
      </c>
      <c r="K400" s="23" t="s">
        <v>1826</v>
      </c>
    </row>
    <row r="401" spans="1:11" ht="173.25">
      <c r="A401" s="23" t="s">
        <v>234</v>
      </c>
      <c r="B401" s="23" t="s">
        <v>16</v>
      </c>
      <c r="C401" s="23" t="s">
        <v>17</v>
      </c>
      <c r="D401" s="23">
        <v>1</v>
      </c>
      <c r="E401" s="23" t="s">
        <v>1078</v>
      </c>
      <c r="F401" s="23" t="s">
        <v>1077</v>
      </c>
      <c r="G401" s="23" t="s">
        <v>1079</v>
      </c>
      <c r="H401" s="23">
        <v>1</v>
      </c>
      <c r="I401" s="23" t="s">
        <v>2191</v>
      </c>
      <c r="J401" s="23">
        <v>1</v>
      </c>
      <c r="K401" s="23" t="s">
        <v>1826</v>
      </c>
    </row>
    <row r="402" spans="1:11" ht="252">
      <c r="A402" s="23" t="s">
        <v>234</v>
      </c>
      <c r="B402" s="23" t="s">
        <v>19</v>
      </c>
      <c r="C402" s="23" t="s">
        <v>20</v>
      </c>
      <c r="D402" s="23">
        <v>0.5</v>
      </c>
      <c r="E402" s="23" t="s">
        <v>1080</v>
      </c>
      <c r="F402" s="23" t="s">
        <v>1077</v>
      </c>
      <c r="G402" s="23" t="s">
        <v>1081</v>
      </c>
      <c r="H402" s="23">
        <v>0.5</v>
      </c>
      <c r="I402" s="23" t="s">
        <v>2192</v>
      </c>
      <c r="J402" s="23">
        <v>0.5</v>
      </c>
      <c r="K402" s="23" t="s">
        <v>1833</v>
      </c>
    </row>
    <row r="403" spans="1:11" ht="267.75">
      <c r="A403" s="23" t="s">
        <v>234</v>
      </c>
      <c r="B403" s="23" t="s">
        <v>22</v>
      </c>
      <c r="C403" s="23" t="s">
        <v>23</v>
      </c>
      <c r="D403" s="23">
        <v>0.5</v>
      </c>
      <c r="E403" s="23" t="s">
        <v>1082</v>
      </c>
      <c r="F403" s="23" t="s">
        <v>1077</v>
      </c>
      <c r="G403" s="23" t="s">
        <v>1083</v>
      </c>
      <c r="H403" s="23">
        <v>0.5</v>
      </c>
      <c r="I403" s="23" t="s">
        <v>2193</v>
      </c>
      <c r="J403" s="23">
        <v>0.5</v>
      </c>
      <c r="K403" s="23" t="s">
        <v>1833</v>
      </c>
    </row>
    <row r="404" spans="1:11" ht="252">
      <c r="A404" s="23" t="s">
        <v>234</v>
      </c>
      <c r="B404" s="23" t="s">
        <v>25</v>
      </c>
      <c r="C404" s="23" t="s">
        <v>26</v>
      </c>
      <c r="D404" s="23">
        <v>0.5</v>
      </c>
      <c r="E404" s="23" t="s">
        <v>1084</v>
      </c>
      <c r="F404" s="23" t="s">
        <v>1077</v>
      </c>
      <c r="G404" s="23" t="s">
        <v>1083</v>
      </c>
      <c r="H404" s="23">
        <v>0.5</v>
      </c>
      <c r="I404" s="23" t="s">
        <v>2194</v>
      </c>
      <c r="J404" s="23">
        <v>0.5</v>
      </c>
      <c r="K404" s="23" t="s">
        <v>1833</v>
      </c>
    </row>
    <row r="405" spans="1:11" ht="173.25">
      <c r="A405" s="23" t="s">
        <v>234</v>
      </c>
      <c r="B405" s="23" t="s">
        <v>28</v>
      </c>
      <c r="C405" s="23" t="s">
        <v>29</v>
      </c>
      <c r="D405" s="23">
        <v>1</v>
      </c>
      <c r="E405" s="23" t="s">
        <v>1085</v>
      </c>
      <c r="F405" s="23" t="s">
        <v>1077</v>
      </c>
      <c r="G405" s="23" t="s">
        <v>1086</v>
      </c>
      <c r="H405" s="23">
        <v>1</v>
      </c>
      <c r="I405" s="23" t="s">
        <v>2195</v>
      </c>
      <c r="J405" s="23">
        <v>1</v>
      </c>
      <c r="K405" s="23" t="s">
        <v>1826</v>
      </c>
    </row>
    <row r="406" spans="1:11" ht="141.75">
      <c r="A406" s="23" t="s">
        <v>234</v>
      </c>
      <c r="B406" s="23" t="s">
        <v>31</v>
      </c>
      <c r="C406" s="23" t="s">
        <v>32</v>
      </c>
      <c r="D406" s="23">
        <v>0</v>
      </c>
      <c r="E406" s="23" t="s">
        <v>1087</v>
      </c>
      <c r="F406" s="23" t="s">
        <v>1077</v>
      </c>
      <c r="G406" s="23" t="s">
        <v>916</v>
      </c>
      <c r="H406" s="23">
        <v>0</v>
      </c>
      <c r="I406" s="23" t="s">
        <v>2196</v>
      </c>
      <c r="J406" s="23">
        <v>0</v>
      </c>
      <c r="K406" s="23" t="s">
        <v>2093</v>
      </c>
    </row>
    <row r="407" spans="1:11" ht="157.5">
      <c r="A407" s="23" t="s">
        <v>234</v>
      </c>
      <c r="B407" s="23" t="s">
        <v>34</v>
      </c>
      <c r="C407" s="23" t="s">
        <v>35</v>
      </c>
      <c r="D407" s="23">
        <v>1</v>
      </c>
      <c r="E407" s="23" t="s">
        <v>1088</v>
      </c>
      <c r="F407" s="23" t="s">
        <v>1077</v>
      </c>
      <c r="G407" s="23" t="s">
        <v>1083</v>
      </c>
      <c r="H407" s="23">
        <v>1</v>
      </c>
      <c r="I407" s="23" t="s">
        <v>2197</v>
      </c>
      <c r="J407" s="23">
        <v>1</v>
      </c>
      <c r="K407" s="23" t="s">
        <v>1826</v>
      </c>
    </row>
    <row r="408" spans="1:11" ht="252">
      <c r="A408" s="23" t="s">
        <v>234</v>
      </c>
      <c r="B408" s="23" t="s">
        <v>37</v>
      </c>
      <c r="C408" s="23" t="s">
        <v>38</v>
      </c>
      <c r="D408" s="23">
        <v>0.5</v>
      </c>
      <c r="E408" s="23" t="s">
        <v>1089</v>
      </c>
      <c r="F408" s="23" t="s">
        <v>1077</v>
      </c>
      <c r="G408" s="23" t="s">
        <v>1090</v>
      </c>
      <c r="H408" s="23">
        <v>0.5</v>
      </c>
      <c r="I408" s="23" t="s">
        <v>2198</v>
      </c>
      <c r="J408" s="23">
        <v>0.5</v>
      </c>
      <c r="K408" s="23" t="s">
        <v>1833</v>
      </c>
    </row>
    <row r="409" spans="1:11" ht="189">
      <c r="A409" s="23" t="s">
        <v>238</v>
      </c>
      <c r="B409" s="23" t="s">
        <v>13</v>
      </c>
      <c r="C409" s="23" t="s">
        <v>14</v>
      </c>
      <c r="D409" s="23">
        <v>1</v>
      </c>
      <c r="E409" s="23" t="s">
        <v>1091</v>
      </c>
      <c r="F409" s="23" t="s">
        <v>1092</v>
      </c>
      <c r="G409" s="23" t="s">
        <v>813</v>
      </c>
      <c r="H409" s="23">
        <v>1</v>
      </c>
      <c r="I409" s="23" t="s">
        <v>2199</v>
      </c>
      <c r="J409" s="23">
        <v>1</v>
      </c>
      <c r="K409" s="23" t="s">
        <v>1826</v>
      </c>
    </row>
    <row r="410" spans="1:11" ht="283.5">
      <c r="A410" s="23" t="s">
        <v>238</v>
      </c>
      <c r="B410" s="23" t="s">
        <v>16</v>
      </c>
      <c r="C410" s="23" t="s">
        <v>17</v>
      </c>
      <c r="D410" s="23">
        <v>0.5</v>
      </c>
      <c r="E410" s="23" t="s">
        <v>1093</v>
      </c>
      <c r="F410" s="23" t="s">
        <v>1092</v>
      </c>
      <c r="G410" s="23" t="s">
        <v>1094</v>
      </c>
      <c r="H410" s="23">
        <v>0.5</v>
      </c>
      <c r="I410" s="23" t="s">
        <v>2200</v>
      </c>
      <c r="J410" s="23">
        <v>0.5</v>
      </c>
      <c r="K410" s="23" t="s">
        <v>1833</v>
      </c>
    </row>
    <row r="411" spans="1:11" ht="252">
      <c r="A411" s="23" t="s">
        <v>238</v>
      </c>
      <c r="B411" s="23" t="s">
        <v>19</v>
      </c>
      <c r="C411" s="23" t="s">
        <v>20</v>
      </c>
      <c r="D411" s="23">
        <v>0.5</v>
      </c>
      <c r="E411" s="23" t="s">
        <v>1095</v>
      </c>
      <c r="F411" s="23" t="s">
        <v>1092</v>
      </c>
      <c r="G411" s="23" t="s">
        <v>1096</v>
      </c>
      <c r="H411" s="23">
        <v>0.5</v>
      </c>
      <c r="I411" s="23" t="s">
        <v>2201</v>
      </c>
      <c r="J411" s="23">
        <v>0.5</v>
      </c>
      <c r="K411" s="23" t="s">
        <v>1833</v>
      </c>
    </row>
    <row r="412" spans="1:11" ht="204.75">
      <c r="A412" s="23" t="s">
        <v>238</v>
      </c>
      <c r="B412" s="23" t="s">
        <v>22</v>
      </c>
      <c r="C412" s="23" t="s">
        <v>23</v>
      </c>
      <c r="D412" s="23" t="s">
        <v>157</v>
      </c>
      <c r="E412" s="23" t="s">
        <v>1097</v>
      </c>
      <c r="F412" s="23" t="s">
        <v>1092</v>
      </c>
      <c r="G412" s="23" t="s">
        <v>1096</v>
      </c>
      <c r="H412" s="23" t="s">
        <v>157</v>
      </c>
      <c r="I412" s="23" t="s">
        <v>2202</v>
      </c>
      <c r="J412" s="23" t="s">
        <v>157</v>
      </c>
      <c r="K412" s="23" t="s">
        <v>2042</v>
      </c>
    </row>
    <row r="413" spans="1:11" ht="157.5">
      <c r="A413" s="23" t="s">
        <v>238</v>
      </c>
      <c r="B413" s="23" t="s">
        <v>25</v>
      </c>
      <c r="C413" s="23" t="s">
        <v>26</v>
      </c>
      <c r="D413" s="23" t="s">
        <v>157</v>
      </c>
      <c r="E413" s="23" t="s">
        <v>1098</v>
      </c>
      <c r="F413" s="23" t="s">
        <v>1092</v>
      </c>
      <c r="G413" s="23" t="s">
        <v>1096</v>
      </c>
      <c r="H413" s="23" t="s">
        <v>157</v>
      </c>
      <c r="I413" s="23" t="s">
        <v>2203</v>
      </c>
      <c r="J413" s="23" t="s">
        <v>157</v>
      </c>
      <c r="K413" s="23" t="s">
        <v>2042</v>
      </c>
    </row>
    <row r="414" spans="1:11" ht="252">
      <c r="A414" s="23" t="s">
        <v>238</v>
      </c>
      <c r="B414" s="23" t="s">
        <v>28</v>
      </c>
      <c r="C414" s="23" t="s">
        <v>29</v>
      </c>
      <c r="D414" s="23">
        <v>0.5</v>
      </c>
      <c r="E414" s="23" t="s">
        <v>1099</v>
      </c>
      <c r="F414" s="23" t="s">
        <v>1092</v>
      </c>
      <c r="G414" s="23" t="s">
        <v>1096</v>
      </c>
      <c r="H414" s="23">
        <v>0.5</v>
      </c>
      <c r="I414" s="23" t="s">
        <v>2204</v>
      </c>
      <c r="J414" s="23">
        <v>0.5</v>
      </c>
      <c r="K414" s="23" t="s">
        <v>1833</v>
      </c>
    </row>
    <row r="415" spans="1:11" ht="236.25">
      <c r="A415" s="23" t="s">
        <v>238</v>
      </c>
      <c r="B415" s="23" t="s">
        <v>31</v>
      </c>
      <c r="C415" s="23" t="s">
        <v>32</v>
      </c>
      <c r="D415" s="23">
        <v>1</v>
      </c>
      <c r="E415" s="23" t="s">
        <v>1100</v>
      </c>
      <c r="F415" s="23" t="s">
        <v>1092</v>
      </c>
      <c r="G415" s="23" t="s">
        <v>1096</v>
      </c>
      <c r="H415" s="23">
        <v>1</v>
      </c>
      <c r="I415" s="23" t="s">
        <v>2205</v>
      </c>
      <c r="J415" s="23">
        <v>1</v>
      </c>
      <c r="K415" s="23" t="s">
        <v>1826</v>
      </c>
    </row>
    <row r="416" spans="1:11" ht="267.75">
      <c r="A416" s="23" t="s">
        <v>238</v>
      </c>
      <c r="B416" s="23" t="s">
        <v>34</v>
      </c>
      <c r="C416" s="23" t="s">
        <v>35</v>
      </c>
      <c r="D416" s="23">
        <v>0.5</v>
      </c>
      <c r="E416" s="23" t="s">
        <v>1101</v>
      </c>
      <c r="F416" s="23" t="s">
        <v>1092</v>
      </c>
      <c r="G416" s="23" t="s">
        <v>1096</v>
      </c>
      <c r="H416" s="23">
        <v>0.5</v>
      </c>
      <c r="I416" s="23" t="s">
        <v>2206</v>
      </c>
      <c r="J416" s="23">
        <v>0.5</v>
      </c>
      <c r="K416" s="23" t="s">
        <v>1833</v>
      </c>
    </row>
    <row r="417" spans="1:11" ht="236.25">
      <c r="A417" s="23" t="s">
        <v>238</v>
      </c>
      <c r="B417" s="23" t="s">
        <v>37</v>
      </c>
      <c r="C417" s="23" t="s">
        <v>38</v>
      </c>
      <c r="D417" s="23">
        <v>0.5</v>
      </c>
      <c r="E417" s="23" t="s">
        <v>1102</v>
      </c>
      <c r="F417" s="23" t="s">
        <v>1092</v>
      </c>
      <c r="G417" s="23" t="s">
        <v>1103</v>
      </c>
      <c r="H417" s="23">
        <v>0.5</v>
      </c>
      <c r="I417" s="23" t="s">
        <v>2207</v>
      </c>
      <c r="J417" s="23">
        <v>0.5</v>
      </c>
      <c r="K417" s="23" t="s">
        <v>1833</v>
      </c>
    </row>
    <row r="418" spans="1:11" ht="189">
      <c r="A418" s="23" t="s">
        <v>242</v>
      </c>
      <c r="B418" s="23" t="s">
        <v>13</v>
      </c>
      <c r="C418" s="23" t="s">
        <v>14</v>
      </c>
      <c r="D418" s="23">
        <v>1</v>
      </c>
      <c r="E418" s="23" t="s">
        <v>1104</v>
      </c>
      <c r="F418" s="23" t="s">
        <v>1105</v>
      </c>
      <c r="G418" s="23" t="s">
        <v>813</v>
      </c>
      <c r="H418" s="23">
        <v>1</v>
      </c>
      <c r="I418" s="23" t="s">
        <v>2208</v>
      </c>
      <c r="J418" s="23">
        <v>1</v>
      </c>
      <c r="K418" s="23" t="s">
        <v>1826</v>
      </c>
    </row>
    <row r="419" spans="1:11" ht="189">
      <c r="A419" s="23" t="s">
        <v>242</v>
      </c>
      <c r="B419" s="23" t="s">
        <v>16</v>
      </c>
      <c r="C419" s="23" t="s">
        <v>17</v>
      </c>
      <c r="D419" s="23">
        <v>1</v>
      </c>
      <c r="E419" s="23" t="s">
        <v>1106</v>
      </c>
      <c r="F419" s="23" t="s">
        <v>1105</v>
      </c>
      <c r="G419" s="23" t="s">
        <v>1107</v>
      </c>
      <c r="H419" s="23">
        <v>1</v>
      </c>
      <c r="I419" s="23" t="s">
        <v>2209</v>
      </c>
      <c r="J419" s="23">
        <v>1</v>
      </c>
      <c r="K419" s="23" t="s">
        <v>1826</v>
      </c>
    </row>
    <row r="420" spans="1:11" ht="220.5">
      <c r="A420" s="23" t="s">
        <v>242</v>
      </c>
      <c r="B420" s="23" t="s">
        <v>19</v>
      </c>
      <c r="C420" s="23" t="s">
        <v>20</v>
      </c>
      <c r="D420" s="23">
        <v>0.5</v>
      </c>
      <c r="E420" s="23" t="s">
        <v>1108</v>
      </c>
      <c r="F420" s="23" t="s">
        <v>1105</v>
      </c>
      <c r="G420" s="23" t="s">
        <v>909</v>
      </c>
      <c r="H420" s="23">
        <v>0.5</v>
      </c>
      <c r="I420" s="23" t="s">
        <v>2210</v>
      </c>
      <c r="J420" s="23">
        <v>0.5</v>
      </c>
      <c r="K420" s="23" t="s">
        <v>1833</v>
      </c>
    </row>
    <row r="421" spans="1:11" ht="189">
      <c r="A421" s="23" t="s">
        <v>242</v>
      </c>
      <c r="B421" s="23" t="s">
        <v>22</v>
      </c>
      <c r="C421" s="23" t="s">
        <v>23</v>
      </c>
      <c r="D421" s="23" t="s">
        <v>157</v>
      </c>
      <c r="E421" s="23" t="s">
        <v>1109</v>
      </c>
      <c r="F421" s="23" t="s">
        <v>1105</v>
      </c>
      <c r="G421" s="23" t="s">
        <v>909</v>
      </c>
      <c r="H421" s="23" t="s">
        <v>157</v>
      </c>
      <c r="I421" s="23" t="s">
        <v>2211</v>
      </c>
      <c r="J421" s="23" t="s">
        <v>157</v>
      </c>
      <c r="K421" s="23" t="s">
        <v>2042</v>
      </c>
    </row>
    <row r="422" spans="1:11" ht="141.75">
      <c r="A422" s="23" t="s">
        <v>242</v>
      </c>
      <c r="B422" s="23" t="s">
        <v>25</v>
      </c>
      <c r="C422" s="23" t="s">
        <v>26</v>
      </c>
      <c r="D422" s="23" t="s">
        <v>157</v>
      </c>
      <c r="E422" s="23" t="s">
        <v>1110</v>
      </c>
      <c r="F422" s="23" t="s">
        <v>1105</v>
      </c>
      <c r="G422" s="23" t="s">
        <v>909</v>
      </c>
      <c r="H422" s="23" t="s">
        <v>157</v>
      </c>
      <c r="I422" s="23" t="s">
        <v>2212</v>
      </c>
      <c r="J422" s="23" t="s">
        <v>157</v>
      </c>
      <c r="K422" s="23" t="s">
        <v>2042</v>
      </c>
    </row>
    <row r="423" spans="1:11" ht="252">
      <c r="A423" s="23" t="s">
        <v>242</v>
      </c>
      <c r="B423" s="23" t="s">
        <v>28</v>
      </c>
      <c r="C423" s="23" t="s">
        <v>29</v>
      </c>
      <c r="D423" s="23">
        <v>0.5</v>
      </c>
      <c r="E423" s="23" t="s">
        <v>1111</v>
      </c>
      <c r="F423" s="23" t="s">
        <v>1105</v>
      </c>
      <c r="G423" s="23" t="s">
        <v>909</v>
      </c>
      <c r="H423" s="23">
        <v>0.5</v>
      </c>
      <c r="I423" s="23" t="s">
        <v>2213</v>
      </c>
      <c r="J423" s="23">
        <v>0.5</v>
      </c>
      <c r="K423" s="23" t="s">
        <v>1833</v>
      </c>
    </row>
    <row r="424" spans="1:11" ht="173.25">
      <c r="A424" s="23" t="s">
        <v>242</v>
      </c>
      <c r="B424" s="23" t="s">
        <v>31</v>
      </c>
      <c r="C424" s="23" t="s">
        <v>32</v>
      </c>
      <c r="D424" s="23">
        <v>0</v>
      </c>
      <c r="E424" s="23" t="s">
        <v>1112</v>
      </c>
      <c r="F424" s="23" t="s">
        <v>1105</v>
      </c>
      <c r="G424" s="23" t="s">
        <v>916</v>
      </c>
      <c r="H424" s="23">
        <v>0</v>
      </c>
      <c r="I424" s="23" t="s">
        <v>2214</v>
      </c>
      <c r="J424" s="23">
        <v>0</v>
      </c>
      <c r="K424" s="23" t="s">
        <v>2093</v>
      </c>
    </row>
    <row r="425" spans="1:11" ht="236.25">
      <c r="A425" s="23" t="s">
        <v>242</v>
      </c>
      <c r="B425" s="23" t="s">
        <v>34</v>
      </c>
      <c r="C425" s="23" t="s">
        <v>35</v>
      </c>
      <c r="D425" s="23">
        <v>0.5</v>
      </c>
      <c r="E425" s="23" t="s">
        <v>1113</v>
      </c>
      <c r="F425" s="23" t="s">
        <v>1105</v>
      </c>
      <c r="G425" s="23" t="s">
        <v>1114</v>
      </c>
      <c r="H425" s="23">
        <v>0.5</v>
      </c>
      <c r="I425" s="23" t="s">
        <v>2215</v>
      </c>
      <c r="J425" s="23">
        <v>0.5</v>
      </c>
      <c r="K425" s="23" t="s">
        <v>1833</v>
      </c>
    </row>
    <row r="426" spans="1:11" ht="252">
      <c r="A426" s="23" t="s">
        <v>242</v>
      </c>
      <c r="B426" s="23" t="s">
        <v>37</v>
      </c>
      <c r="C426" s="23" t="s">
        <v>38</v>
      </c>
      <c r="D426" s="23">
        <v>0.5</v>
      </c>
      <c r="E426" s="23" t="s">
        <v>1115</v>
      </c>
      <c r="F426" s="23" t="s">
        <v>1105</v>
      </c>
      <c r="G426" s="23" t="s">
        <v>909</v>
      </c>
      <c r="H426" s="23">
        <v>0.5</v>
      </c>
      <c r="I426" s="23" t="s">
        <v>2216</v>
      </c>
      <c r="J426" s="23">
        <v>0.5</v>
      </c>
      <c r="K426" s="23" t="s">
        <v>1833</v>
      </c>
    </row>
    <row r="427" spans="1:11" ht="204.75">
      <c r="A427" s="23" t="s">
        <v>246</v>
      </c>
      <c r="B427" s="23" t="s">
        <v>13</v>
      </c>
      <c r="C427" s="23" t="s">
        <v>14</v>
      </c>
      <c r="D427" s="23">
        <v>1</v>
      </c>
      <c r="E427" s="23" t="s">
        <v>1116</v>
      </c>
      <c r="F427" s="23" t="s">
        <v>1117</v>
      </c>
      <c r="G427" s="23" t="s">
        <v>813</v>
      </c>
      <c r="H427" s="23">
        <v>1</v>
      </c>
      <c r="I427" s="23" t="s">
        <v>2217</v>
      </c>
      <c r="J427" s="23">
        <v>1</v>
      </c>
      <c r="K427" s="23" t="s">
        <v>1826</v>
      </c>
    </row>
    <row r="428" spans="1:11" ht="204.75">
      <c r="A428" s="23" t="s">
        <v>246</v>
      </c>
      <c r="B428" s="23" t="s">
        <v>16</v>
      </c>
      <c r="C428" s="23" t="s">
        <v>17</v>
      </c>
      <c r="D428" s="23">
        <v>1</v>
      </c>
      <c r="E428" s="23" t="s">
        <v>1118</v>
      </c>
      <c r="F428" s="23" t="s">
        <v>1117</v>
      </c>
      <c r="G428" s="23" t="s">
        <v>1119</v>
      </c>
      <c r="H428" s="23">
        <v>1</v>
      </c>
      <c r="I428" s="23" t="s">
        <v>2218</v>
      </c>
      <c r="J428" s="23">
        <v>1</v>
      </c>
      <c r="K428" s="23" t="s">
        <v>1826</v>
      </c>
    </row>
    <row r="429" spans="1:11" ht="157.5">
      <c r="A429" s="23" t="s">
        <v>246</v>
      </c>
      <c r="B429" s="23" t="s">
        <v>19</v>
      </c>
      <c r="C429" s="23" t="s">
        <v>20</v>
      </c>
      <c r="D429" s="23">
        <v>1</v>
      </c>
      <c r="E429" s="23" t="s">
        <v>1120</v>
      </c>
      <c r="F429" s="23" t="s">
        <v>1117</v>
      </c>
      <c r="G429" s="23" t="s">
        <v>1121</v>
      </c>
      <c r="H429" s="23">
        <v>1</v>
      </c>
      <c r="I429" s="23" t="s">
        <v>2219</v>
      </c>
      <c r="J429" s="23">
        <v>1</v>
      </c>
      <c r="K429" s="23" t="s">
        <v>1826</v>
      </c>
    </row>
    <row r="430" spans="1:11" ht="189">
      <c r="A430" s="23" t="s">
        <v>246</v>
      </c>
      <c r="B430" s="23" t="s">
        <v>22</v>
      </c>
      <c r="C430" s="23" t="s">
        <v>23</v>
      </c>
      <c r="D430" s="23">
        <v>1</v>
      </c>
      <c r="E430" s="23" t="s">
        <v>1122</v>
      </c>
      <c r="F430" s="23" t="s">
        <v>1117</v>
      </c>
      <c r="G430" s="23" t="s">
        <v>1123</v>
      </c>
      <c r="H430" s="23">
        <v>1</v>
      </c>
      <c r="I430" s="23" t="s">
        <v>2220</v>
      </c>
      <c r="J430" s="23">
        <v>1</v>
      </c>
      <c r="K430" s="23" t="s">
        <v>1826</v>
      </c>
    </row>
    <row r="431" spans="1:11" ht="220.5">
      <c r="A431" s="23" t="s">
        <v>246</v>
      </c>
      <c r="B431" s="23" t="s">
        <v>25</v>
      </c>
      <c r="C431" s="23" t="s">
        <v>26</v>
      </c>
      <c r="D431" s="23">
        <v>1</v>
      </c>
      <c r="E431" s="23" t="s">
        <v>1124</v>
      </c>
      <c r="F431" s="23" t="s">
        <v>1117</v>
      </c>
      <c r="G431" s="23" t="s">
        <v>1125</v>
      </c>
      <c r="H431" s="23">
        <v>1</v>
      </c>
      <c r="I431" s="23" t="s">
        <v>2221</v>
      </c>
      <c r="J431" s="23">
        <v>1</v>
      </c>
      <c r="K431" s="23" t="s">
        <v>1826</v>
      </c>
    </row>
    <row r="432" spans="1:11" ht="189">
      <c r="A432" s="23" t="s">
        <v>246</v>
      </c>
      <c r="B432" s="23" t="s">
        <v>28</v>
      </c>
      <c r="C432" s="23" t="s">
        <v>29</v>
      </c>
      <c r="D432" s="23">
        <v>1</v>
      </c>
      <c r="E432" s="23" t="s">
        <v>1126</v>
      </c>
      <c r="F432" s="23" t="s">
        <v>1117</v>
      </c>
      <c r="G432" s="23" t="s">
        <v>1125</v>
      </c>
      <c r="H432" s="23">
        <v>1</v>
      </c>
      <c r="I432" s="23" t="s">
        <v>2222</v>
      </c>
      <c r="J432" s="23">
        <v>1</v>
      </c>
      <c r="K432" s="23" t="s">
        <v>1826</v>
      </c>
    </row>
    <row r="433" spans="1:11" ht="283.5">
      <c r="A433" s="23" t="s">
        <v>246</v>
      </c>
      <c r="B433" s="23" t="s">
        <v>31</v>
      </c>
      <c r="C433" s="23" t="s">
        <v>32</v>
      </c>
      <c r="D433" s="23">
        <v>0.5</v>
      </c>
      <c r="E433" s="23" t="s">
        <v>1127</v>
      </c>
      <c r="F433" s="23" t="s">
        <v>1117</v>
      </c>
      <c r="G433" s="23" t="s">
        <v>1128</v>
      </c>
      <c r="H433" s="23">
        <v>0.5</v>
      </c>
      <c r="I433" s="23" t="s">
        <v>2223</v>
      </c>
      <c r="J433" s="23">
        <v>0.5</v>
      </c>
      <c r="K433" s="23" t="s">
        <v>1833</v>
      </c>
    </row>
    <row r="434" spans="1:11" ht="173.25">
      <c r="A434" s="23" t="s">
        <v>246</v>
      </c>
      <c r="B434" s="23" t="s">
        <v>34</v>
      </c>
      <c r="C434" s="23" t="s">
        <v>35</v>
      </c>
      <c r="D434" s="23">
        <v>1</v>
      </c>
      <c r="E434" s="23" t="s">
        <v>1129</v>
      </c>
      <c r="F434" s="23" t="s">
        <v>1117</v>
      </c>
      <c r="G434" s="23" t="s">
        <v>1130</v>
      </c>
      <c r="H434" s="23">
        <v>1</v>
      </c>
      <c r="I434" s="23" t="s">
        <v>2224</v>
      </c>
      <c r="J434" s="23">
        <v>1</v>
      </c>
      <c r="K434" s="23" t="s">
        <v>1826</v>
      </c>
    </row>
    <row r="435" spans="1:11" ht="189">
      <c r="A435" s="23" t="s">
        <v>246</v>
      </c>
      <c r="B435" s="23" t="s">
        <v>37</v>
      </c>
      <c r="C435" s="23" t="s">
        <v>38</v>
      </c>
      <c r="D435" s="23">
        <v>1</v>
      </c>
      <c r="E435" s="23" t="s">
        <v>1131</v>
      </c>
      <c r="F435" s="23" t="s">
        <v>1117</v>
      </c>
      <c r="G435" s="23" t="s">
        <v>1132</v>
      </c>
      <c r="H435" s="23">
        <v>1</v>
      </c>
      <c r="I435" s="23" t="s">
        <v>2225</v>
      </c>
      <c r="J435" s="23">
        <v>1</v>
      </c>
      <c r="K435" s="23" t="s">
        <v>1826</v>
      </c>
    </row>
    <row r="436" spans="1:11" ht="189">
      <c r="A436" s="23" t="s">
        <v>250</v>
      </c>
      <c r="B436" s="23" t="s">
        <v>13</v>
      </c>
      <c r="C436" s="23" t="s">
        <v>14</v>
      </c>
      <c r="D436" s="23">
        <v>1</v>
      </c>
      <c r="E436" s="23" t="s">
        <v>1133</v>
      </c>
      <c r="F436" s="23" t="s">
        <v>1134</v>
      </c>
      <c r="G436" s="23" t="s">
        <v>813</v>
      </c>
      <c r="H436" s="23">
        <v>1</v>
      </c>
      <c r="I436" s="23" t="s">
        <v>2226</v>
      </c>
      <c r="J436" s="23">
        <v>1</v>
      </c>
      <c r="K436" s="23" t="s">
        <v>1826</v>
      </c>
    </row>
    <row r="437" spans="1:11" ht="189">
      <c r="A437" s="23" t="s">
        <v>250</v>
      </c>
      <c r="B437" s="23" t="s">
        <v>16</v>
      </c>
      <c r="C437" s="23" t="s">
        <v>17</v>
      </c>
      <c r="D437" s="23">
        <v>1</v>
      </c>
      <c r="E437" s="23" t="s">
        <v>1135</v>
      </c>
      <c r="F437" s="23" t="s">
        <v>1134</v>
      </c>
      <c r="G437" s="23" t="s">
        <v>1136</v>
      </c>
      <c r="H437" s="23">
        <v>1</v>
      </c>
      <c r="I437" s="23" t="s">
        <v>2227</v>
      </c>
      <c r="J437" s="23">
        <v>1</v>
      </c>
      <c r="K437" s="23" t="s">
        <v>1826</v>
      </c>
    </row>
    <row r="438" spans="1:11" ht="204.75">
      <c r="A438" s="23" t="s">
        <v>250</v>
      </c>
      <c r="B438" s="23" t="s">
        <v>19</v>
      </c>
      <c r="C438" s="23" t="s">
        <v>20</v>
      </c>
      <c r="D438" s="23">
        <v>1</v>
      </c>
      <c r="E438" s="23" t="s">
        <v>1137</v>
      </c>
      <c r="F438" s="23" t="s">
        <v>1134</v>
      </c>
      <c r="G438" s="23" t="s">
        <v>919</v>
      </c>
      <c r="H438" s="23">
        <v>1</v>
      </c>
      <c r="I438" s="23" t="s">
        <v>2228</v>
      </c>
      <c r="J438" s="23">
        <v>1</v>
      </c>
      <c r="K438" s="23" t="s">
        <v>1826</v>
      </c>
    </row>
    <row r="439" spans="1:11" ht="220.5">
      <c r="A439" s="23" t="s">
        <v>250</v>
      </c>
      <c r="B439" s="23" t="s">
        <v>22</v>
      </c>
      <c r="C439" s="23" t="s">
        <v>23</v>
      </c>
      <c r="D439" s="23">
        <v>1</v>
      </c>
      <c r="E439" s="23" t="s">
        <v>1138</v>
      </c>
      <c r="F439" s="23" t="s">
        <v>1134</v>
      </c>
      <c r="G439" s="23" t="s">
        <v>1139</v>
      </c>
      <c r="H439" s="23">
        <v>1</v>
      </c>
      <c r="I439" s="23" t="s">
        <v>2229</v>
      </c>
      <c r="J439" s="23">
        <v>1</v>
      </c>
      <c r="K439" s="23" t="s">
        <v>1826</v>
      </c>
    </row>
    <row r="440" spans="1:11" ht="189">
      <c r="A440" s="23" t="s">
        <v>250</v>
      </c>
      <c r="B440" s="23" t="s">
        <v>25</v>
      </c>
      <c r="C440" s="23" t="s">
        <v>26</v>
      </c>
      <c r="D440" s="23">
        <v>1</v>
      </c>
      <c r="E440" s="23" t="s">
        <v>1140</v>
      </c>
      <c r="F440" s="23" t="s">
        <v>1134</v>
      </c>
      <c r="G440" s="23" t="s">
        <v>1141</v>
      </c>
      <c r="H440" s="23">
        <v>1</v>
      </c>
      <c r="I440" s="23" t="s">
        <v>2230</v>
      </c>
      <c r="J440" s="23">
        <v>1</v>
      </c>
      <c r="K440" s="23" t="s">
        <v>1826</v>
      </c>
    </row>
    <row r="441" spans="1:11" ht="173.25">
      <c r="A441" s="23" t="s">
        <v>250</v>
      </c>
      <c r="B441" s="23" t="s">
        <v>28</v>
      </c>
      <c r="C441" s="23" t="s">
        <v>29</v>
      </c>
      <c r="D441" s="23">
        <v>1</v>
      </c>
      <c r="E441" s="23" t="s">
        <v>1142</v>
      </c>
      <c r="F441" s="23" t="s">
        <v>1134</v>
      </c>
      <c r="G441" s="23" t="s">
        <v>1143</v>
      </c>
      <c r="H441" s="23">
        <v>1</v>
      </c>
      <c r="I441" s="23" t="s">
        <v>2231</v>
      </c>
      <c r="J441" s="23">
        <v>1</v>
      </c>
      <c r="K441" s="23" t="s">
        <v>1826</v>
      </c>
    </row>
    <row r="442" spans="1:11" ht="173.25">
      <c r="A442" s="23" t="s">
        <v>250</v>
      </c>
      <c r="B442" s="23" t="s">
        <v>31</v>
      </c>
      <c r="C442" s="23" t="s">
        <v>32</v>
      </c>
      <c r="D442" s="23">
        <v>1</v>
      </c>
      <c r="E442" s="23" t="s">
        <v>1144</v>
      </c>
      <c r="F442" s="23" t="s">
        <v>1134</v>
      </c>
      <c r="G442" s="23" t="s">
        <v>1145</v>
      </c>
      <c r="H442" s="23">
        <v>1</v>
      </c>
      <c r="I442" s="23" t="s">
        <v>2232</v>
      </c>
      <c r="J442" s="23">
        <v>1</v>
      </c>
      <c r="K442" s="23" t="s">
        <v>1826</v>
      </c>
    </row>
    <row r="443" spans="1:11" ht="204.75">
      <c r="A443" s="23" t="s">
        <v>250</v>
      </c>
      <c r="B443" s="23" t="s">
        <v>34</v>
      </c>
      <c r="C443" s="23" t="s">
        <v>35</v>
      </c>
      <c r="D443" s="23">
        <v>1</v>
      </c>
      <c r="E443" s="23" t="s">
        <v>1146</v>
      </c>
      <c r="F443" s="23" t="s">
        <v>1134</v>
      </c>
      <c r="G443" s="23" t="s">
        <v>733</v>
      </c>
      <c r="H443" s="23">
        <v>1</v>
      </c>
      <c r="I443" s="23" t="s">
        <v>2233</v>
      </c>
      <c r="J443" s="23">
        <v>1</v>
      </c>
      <c r="K443" s="23" t="s">
        <v>1826</v>
      </c>
    </row>
    <row r="444" spans="1:11" ht="267.75">
      <c r="A444" s="23" t="s">
        <v>250</v>
      </c>
      <c r="B444" s="23" t="s">
        <v>37</v>
      </c>
      <c r="C444" s="23" t="s">
        <v>38</v>
      </c>
      <c r="D444" s="23">
        <v>0.5</v>
      </c>
      <c r="E444" s="23" t="s">
        <v>1147</v>
      </c>
      <c r="F444" s="23" t="s">
        <v>1134</v>
      </c>
      <c r="G444" s="23" t="s">
        <v>1148</v>
      </c>
      <c r="H444" s="23">
        <v>0.5</v>
      </c>
      <c r="I444" s="23" t="s">
        <v>2234</v>
      </c>
      <c r="J444" s="23">
        <v>0.5</v>
      </c>
      <c r="K444" s="23" t="s">
        <v>1833</v>
      </c>
    </row>
    <row r="445" spans="1:11" ht="173.25">
      <c r="A445" s="23" t="s">
        <v>254</v>
      </c>
      <c r="B445" s="23" t="s">
        <v>13</v>
      </c>
      <c r="C445" s="23" t="s">
        <v>14</v>
      </c>
      <c r="D445" s="23">
        <v>1</v>
      </c>
      <c r="E445" s="23" t="s">
        <v>1149</v>
      </c>
      <c r="F445" s="23" t="s">
        <v>1150</v>
      </c>
      <c r="G445" s="23" t="s">
        <v>813</v>
      </c>
      <c r="H445" s="23">
        <v>1</v>
      </c>
      <c r="I445" s="23" t="s">
        <v>2235</v>
      </c>
      <c r="J445" s="23">
        <v>1</v>
      </c>
      <c r="K445" s="23" t="s">
        <v>1826</v>
      </c>
    </row>
    <row r="446" spans="1:11" ht="204.75">
      <c r="A446" s="23" t="s">
        <v>254</v>
      </c>
      <c r="B446" s="23" t="s">
        <v>16</v>
      </c>
      <c r="C446" s="23" t="s">
        <v>17</v>
      </c>
      <c r="D446" s="23">
        <v>1</v>
      </c>
      <c r="E446" s="23" t="s">
        <v>1151</v>
      </c>
      <c r="F446" s="23" t="s">
        <v>1150</v>
      </c>
      <c r="G446" s="23" t="s">
        <v>1020</v>
      </c>
      <c r="H446" s="23">
        <v>1</v>
      </c>
      <c r="I446" s="23" t="s">
        <v>2236</v>
      </c>
      <c r="J446" s="23">
        <v>1</v>
      </c>
      <c r="K446" s="23" t="s">
        <v>1826</v>
      </c>
    </row>
    <row r="447" spans="1:11" ht="252">
      <c r="A447" s="23" t="s">
        <v>254</v>
      </c>
      <c r="B447" s="23" t="s">
        <v>19</v>
      </c>
      <c r="C447" s="23" t="s">
        <v>20</v>
      </c>
      <c r="D447" s="23">
        <v>1</v>
      </c>
      <c r="E447" s="23" t="s">
        <v>1152</v>
      </c>
      <c r="F447" s="23" t="s">
        <v>1150</v>
      </c>
      <c r="G447" s="23" t="s">
        <v>1070</v>
      </c>
      <c r="H447" s="23">
        <v>1</v>
      </c>
      <c r="I447" s="23" t="s">
        <v>2237</v>
      </c>
      <c r="J447" s="23">
        <v>1</v>
      </c>
      <c r="K447" s="23" t="s">
        <v>1826</v>
      </c>
    </row>
    <row r="448" spans="1:11" ht="173.25">
      <c r="A448" s="23" t="s">
        <v>254</v>
      </c>
      <c r="B448" s="23" t="s">
        <v>22</v>
      </c>
      <c r="C448" s="23" t="s">
        <v>23</v>
      </c>
      <c r="D448" s="23">
        <v>1</v>
      </c>
      <c r="E448" s="23" t="s">
        <v>1153</v>
      </c>
      <c r="F448" s="23" t="s">
        <v>1150</v>
      </c>
      <c r="G448" s="23" t="s">
        <v>1028</v>
      </c>
      <c r="H448" s="23">
        <v>1</v>
      </c>
      <c r="I448" s="23" t="s">
        <v>2238</v>
      </c>
      <c r="J448" s="23">
        <v>1</v>
      </c>
      <c r="K448" s="23" t="s">
        <v>1826</v>
      </c>
    </row>
    <row r="449" spans="1:11" ht="157.5">
      <c r="A449" s="23" t="s">
        <v>254</v>
      </c>
      <c r="B449" s="23" t="s">
        <v>25</v>
      </c>
      <c r="C449" s="23" t="s">
        <v>26</v>
      </c>
      <c r="D449" s="23">
        <v>1</v>
      </c>
      <c r="E449" s="23" t="s">
        <v>1154</v>
      </c>
      <c r="F449" s="23" t="s">
        <v>1150</v>
      </c>
      <c r="G449" s="23" t="s">
        <v>780</v>
      </c>
      <c r="H449" s="23">
        <v>1</v>
      </c>
      <c r="I449" s="23" t="s">
        <v>2239</v>
      </c>
      <c r="J449" s="23">
        <v>1</v>
      </c>
      <c r="K449" s="23" t="s">
        <v>1826</v>
      </c>
    </row>
    <row r="450" spans="1:11" ht="189">
      <c r="A450" s="23" t="s">
        <v>254</v>
      </c>
      <c r="B450" s="23" t="s">
        <v>28</v>
      </c>
      <c r="C450" s="23" t="s">
        <v>29</v>
      </c>
      <c r="D450" s="23">
        <v>1</v>
      </c>
      <c r="E450" s="23" t="s">
        <v>1155</v>
      </c>
      <c r="F450" s="23" t="s">
        <v>1150</v>
      </c>
      <c r="G450" s="23" t="s">
        <v>1156</v>
      </c>
      <c r="H450" s="23">
        <v>1</v>
      </c>
      <c r="I450" s="23" t="s">
        <v>2240</v>
      </c>
      <c r="J450" s="23">
        <v>1</v>
      </c>
      <c r="K450" s="23" t="s">
        <v>1826</v>
      </c>
    </row>
    <row r="451" spans="1:11" ht="252">
      <c r="A451" s="23" t="s">
        <v>254</v>
      </c>
      <c r="B451" s="23" t="s">
        <v>31</v>
      </c>
      <c r="C451" s="23" t="s">
        <v>32</v>
      </c>
      <c r="D451" s="23">
        <v>0.5</v>
      </c>
      <c r="E451" s="23" t="s">
        <v>1157</v>
      </c>
      <c r="F451" s="23" t="s">
        <v>1150</v>
      </c>
      <c r="G451" s="23" t="s">
        <v>1158</v>
      </c>
      <c r="H451" s="23">
        <v>0.5</v>
      </c>
      <c r="I451" s="23" t="s">
        <v>2241</v>
      </c>
      <c r="J451" s="23">
        <v>0.5</v>
      </c>
      <c r="K451" s="23" t="s">
        <v>1833</v>
      </c>
    </row>
    <row r="452" spans="1:11" ht="283.5">
      <c r="A452" s="23" t="s">
        <v>254</v>
      </c>
      <c r="B452" s="23" t="s">
        <v>34</v>
      </c>
      <c r="C452" s="23" t="s">
        <v>35</v>
      </c>
      <c r="D452" s="23">
        <v>0.5</v>
      </c>
      <c r="E452" s="23" t="s">
        <v>1159</v>
      </c>
      <c r="F452" s="23" t="s">
        <v>1150</v>
      </c>
      <c r="G452" s="23" t="s">
        <v>1070</v>
      </c>
      <c r="H452" s="23">
        <v>0.5</v>
      </c>
      <c r="I452" s="23" t="s">
        <v>2242</v>
      </c>
      <c r="J452" s="23">
        <v>0.5</v>
      </c>
      <c r="K452" s="23" t="s">
        <v>1833</v>
      </c>
    </row>
    <row r="453" spans="1:11" ht="189">
      <c r="A453" s="23" t="s">
        <v>254</v>
      </c>
      <c r="B453" s="23" t="s">
        <v>37</v>
      </c>
      <c r="C453" s="23" t="s">
        <v>38</v>
      </c>
      <c r="D453" s="23">
        <v>1</v>
      </c>
      <c r="E453" s="23" t="s">
        <v>1160</v>
      </c>
      <c r="F453" s="23" t="s">
        <v>1150</v>
      </c>
      <c r="G453" s="23" t="s">
        <v>1161</v>
      </c>
      <c r="H453" s="23">
        <v>1</v>
      </c>
      <c r="I453" s="23" t="s">
        <v>2243</v>
      </c>
      <c r="J453" s="23">
        <v>1</v>
      </c>
      <c r="K453" s="23" t="s">
        <v>1826</v>
      </c>
    </row>
    <row r="454" spans="1:11" ht="204.75">
      <c r="A454" s="23" t="s">
        <v>258</v>
      </c>
      <c r="B454" s="23" t="s">
        <v>13</v>
      </c>
      <c r="C454" s="23" t="s">
        <v>14</v>
      </c>
      <c r="D454" s="23">
        <v>1</v>
      </c>
      <c r="E454" s="23" t="s">
        <v>1162</v>
      </c>
      <c r="F454" s="23" t="s">
        <v>1163</v>
      </c>
      <c r="G454" s="23" t="s">
        <v>813</v>
      </c>
      <c r="H454" s="23">
        <v>1</v>
      </c>
      <c r="I454" s="23" t="s">
        <v>2244</v>
      </c>
      <c r="J454" s="23">
        <v>1</v>
      </c>
      <c r="K454" s="23" t="s">
        <v>1826</v>
      </c>
    </row>
    <row r="455" spans="1:11" ht="204.75">
      <c r="A455" s="23" t="s">
        <v>258</v>
      </c>
      <c r="B455" s="23" t="s">
        <v>16</v>
      </c>
      <c r="C455" s="23" t="s">
        <v>17</v>
      </c>
      <c r="D455" s="23">
        <v>1</v>
      </c>
      <c r="E455" s="23" t="s">
        <v>1164</v>
      </c>
      <c r="F455" s="23" t="s">
        <v>1163</v>
      </c>
      <c r="G455" s="23" t="s">
        <v>627</v>
      </c>
      <c r="H455" s="23">
        <v>1</v>
      </c>
      <c r="I455" s="23" t="s">
        <v>2245</v>
      </c>
      <c r="J455" s="23">
        <v>1</v>
      </c>
      <c r="K455" s="23" t="s">
        <v>1826</v>
      </c>
    </row>
    <row r="456" spans="1:11" ht="157.5">
      <c r="A456" s="23" t="s">
        <v>258</v>
      </c>
      <c r="B456" s="23" t="s">
        <v>19</v>
      </c>
      <c r="C456" s="23" t="s">
        <v>20</v>
      </c>
      <c r="D456" s="23">
        <v>1</v>
      </c>
      <c r="E456" s="23" t="s">
        <v>1165</v>
      </c>
      <c r="F456" s="23" t="s">
        <v>1163</v>
      </c>
      <c r="G456" s="23" t="s">
        <v>697</v>
      </c>
      <c r="H456" s="23">
        <v>1</v>
      </c>
      <c r="I456" s="23" t="s">
        <v>2246</v>
      </c>
      <c r="J456" s="23">
        <v>1</v>
      </c>
      <c r="K456" s="23" t="s">
        <v>1826</v>
      </c>
    </row>
    <row r="457" spans="1:11" ht="189">
      <c r="A457" s="23" t="s">
        <v>258</v>
      </c>
      <c r="B457" s="23" t="s">
        <v>22</v>
      </c>
      <c r="C457" s="23" t="s">
        <v>23</v>
      </c>
      <c r="D457" s="23">
        <v>1</v>
      </c>
      <c r="E457" s="23" t="s">
        <v>1166</v>
      </c>
      <c r="F457" s="23" t="s">
        <v>1163</v>
      </c>
      <c r="G457" s="23" t="s">
        <v>819</v>
      </c>
      <c r="H457" s="23">
        <v>1</v>
      </c>
      <c r="I457" s="23" t="s">
        <v>2247</v>
      </c>
      <c r="J457" s="23">
        <v>1</v>
      </c>
      <c r="K457" s="23" t="s">
        <v>1826</v>
      </c>
    </row>
    <row r="458" spans="1:11" ht="204.75">
      <c r="A458" s="23" t="s">
        <v>258</v>
      </c>
      <c r="B458" s="23" t="s">
        <v>25</v>
      </c>
      <c r="C458" s="23" t="s">
        <v>26</v>
      </c>
      <c r="D458" s="23">
        <v>1</v>
      </c>
      <c r="E458" s="23" t="s">
        <v>1167</v>
      </c>
      <c r="F458" s="23" t="s">
        <v>1163</v>
      </c>
      <c r="G458" s="23" t="s">
        <v>629</v>
      </c>
      <c r="H458" s="23">
        <v>1</v>
      </c>
      <c r="I458" s="23" t="s">
        <v>2248</v>
      </c>
      <c r="J458" s="23">
        <v>1</v>
      </c>
      <c r="K458" s="23" t="s">
        <v>1826</v>
      </c>
    </row>
    <row r="459" spans="1:11" ht="173.25">
      <c r="A459" s="23" t="s">
        <v>258</v>
      </c>
      <c r="B459" s="23" t="s">
        <v>28</v>
      </c>
      <c r="C459" s="23" t="s">
        <v>29</v>
      </c>
      <c r="D459" s="23">
        <v>1</v>
      </c>
      <c r="E459" s="23" t="s">
        <v>1168</v>
      </c>
      <c r="F459" s="23" t="s">
        <v>1163</v>
      </c>
      <c r="G459" s="23" t="s">
        <v>629</v>
      </c>
      <c r="H459" s="23">
        <v>1</v>
      </c>
      <c r="I459" s="23" t="s">
        <v>2249</v>
      </c>
      <c r="J459" s="23">
        <v>1</v>
      </c>
      <c r="K459" s="23" t="s">
        <v>1826</v>
      </c>
    </row>
    <row r="460" spans="1:11" ht="283.5">
      <c r="A460" s="23" t="s">
        <v>258</v>
      </c>
      <c r="B460" s="23" t="s">
        <v>31</v>
      </c>
      <c r="C460" s="23" t="s">
        <v>32</v>
      </c>
      <c r="D460" s="23">
        <v>0.5</v>
      </c>
      <c r="E460" s="23" t="s">
        <v>1169</v>
      </c>
      <c r="F460" s="23" t="s">
        <v>1163</v>
      </c>
      <c r="G460" s="23" t="s">
        <v>1145</v>
      </c>
      <c r="H460" s="23">
        <v>0.5</v>
      </c>
      <c r="I460" s="23" t="s">
        <v>2250</v>
      </c>
      <c r="J460" s="23">
        <v>0.5</v>
      </c>
      <c r="K460" s="23" t="s">
        <v>1833</v>
      </c>
    </row>
    <row r="461" spans="1:11" ht="283.5">
      <c r="A461" s="23" t="s">
        <v>258</v>
      </c>
      <c r="B461" s="23" t="s">
        <v>34</v>
      </c>
      <c r="C461" s="23" t="s">
        <v>35</v>
      </c>
      <c r="D461" s="23">
        <v>0.5</v>
      </c>
      <c r="E461" s="23" t="s">
        <v>1170</v>
      </c>
      <c r="F461" s="23" t="s">
        <v>1163</v>
      </c>
      <c r="G461" s="23" t="s">
        <v>629</v>
      </c>
      <c r="H461" s="23">
        <v>0.5</v>
      </c>
      <c r="I461" s="23" t="s">
        <v>2251</v>
      </c>
      <c r="J461" s="23">
        <v>0.5</v>
      </c>
      <c r="K461" s="23" t="s">
        <v>1833</v>
      </c>
    </row>
    <row r="462" spans="1:11" ht="283.5">
      <c r="A462" s="23" t="s">
        <v>258</v>
      </c>
      <c r="B462" s="23" t="s">
        <v>37</v>
      </c>
      <c r="C462" s="23" t="s">
        <v>38</v>
      </c>
      <c r="D462" s="23">
        <v>0.5</v>
      </c>
      <c r="E462" s="23" t="s">
        <v>1171</v>
      </c>
      <c r="F462" s="23" t="s">
        <v>1163</v>
      </c>
      <c r="G462" s="23" t="s">
        <v>1070</v>
      </c>
      <c r="H462" s="23">
        <v>0.5</v>
      </c>
      <c r="I462" s="23" t="s">
        <v>2252</v>
      </c>
      <c r="J462" s="23">
        <v>0.5</v>
      </c>
      <c r="K462" s="23" t="s">
        <v>1833</v>
      </c>
    </row>
    <row r="463" spans="1:11" ht="157.5">
      <c r="A463" s="23" t="s">
        <v>262</v>
      </c>
      <c r="B463" s="23" t="s">
        <v>13</v>
      </c>
      <c r="C463" s="23" t="s">
        <v>14</v>
      </c>
      <c r="D463" s="23">
        <v>1</v>
      </c>
      <c r="E463" s="23" t="s">
        <v>1172</v>
      </c>
      <c r="F463" s="23" t="s">
        <v>1173</v>
      </c>
      <c r="G463" s="23" t="s">
        <v>907</v>
      </c>
      <c r="H463" s="23">
        <v>1</v>
      </c>
      <c r="I463" s="23" t="s">
        <v>2253</v>
      </c>
      <c r="J463" s="23">
        <v>1</v>
      </c>
      <c r="K463" s="23" t="s">
        <v>1826</v>
      </c>
    </row>
    <row r="464" spans="1:11" ht="173.25">
      <c r="A464" s="23" t="s">
        <v>262</v>
      </c>
      <c r="B464" s="23" t="s">
        <v>16</v>
      </c>
      <c r="C464" s="23" t="s">
        <v>17</v>
      </c>
      <c r="D464" s="23">
        <v>1</v>
      </c>
      <c r="E464" s="23" t="s">
        <v>1174</v>
      </c>
      <c r="F464" s="23" t="s">
        <v>1173</v>
      </c>
      <c r="G464" s="23" t="s">
        <v>813</v>
      </c>
      <c r="H464" s="23">
        <v>1</v>
      </c>
      <c r="I464" s="23" t="s">
        <v>2254</v>
      </c>
      <c r="J464" s="23">
        <v>1</v>
      </c>
      <c r="K464" s="23" t="s">
        <v>1826</v>
      </c>
    </row>
    <row r="465" spans="1:11" ht="189">
      <c r="A465" s="23" t="s">
        <v>262</v>
      </c>
      <c r="B465" s="23" t="s">
        <v>19</v>
      </c>
      <c r="C465" s="23" t="s">
        <v>20</v>
      </c>
      <c r="D465" s="23">
        <v>1</v>
      </c>
      <c r="E465" s="23" t="s">
        <v>1175</v>
      </c>
      <c r="F465" s="23" t="s">
        <v>1173</v>
      </c>
      <c r="G465" s="23" t="s">
        <v>873</v>
      </c>
      <c r="H465" s="23">
        <v>1</v>
      </c>
      <c r="I465" s="23" t="s">
        <v>2255</v>
      </c>
      <c r="J465" s="23">
        <v>1</v>
      </c>
      <c r="K465" s="23" t="s">
        <v>1826</v>
      </c>
    </row>
    <row r="466" spans="1:11" ht="189">
      <c r="A466" s="23" t="s">
        <v>262</v>
      </c>
      <c r="B466" s="23" t="s">
        <v>22</v>
      </c>
      <c r="C466" s="23" t="s">
        <v>23</v>
      </c>
      <c r="D466" s="23">
        <v>1</v>
      </c>
      <c r="E466" s="23" t="s">
        <v>1176</v>
      </c>
      <c r="F466" s="23" t="s">
        <v>1173</v>
      </c>
      <c r="G466" s="23" t="s">
        <v>873</v>
      </c>
      <c r="H466" s="23">
        <v>1</v>
      </c>
      <c r="I466" s="23" t="s">
        <v>2256</v>
      </c>
      <c r="J466" s="23">
        <v>1</v>
      </c>
      <c r="K466" s="23" t="s">
        <v>1826</v>
      </c>
    </row>
    <row r="467" spans="1:11" ht="220.5">
      <c r="A467" s="23" t="s">
        <v>262</v>
      </c>
      <c r="B467" s="23" t="s">
        <v>25</v>
      </c>
      <c r="C467" s="23" t="s">
        <v>26</v>
      </c>
      <c r="D467" s="23">
        <v>0.5</v>
      </c>
      <c r="E467" s="23" t="s">
        <v>1177</v>
      </c>
      <c r="F467" s="23" t="s">
        <v>1173</v>
      </c>
      <c r="G467" s="23" t="s">
        <v>873</v>
      </c>
      <c r="H467" s="23">
        <v>0.5</v>
      </c>
      <c r="I467" s="23" t="s">
        <v>2257</v>
      </c>
      <c r="J467" s="23">
        <v>0.5</v>
      </c>
      <c r="K467" s="23" t="s">
        <v>1833</v>
      </c>
    </row>
    <row r="468" spans="1:11" ht="157.5">
      <c r="A468" s="23" t="s">
        <v>262</v>
      </c>
      <c r="B468" s="23" t="s">
        <v>28</v>
      </c>
      <c r="C468" s="23" t="s">
        <v>29</v>
      </c>
      <c r="D468" s="23">
        <v>1</v>
      </c>
      <c r="E468" s="23" t="s">
        <v>1178</v>
      </c>
      <c r="F468" s="23" t="s">
        <v>1173</v>
      </c>
      <c r="G468" s="23" t="s">
        <v>935</v>
      </c>
      <c r="H468" s="23">
        <v>1</v>
      </c>
      <c r="I468" s="23" t="s">
        <v>2258</v>
      </c>
      <c r="J468" s="23">
        <v>1</v>
      </c>
      <c r="K468" s="23" t="s">
        <v>1826</v>
      </c>
    </row>
    <row r="469" spans="1:11" ht="252">
      <c r="A469" s="23" t="s">
        <v>262</v>
      </c>
      <c r="B469" s="23" t="s">
        <v>31</v>
      </c>
      <c r="C469" s="23" t="s">
        <v>32</v>
      </c>
      <c r="D469" s="23">
        <v>0.5</v>
      </c>
      <c r="E469" s="23" t="s">
        <v>1179</v>
      </c>
      <c r="F469" s="23" t="s">
        <v>1173</v>
      </c>
      <c r="G469" s="23" t="s">
        <v>1180</v>
      </c>
      <c r="H469" s="23">
        <v>0.5</v>
      </c>
      <c r="I469" s="23" t="s">
        <v>2259</v>
      </c>
      <c r="J469" s="23">
        <v>0.5</v>
      </c>
      <c r="K469" s="23" t="s">
        <v>1833</v>
      </c>
    </row>
    <row r="470" spans="1:11" ht="189">
      <c r="A470" s="23" t="s">
        <v>262</v>
      </c>
      <c r="B470" s="23" t="s">
        <v>34</v>
      </c>
      <c r="C470" s="23" t="s">
        <v>35</v>
      </c>
      <c r="D470" s="23">
        <v>1</v>
      </c>
      <c r="E470" s="23" t="s">
        <v>1181</v>
      </c>
      <c r="F470" s="23" t="s">
        <v>1173</v>
      </c>
      <c r="G470" s="23" t="s">
        <v>1182</v>
      </c>
      <c r="H470" s="23">
        <v>1</v>
      </c>
      <c r="I470" s="23" t="s">
        <v>2260</v>
      </c>
      <c r="J470" s="23">
        <v>1</v>
      </c>
      <c r="K470" s="23" t="s">
        <v>1826</v>
      </c>
    </row>
    <row r="471" spans="1:11" ht="189">
      <c r="A471" s="23" t="s">
        <v>262</v>
      </c>
      <c r="B471" s="23" t="s">
        <v>37</v>
      </c>
      <c r="C471" s="23" t="s">
        <v>38</v>
      </c>
      <c r="D471" s="23">
        <v>1</v>
      </c>
      <c r="E471" s="23" t="s">
        <v>1183</v>
      </c>
      <c r="F471" s="23" t="s">
        <v>1173</v>
      </c>
      <c r="G471" s="23" t="s">
        <v>1079</v>
      </c>
      <c r="H471" s="23">
        <v>1</v>
      </c>
      <c r="I471" s="23" t="s">
        <v>2261</v>
      </c>
      <c r="J471" s="23">
        <v>1</v>
      </c>
      <c r="K471" s="23" t="s">
        <v>1826</v>
      </c>
    </row>
    <row r="472" spans="1:11" ht="157.5">
      <c r="A472" s="23" t="s">
        <v>266</v>
      </c>
      <c r="B472" s="23" t="s">
        <v>13</v>
      </c>
      <c r="C472" s="23" t="s">
        <v>14</v>
      </c>
      <c r="D472" s="23">
        <v>1</v>
      </c>
      <c r="E472" s="23" t="s">
        <v>1184</v>
      </c>
      <c r="F472" s="23" t="s">
        <v>1185</v>
      </c>
      <c r="G472" s="23" t="s">
        <v>813</v>
      </c>
      <c r="H472" s="23">
        <v>1</v>
      </c>
      <c r="I472" s="23" t="s">
        <v>2262</v>
      </c>
      <c r="J472" s="23">
        <v>1</v>
      </c>
      <c r="K472" s="23" t="s">
        <v>1826</v>
      </c>
    </row>
    <row r="473" spans="1:11" ht="189">
      <c r="A473" s="23" t="s">
        <v>266</v>
      </c>
      <c r="B473" s="23" t="s">
        <v>16</v>
      </c>
      <c r="C473" s="23" t="s">
        <v>17</v>
      </c>
      <c r="D473" s="23">
        <v>1</v>
      </c>
      <c r="E473" s="23" t="s">
        <v>1186</v>
      </c>
      <c r="F473" s="23" t="s">
        <v>1185</v>
      </c>
      <c r="G473" s="23" t="s">
        <v>1187</v>
      </c>
      <c r="H473" s="23">
        <v>1</v>
      </c>
      <c r="I473" s="23" t="s">
        <v>2263</v>
      </c>
      <c r="J473" s="23">
        <v>1</v>
      </c>
      <c r="K473" s="23" t="s">
        <v>1826</v>
      </c>
    </row>
    <row r="474" spans="1:11" ht="204.75">
      <c r="A474" s="23" t="s">
        <v>266</v>
      </c>
      <c r="B474" s="23" t="s">
        <v>19</v>
      </c>
      <c r="C474" s="23" t="s">
        <v>20</v>
      </c>
      <c r="D474" s="23">
        <v>1</v>
      </c>
      <c r="E474" s="23" t="s">
        <v>1188</v>
      </c>
      <c r="F474" s="23" t="s">
        <v>1185</v>
      </c>
      <c r="G474" s="23" t="s">
        <v>1189</v>
      </c>
      <c r="H474" s="23">
        <v>1</v>
      </c>
      <c r="I474" s="23" t="s">
        <v>2264</v>
      </c>
      <c r="J474" s="23">
        <v>1</v>
      </c>
      <c r="K474" s="23" t="s">
        <v>1826</v>
      </c>
    </row>
    <row r="475" spans="1:11" ht="204.75">
      <c r="A475" s="23" t="s">
        <v>266</v>
      </c>
      <c r="B475" s="23" t="s">
        <v>22</v>
      </c>
      <c r="C475" s="23" t="s">
        <v>23</v>
      </c>
      <c r="D475" s="23">
        <v>1</v>
      </c>
      <c r="E475" s="23" t="s">
        <v>1190</v>
      </c>
      <c r="F475" s="23" t="s">
        <v>1185</v>
      </c>
      <c r="G475" s="23" t="s">
        <v>1189</v>
      </c>
      <c r="H475" s="23">
        <v>1</v>
      </c>
      <c r="I475" s="23" t="s">
        <v>2265</v>
      </c>
      <c r="J475" s="23">
        <v>1</v>
      </c>
      <c r="K475" s="23" t="s">
        <v>1826</v>
      </c>
    </row>
    <row r="476" spans="1:11" ht="189">
      <c r="A476" s="23" t="s">
        <v>266</v>
      </c>
      <c r="B476" s="23" t="s">
        <v>25</v>
      </c>
      <c r="C476" s="23" t="s">
        <v>26</v>
      </c>
      <c r="D476" s="23">
        <v>1</v>
      </c>
      <c r="E476" s="23" t="s">
        <v>1191</v>
      </c>
      <c r="F476" s="23" t="s">
        <v>1185</v>
      </c>
      <c r="G476" s="23" t="s">
        <v>1192</v>
      </c>
      <c r="H476" s="23">
        <v>1</v>
      </c>
      <c r="I476" s="23" t="s">
        <v>2266</v>
      </c>
      <c r="J476" s="23">
        <v>1</v>
      </c>
      <c r="K476" s="23" t="s">
        <v>1826</v>
      </c>
    </row>
    <row r="477" spans="1:11" ht="173.25">
      <c r="A477" s="23" t="s">
        <v>266</v>
      </c>
      <c r="B477" s="23" t="s">
        <v>28</v>
      </c>
      <c r="C477" s="23" t="s">
        <v>29</v>
      </c>
      <c r="D477" s="23">
        <v>1</v>
      </c>
      <c r="E477" s="23" t="s">
        <v>1193</v>
      </c>
      <c r="F477" s="23" t="s">
        <v>1185</v>
      </c>
      <c r="G477" s="23" t="s">
        <v>1194</v>
      </c>
      <c r="H477" s="23">
        <v>1</v>
      </c>
      <c r="I477" s="23" t="s">
        <v>2267</v>
      </c>
      <c r="J477" s="23">
        <v>1</v>
      </c>
      <c r="K477" s="23" t="s">
        <v>1826</v>
      </c>
    </row>
    <row r="478" spans="1:11" ht="189">
      <c r="A478" s="23" t="s">
        <v>266</v>
      </c>
      <c r="B478" s="23" t="s">
        <v>31</v>
      </c>
      <c r="C478" s="23" t="s">
        <v>32</v>
      </c>
      <c r="D478" s="23">
        <v>1</v>
      </c>
      <c r="E478" s="23" t="s">
        <v>1195</v>
      </c>
      <c r="F478" s="23" t="s">
        <v>1185</v>
      </c>
      <c r="G478" s="23" t="s">
        <v>1196</v>
      </c>
      <c r="H478" s="23">
        <v>1</v>
      </c>
      <c r="I478" s="23" t="s">
        <v>2268</v>
      </c>
      <c r="J478" s="23">
        <v>1</v>
      </c>
      <c r="K478" s="23" t="s">
        <v>1826</v>
      </c>
    </row>
    <row r="479" spans="1:11" ht="267.75">
      <c r="A479" s="23" t="s">
        <v>266</v>
      </c>
      <c r="B479" s="23" t="s">
        <v>34</v>
      </c>
      <c r="C479" s="23" t="s">
        <v>35</v>
      </c>
      <c r="D479" s="23">
        <v>0.5</v>
      </c>
      <c r="E479" s="23" t="s">
        <v>1197</v>
      </c>
      <c r="F479" s="23" t="s">
        <v>1185</v>
      </c>
      <c r="G479" s="23" t="s">
        <v>1196</v>
      </c>
      <c r="H479" s="23">
        <v>0.5</v>
      </c>
      <c r="I479" s="23" t="s">
        <v>2269</v>
      </c>
      <c r="J479" s="23">
        <v>0.5</v>
      </c>
      <c r="K479" s="23" t="s">
        <v>1833</v>
      </c>
    </row>
    <row r="480" spans="1:11" ht="173.25">
      <c r="A480" s="23" t="s">
        <v>266</v>
      </c>
      <c r="B480" s="23" t="s">
        <v>37</v>
      </c>
      <c r="C480" s="23" t="s">
        <v>38</v>
      </c>
      <c r="D480" s="23">
        <v>1</v>
      </c>
      <c r="E480" s="23" t="s">
        <v>1198</v>
      </c>
      <c r="F480" s="23" t="s">
        <v>1185</v>
      </c>
      <c r="G480" s="23" t="s">
        <v>1199</v>
      </c>
      <c r="H480" s="23">
        <v>1</v>
      </c>
      <c r="I480" s="23" t="s">
        <v>2270</v>
      </c>
      <c r="J480" s="23">
        <v>1</v>
      </c>
      <c r="K480" s="23" t="s">
        <v>1826</v>
      </c>
    </row>
    <row r="481" spans="1:11" ht="204.75">
      <c r="A481" s="23" t="s">
        <v>270</v>
      </c>
      <c r="B481" s="23" t="s">
        <v>13</v>
      </c>
      <c r="C481" s="23" t="s">
        <v>14</v>
      </c>
      <c r="D481" s="23">
        <v>1</v>
      </c>
      <c r="E481" s="23" t="s">
        <v>1200</v>
      </c>
      <c r="F481" s="23" t="s">
        <v>1201</v>
      </c>
      <c r="G481" s="23" t="s">
        <v>813</v>
      </c>
      <c r="H481" s="23">
        <v>1</v>
      </c>
      <c r="I481" s="23" t="s">
        <v>2271</v>
      </c>
      <c r="J481" s="23">
        <v>1</v>
      </c>
      <c r="K481" s="23" t="s">
        <v>1826</v>
      </c>
    </row>
    <row r="482" spans="1:11" ht="189">
      <c r="A482" s="23" t="s">
        <v>270</v>
      </c>
      <c r="B482" s="23" t="s">
        <v>16</v>
      </c>
      <c r="C482" s="23" t="s">
        <v>17</v>
      </c>
      <c r="D482" s="23">
        <v>1</v>
      </c>
      <c r="E482" s="23" t="s">
        <v>1202</v>
      </c>
      <c r="F482" s="23" t="s">
        <v>1201</v>
      </c>
      <c r="G482" s="23" t="s">
        <v>1203</v>
      </c>
      <c r="H482" s="23">
        <v>1</v>
      </c>
      <c r="I482" s="23" t="s">
        <v>2272</v>
      </c>
      <c r="J482" s="23">
        <v>1</v>
      </c>
      <c r="K482" s="23" t="s">
        <v>1826</v>
      </c>
    </row>
    <row r="483" spans="1:11" ht="157.5">
      <c r="A483" s="23" t="s">
        <v>270</v>
      </c>
      <c r="B483" s="23" t="s">
        <v>19</v>
      </c>
      <c r="C483" s="23" t="s">
        <v>20</v>
      </c>
      <c r="D483" s="23">
        <v>1</v>
      </c>
      <c r="E483" s="23" t="s">
        <v>1204</v>
      </c>
      <c r="F483" s="23" t="s">
        <v>1201</v>
      </c>
      <c r="G483" s="23" t="s">
        <v>1205</v>
      </c>
      <c r="H483" s="23">
        <v>1</v>
      </c>
      <c r="I483" s="23" t="s">
        <v>2273</v>
      </c>
      <c r="J483" s="23">
        <v>1</v>
      </c>
      <c r="K483" s="23" t="s">
        <v>1826</v>
      </c>
    </row>
    <row r="484" spans="1:11" ht="204.75">
      <c r="A484" s="23" t="s">
        <v>270</v>
      </c>
      <c r="B484" s="23" t="s">
        <v>22</v>
      </c>
      <c r="C484" s="23" t="s">
        <v>23</v>
      </c>
      <c r="D484" s="23">
        <v>1</v>
      </c>
      <c r="E484" s="23" t="s">
        <v>1206</v>
      </c>
      <c r="F484" s="23" t="s">
        <v>1201</v>
      </c>
      <c r="G484" s="23" t="s">
        <v>1207</v>
      </c>
      <c r="H484" s="23">
        <v>1</v>
      </c>
      <c r="I484" s="23" t="s">
        <v>2274</v>
      </c>
      <c r="J484" s="23">
        <v>1</v>
      </c>
      <c r="K484" s="23" t="s">
        <v>1826</v>
      </c>
    </row>
    <row r="485" spans="1:11" ht="189">
      <c r="A485" s="23" t="s">
        <v>270</v>
      </c>
      <c r="B485" s="23" t="s">
        <v>25</v>
      </c>
      <c r="C485" s="23" t="s">
        <v>26</v>
      </c>
      <c r="D485" s="23">
        <v>1</v>
      </c>
      <c r="E485" s="23" t="s">
        <v>1208</v>
      </c>
      <c r="F485" s="23" t="s">
        <v>1201</v>
      </c>
      <c r="G485" s="23" t="s">
        <v>1209</v>
      </c>
      <c r="H485" s="23">
        <v>1</v>
      </c>
      <c r="I485" s="23" t="s">
        <v>2275</v>
      </c>
      <c r="J485" s="23">
        <v>1</v>
      </c>
      <c r="K485" s="23" t="s">
        <v>1826</v>
      </c>
    </row>
    <row r="486" spans="1:11" ht="157.5">
      <c r="A486" s="23" t="s">
        <v>270</v>
      </c>
      <c r="B486" s="23" t="s">
        <v>28</v>
      </c>
      <c r="C486" s="23" t="s">
        <v>29</v>
      </c>
      <c r="D486" s="23">
        <v>1</v>
      </c>
      <c r="E486" s="23" t="s">
        <v>1210</v>
      </c>
      <c r="F486" s="23" t="s">
        <v>1201</v>
      </c>
      <c r="G486" s="23" t="s">
        <v>1209</v>
      </c>
      <c r="H486" s="23">
        <v>1</v>
      </c>
      <c r="I486" s="23" t="s">
        <v>2276</v>
      </c>
      <c r="J486" s="23">
        <v>1</v>
      </c>
      <c r="K486" s="23" t="s">
        <v>1826</v>
      </c>
    </row>
    <row r="487" spans="1:11" ht="173.25">
      <c r="A487" s="23" t="s">
        <v>270</v>
      </c>
      <c r="B487" s="23" t="s">
        <v>31</v>
      </c>
      <c r="C487" s="23" t="s">
        <v>32</v>
      </c>
      <c r="D487" s="23">
        <v>1</v>
      </c>
      <c r="E487" s="23" t="s">
        <v>1211</v>
      </c>
      <c r="F487" s="23" t="s">
        <v>1201</v>
      </c>
      <c r="G487" s="23" t="s">
        <v>1194</v>
      </c>
      <c r="H487" s="23">
        <v>1</v>
      </c>
      <c r="I487" s="23" t="s">
        <v>2277</v>
      </c>
      <c r="J487" s="23">
        <v>1</v>
      </c>
      <c r="K487" s="23" t="s">
        <v>1826</v>
      </c>
    </row>
    <row r="488" spans="1:11" ht="267.75">
      <c r="A488" s="23" t="s">
        <v>270</v>
      </c>
      <c r="B488" s="23" t="s">
        <v>34</v>
      </c>
      <c r="C488" s="23" t="s">
        <v>35</v>
      </c>
      <c r="D488" s="23">
        <v>0.5</v>
      </c>
      <c r="E488" s="23" t="s">
        <v>1212</v>
      </c>
      <c r="F488" s="23" t="s">
        <v>1201</v>
      </c>
      <c r="G488" s="23" t="s">
        <v>1213</v>
      </c>
      <c r="H488" s="23">
        <v>0.5</v>
      </c>
      <c r="I488" s="23" t="s">
        <v>2278</v>
      </c>
      <c r="J488" s="23">
        <v>0.5</v>
      </c>
      <c r="K488" s="23" t="s">
        <v>1833</v>
      </c>
    </row>
    <row r="489" spans="1:11" ht="267.75">
      <c r="A489" s="23" t="s">
        <v>270</v>
      </c>
      <c r="B489" s="23" t="s">
        <v>37</v>
      </c>
      <c r="C489" s="23" t="s">
        <v>38</v>
      </c>
      <c r="D489" s="23">
        <v>0.5</v>
      </c>
      <c r="E489" s="23" t="s">
        <v>1214</v>
      </c>
      <c r="F489" s="23" t="s">
        <v>1201</v>
      </c>
      <c r="G489" s="23" t="s">
        <v>1205</v>
      </c>
      <c r="H489" s="23">
        <v>0.5</v>
      </c>
      <c r="I489" s="23" t="s">
        <v>2279</v>
      </c>
      <c r="J489" s="23">
        <v>0.5</v>
      </c>
      <c r="K489" s="23" t="s">
        <v>1833</v>
      </c>
    </row>
    <row r="490" spans="1:11" ht="173.25">
      <c r="A490" s="23" t="s">
        <v>274</v>
      </c>
      <c r="B490" s="23" t="s">
        <v>13</v>
      </c>
      <c r="C490" s="23" t="s">
        <v>14</v>
      </c>
      <c r="D490" s="23">
        <v>1</v>
      </c>
      <c r="E490" s="23" t="s">
        <v>1215</v>
      </c>
      <c r="F490" s="23" t="s">
        <v>1216</v>
      </c>
      <c r="G490" s="23" t="s">
        <v>1182</v>
      </c>
      <c r="H490" s="23">
        <v>1</v>
      </c>
      <c r="I490" s="23" t="s">
        <v>2280</v>
      </c>
      <c r="J490" s="23">
        <v>1</v>
      </c>
      <c r="K490" s="23" t="s">
        <v>1826</v>
      </c>
    </row>
    <row r="491" spans="1:11" ht="157.5">
      <c r="A491" s="23" t="s">
        <v>274</v>
      </c>
      <c r="B491" s="23" t="s">
        <v>16</v>
      </c>
      <c r="C491" s="23" t="s">
        <v>17</v>
      </c>
      <c r="D491" s="23">
        <v>1</v>
      </c>
      <c r="E491" s="23" t="s">
        <v>1217</v>
      </c>
      <c r="F491" s="23" t="s">
        <v>1216</v>
      </c>
      <c r="G491" s="23" t="s">
        <v>1218</v>
      </c>
      <c r="H491" s="23">
        <v>1</v>
      </c>
      <c r="I491" s="23" t="s">
        <v>2281</v>
      </c>
      <c r="J491" s="23">
        <v>1</v>
      </c>
      <c r="K491" s="23" t="s">
        <v>1826</v>
      </c>
    </row>
    <row r="492" spans="1:11" ht="189">
      <c r="A492" s="23" t="s">
        <v>274</v>
      </c>
      <c r="B492" s="23" t="s">
        <v>19</v>
      </c>
      <c r="C492" s="23" t="s">
        <v>20</v>
      </c>
      <c r="D492" s="23">
        <v>1</v>
      </c>
      <c r="E492" s="23" t="s">
        <v>1219</v>
      </c>
      <c r="F492" s="23" t="s">
        <v>1216</v>
      </c>
      <c r="G492" s="23" t="s">
        <v>1220</v>
      </c>
      <c r="H492" s="23">
        <v>1</v>
      </c>
      <c r="I492" s="23" t="s">
        <v>2282</v>
      </c>
      <c r="J492" s="23">
        <v>1</v>
      </c>
      <c r="K492" s="23" t="s">
        <v>1826</v>
      </c>
    </row>
    <row r="493" spans="1:11" ht="189">
      <c r="A493" s="23" t="s">
        <v>274</v>
      </c>
      <c r="B493" s="23" t="s">
        <v>22</v>
      </c>
      <c r="C493" s="23" t="s">
        <v>23</v>
      </c>
      <c r="D493" s="23">
        <v>1</v>
      </c>
      <c r="E493" s="23" t="s">
        <v>1221</v>
      </c>
      <c r="F493" s="23" t="s">
        <v>1216</v>
      </c>
      <c r="G493" s="23" t="s">
        <v>1222</v>
      </c>
      <c r="H493" s="23">
        <v>1</v>
      </c>
      <c r="I493" s="23" t="s">
        <v>2283</v>
      </c>
      <c r="J493" s="23">
        <v>1</v>
      </c>
      <c r="K493" s="23" t="s">
        <v>1826</v>
      </c>
    </row>
    <row r="494" spans="1:11" ht="173.25">
      <c r="A494" s="23" t="s">
        <v>274</v>
      </c>
      <c r="B494" s="23" t="s">
        <v>25</v>
      </c>
      <c r="C494" s="23" t="s">
        <v>26</v>
      </c>
      <c r="D494" s="23">
        <v>1</v>
      </c>
      <c r="E494" s="23" t="s">
        <v>1223</v>
      </c>
      <c r="F494" s="23" t="s">
        <v>1216</v>
      </c>
      <c r="G494" s="23" t="s">
        <v>1224</v>
      </c>
      <c r="H494" s="23">
        <v>1</v>
      </c>
      <c r="I494" s="23" t="s">
        <v>2284</v>
      </c>
      <c r="J494" s="23">
        <v>1</v>
      </c>
      <c r="K494" s="23" t="s">
        <v>1826</v>
      </c>
    </row>
    <row r="495" spans="1:11" ht="220.5">
      <c r="A495" s="23" t="s">
        <v>274</v>
      </c>
      <c r="B495" s="23" t="s">
        <v>28</v>
      </c>
      <c r="C495" s="23" t="s">
        <v>29</v>
      </c>
      <c r="D495" s="23">
        <v>1</v>
      </c>
      <c r="E495" s="23" t="s">
        <v>1225</v>
      </c>
      <c r="F495" s="23" t="s">
        <v>1216</v>
      </c>
      <c r="G495" s="23" t="s">
        <v>1226</v>
      </c>
      <c r="H495" s="23">
        <v>1</v>
      </c>
      <c r="I495" s="23" t="s">
        <v>2285</v>
      </c>
      <c r="J495" s="23">
        <v>1</v>
      </c>
      <c r="K495" s="23" t="s">
        <v>1826</v>
      </c>
    </row>
    <row r="496" spans="1:11" ht="141.75">
      <c r="A496" s="23" t="s">
        <v>274</v>
      </c>
      <c r="B496" s="23" t="s">
        <v>31</v>
      </c>
      <c r="C496" s="23" t="s">
        <v>32</v>
      </c>
      <c r="D496" s="23">
        <v>1</v>
      </c>
      <c r="E496" s="23" t="s">
        <v>1227</v>
      </c>
      <c r="F496" s="23" t="s">
        <v>1216</v>
      </c>
      <c r="G496" s="23" t="s">
        <v>1228</v>
      </c>
      <c r="H496" s="23">
        <v>1</v>
      </c>
      <c r="I496" s="23" t="s">
        <v>2286</v>
      </c>
      <c r="J496" s="23">
        <v>1</v>
      </c>
      <c r="K496" s="23" t="s">
        <v>1826</v>
      </c>
    </row>
    <row r="497" spans="1:11" ht="189">
      <c r="A497" s="23" t="s">
        <v>274</v>
      </c>
      <c r="B497" s="23" t="s">
        <v>34</v>
      </c>
      <c r="C497" s="23" t="s">
        <v>35</v>
      </c>
      <c r="D497" s="23">
        <v>1</v>
      </c>
      <c r="E497" s="23" t="s">
        <v>1229</v>
      </c>
      <c r="F497" s="23" t="s">
        <v>1216</v>
      </c>
      <c r="G497" s="23" t="s">
        <v>1230</v>
      </c>
      <c r="H497" s="23">
        <v>1</v>
      </c>
      <c r="I497" s="23" t="s">
        <v>2287</v>
      </c>
      <c r="J497" s="23">
        <v>1</v>
      </c>
      <c r="K497" s="23" t="s">
        <v>1826</v>
      </c>
    </row>
    <row r="498" spans="1:11" ht="189">
      <c r="A498" s="23" t="s">
        <v>274</v>
      </c>
      <c r="B498" s="23" t="s">
        <v>37</v>
      </c>
      <c r="C498" s="23" t="s">
        <v>38</v>
      </c>
      <c r="D498" s="23">
        <v>1</v>
      </c>
      <c r="E498" s="23" t="s">
        <v>1231</v>
      </c>
      <c r="F498" s="23" t="s">
        <v>1216</v>
      </c>
      <c r="G498" s="23" t="s">
        <v>1232</v>
      </c>
      <c r="H498" s="23">
        <v>1</v>
      </c>
      <c r="I498" s="23" t="s">
        <v>2288</v>
      </c>
      <c r="J498" s="23">
        <v>1</v>
      </c>
      <c r="K498" s="23" t="s">
        <v>1826</v>
      </c>
    </row>
    <row r="499" spans="1:11" ht="204.75">
      <c r="A499" s="23" t="s">
        <v>278</v>
      </c>
      <c r="B499" s="23" t="s">
        <v>13</v>
      </c>
      <c r="C499" s="23" t="s">
        <v>14</v>
      </c>
      <c r="D499" s="23">
        <v>1</v>
      </c>
      <c r="E499" s="23" t="s">
        <v>1233</v>
      </c>
      <c r="F499" s="23" t="s">
        <v>1234</v>
      </c>
      <c r="G499" s="23" t="s">
        <v>907</v>
      </c>
      <c r="H499" s="23">
        <v>1</v>
      </c>
      <c r="I499" s="23" t="s">
        <v>2289</v>
      </c>
      <c r="J499" s="23">
        <v>1</v>
      </c>
      <c r="K499" s="23" t="s">
        <v>1826</v>
      </c>
    </row>
    <row r="500" spans="1:11" ht="189">
      <c r="A500" s="23" t="s">
        <v>278</v>
      </c>
      <c r="B500" s="23" t="s">
        <v>16</v>
      </c>
      <c r="C500" s="23" t="s">
        <v>17</v>
      </c>
      <c r="D500" s="23">
        <v>1</v>
      </c>
      <c r="E500" s="23" t="s">
        <v>1235</v>
      </c>
      <c r="F500" s="23" t="s">
        <v>1234</v>
      </c>
      <c r="G500" s="23" t="s">
        <v>873</v>
      </c>
      <c r="H500" s="23">
        <v>1</v>
      </c>
      <c r="I500" s="23" t="s">
        <v>2290</v>
      </c>
      <c r="J500" s="23">
        <v>1</v>
      </c>
      <c r="K500" s="23" t="s">
        <v>1826</v>
      </c>
    </row>
    <row r="501" spans="1:11" ht="204.75">
      <c r="A501" s="23" t="s">
        <v>278</v>
      </c>
      <c r="B501" s="23" t="s">
        <v>19</v>
      </c>
      <c r="C501" s="23" t="s">
        <v>20</v>
      </c>
      <c r="D501" s="23">
        <v>1</v>
      </c>
      <c r="E501" s="23" t="s">
        <v>1236</v>
      </c>
      <c r="F501" s="23" t="s">
        <v>1234</v>
      </c>
      <c r="G501" s="23" t="s">
        <v>935</v>
      </c>
      <c r="H501" s="23">
        <v>1</v>
      </c>
      <c r="I501" s="23" t="s">
        <v>2291</v>
      </c>
      <c r="J501" s="23">
        <v>1</v>
      </c>
      <c r="K501" s="23" t="s">
        <v>1826</v>
      </c>
    </row>
    <row r="502" spans="1:11" ht="173.25">
      <c r="A502" s="23" t="s">
        <v>278</v>
      </c>
      <c r="B502" s="23" t="s">
        <v>22</v>
      </c>
      <c r="C502" s="23" t="s">
        <v>23</v>
      </c>
      <c r="D502" s="23">
        <v>1</v>
      </c>
      <c r="E502" s="23" t="s">
        <v>1237</v>
      </c>
      <c r="F502" s="23" t="s">
        <v>1234</v>
      </c>
      <c r="G502" s="23" t="s">
        <v>873</v>
      </c>
      <c r="H502" s="23">
        <v>1</v>
      </c>
      <c r="I502" s="23" t="s">
        <v>2292</v>
      </c>
      <c r="J502" s="23">
        <v>1</v>
      </c>
      <c r="K502" s="23" t="s">
        <v>1826</v>
      </c>
    </row>
    <row r="503" spans="1:11" ht="173.25">
      <c r="A503" s="23" t="s">
        <v>278</v>
      </c>
      <c r="B503" s="23" t="s">
        <v>25</v>
      </c>
      <c r="C503" s="23" t="s">
        <v>26</v>
      </c>
      <c r="D503" s="23">
        <v>1</v>
      </c>
      <c r="E503" s="23" t="s">
        <v>1238</v>
      </c>
      <c r="F503" s="23" t="s">
        <v>1234</v>
      </c>
      <c r="G503" s="23" t="s">
        <v>935</v>
      </c>
      <c r="H503" s="23">
        <v>1</v>
      </c>
      <c r="I503" s="23" t="s">
        <v>2293</v>
      </c>
      <c r="J503" s="23">
        <v>1</v>
      </c>
      <c r="K503" s="23" t="s">
        <v>1826</v>
      </c>
    </row>
    <row r="504" spans="1:11" ht="173.25">
      <c r="A504" s="23" t="s">
        <v>278</v>
      </c>
      <c r="B504" s="23" t="s">
        <v>28</v>
      </c>
      <c r="C504" s="23" t="s">
        <v>29</v>
      </c>
      <c r="D504" s="23">
        <v>1</v>
      </c>
      <c r="E504" s="23" t="s">
        <v>1239</v>
      </c>
      <c r="F504" s="23" t="s">
        <v>1234</v>
      </c>
      <c r="G504" s="23" t="s">
        <v>935</v>
      </c>
      <c r="H504" s="23">
        <v>1</v>
      </c>
      <c r="I504" s="23" t="s">
        <v>2294</v>
      </c>
      <c r="J504" s="23">
        <v>1</v>
      </c>
      <c r="K504" s="23" t="s">
        <v>1826</v>
      </c>
    </row>
    <row r="505" spans="1:11" ht="283.5">
      <c r="A505" s="23" t="s">
        <v>278</v>
      </c>
      <c r="B505" s="23" t="s">
        <v>31</v>
      </c>
      <c r="C505" s="23" t="s">
        <v>32</v>
      </c>
      <c r="D505" s="23">
        <v>0.5</v>
      </c>
      <c r="E505" s="23" t="s">
        <v>1240</v>
      </c>
      <c r="F505" s="23" t="s">
        <v>1234</v>
      </c>
      <c r="G505" s="23" t="s">
        <v>1241</v>
      </c>
      <c r="H505" s="23">
        <v>0.5</v>
      </c>
      <c r="I505" s="23" t="s">
        <v>2295</v>
      </c>
      <c r="J505" s="23">
        <v>0.5</v>
      </c>
      <c r="K505" s="23" t="s">
        <v>1833</v>
      </c>
    </row>
    <row r="506" spans="1:11" ht="283.5">
      <c r="A506" s="23" t="s">
        <v>278</v>
      </c>
      <c r="B506" s="23" t="s">
        <v>34</v>
      </c>
      <c r="C506" s="23" t="s">
        <v>35</v>
      </c>
      <c r="D506" s="23">
        <v>0.5</v>
      </c>
      <c r="E506" s="23" t="s">
        <v>1242</v>
      </c>
      <c r="F506" s="23" t="s">
        <v>1234</v>
      </c>
      <c r="G506" s="23" t="s">
        <v>935</v>
      </c>
      <c r="H506" s="23">
        <v>0.5</v>
      </c>
      <c r="I506" s="23" t="s">
        <v>2296</v>
      </c>
      <c r="J506" s="23">
        <v>0.5</v>
      </c>
      <c r="K506" s="23" t="s">
        <v>1833</v>
      </c>
    </row>
    <row r="507" spans="1:11" ht="157.5">
      <c r="A507" s="23" t="s">
        <v>278</v>
      </c>
      <c r="B507" s="23" t="s">
        <v>37</v>
      </c>
      <c r="C507" s="23" t="s">
        <v>38</v>
      </c>
      <c r="D507" s="23">
        <v>1</v>
      </c>
      <c r="E507" s="23" t="s">
        <v>1243</v>
      </c>
      <c r="F507" s="23" t="s">
        <v>1234</v>
      </c>
      <c r="G507" s="23" t="s">
        <v>1079</v>
      </c>
      <c r="H507" s="23">
        <v>1</v>
      </c>
      <c r="I507" s="23" t="s">
        <v>2297</v>
      </c>
      <c r="J507" s="23">
        <v>1</v>
      </c>
      <c r="K507" s="23" t="s">
        <v>1826</v>
      </c>
    </row>
    <row r="508" spans="1:11" ht="157.5">
      <c r="A508" s="23" t="s">
        <v>282</v>
      </c>
      <c r="B508" s="23" t="s">
        <v>13</v>
      </c>
      <c r="C508" s="23" t="s">
        <v>14</v>
      </c>
      <c r="D508" s="23">
        <v>1</v>
      </c>
      <c r="E508" s="23" t="s">
        <v>1244</v>
      </c>
      <c r="F508" s="23" t="s">
        <v>1245</v>
      </c>
      <c r="G508" s="23" t="s">
        <v>813</v>
      </c>
      <c r="H508" s="23">
        <v>1</v>
      </c>
      <c r="I508" s="23" t="s">
        <v>2298</v>
      </c>
      <c r="J508" s="23">
        <v>1</v>
      </c>
      <c r="K508" s="23" t="s">
        <v>1826</v>
      </c>
    </row>
    <row r="509" spans="1:11" ht="189">
      <c r="A509" s="23" t="s">
        <v>282</v>
      </c>
      <c r="B509" s="23" t="s">
        <v>16</v>
      </c>
      <c r="C509" s="23" t="s">
        <v>17</v>
      </c>
      <c r="D509" s="23">
        <v>1</v>
      </c>
      <c r="E509" s="23" t="s">
        <v>1246</v>
      </c>
      <c r="F509" s="23" t="s">
        <v>1245</v>
      </c>
      <c r="G509" s="23" t="s">
        <v>841</v>
      </c>
      <c r="H509" s="23">
        <v>1</v>
      </c>
      <c r="I509" s="23" t="s">
        <v>2299</v>
      </c>
      <c r="J509" s="23">
        <v>1</v>
      </c>
      <c r="K509" s="23" t="s">
        <v>1826</v>
      </c>
    </row>
    <row r="510" spans="1:11" ht="173.25">
      <c r="A510" s="23" t="s">
        <v>282</v>
      </c>
      <c r="B510" s="23" t="s">
        <v>19</v>
      </c>
      <c r="C510" s="23" t="s">
        <v>20</v>
      </c>
      <c r="D510" s="23">
        <v>1</v>
      </c>
      <c r="E510" s="23" t="s">
        <v>1247</v>
      </c>
      <c r="F510" s="23" t="s">
        <v>1245</v>
      </c>
      <c r="G510" s="23" t="s">
        <v>1020</v>
      </c>
      <c r="H510" s="23">
        <v>1</v>
      </c>
      <c r="I510" s="23" t="s">
        <v>2300</v>
      </c>
      <c r="J510" s="23">
        <v>1</v>
      </c>
      <c r="K510" s="23" t="s">
        <v>1826</v>
      </c>
    </row>
    <row r="511" spans="1:11" ht="173.25">
      <c r="A511" s="23" t="s">
        <v>282</v>
      </c>
      <c r="B511" s="23" t="s">
        <v>22</v>
      </c>
      <c r="C511" s="23" t="s">
        <v>23</v>
      </c>
      <c r="D511" s="23">
        <v>1</v>
      </c>
      <c r="E511" s="23" t="s">
        <v>1248</v>
      </c>
      <c r="F511" s="23" t="s">
        <v>1245</v>
      </c>
      <c r="G511" s="23" t="s">
        <v>1249</v>
      </c>
      <c r="H511" s="23">
        <v>1</v>
      </c>
      <c r="I511" s="23" t="s">
        <v>2301</v>
      </c>
      <c r="J511" s="23">
        <v>1</v>
      </c>
      <c r="K511" s="23" t="s">
        <v>1826</v>
      </c>
    </row>
    <row r="512" spans="1:11" ht="173.25">
      <c r="A512" s="23" t="s">
        <v>282</v>
      </c>
      <c r="B512" s="23" t="s">
        <v>25</v>
      </c>
      <c r="C512" s="23" t="s">
        <v>26</v>
      </c>
      <c r="D512" s="23">
        <v>1</v>
      </c>
      <c r="E512" s="23" t="s">
        <v>1250</v>
      </c>
      <c r="F512" s="23" t="s">
        <v>1245</v>
      </c>
      <c r="G512" s="23" t="s">
        <v>1251</v>
      </c>
      <c r="H512" s="23">
        <v>1</v>
      </c>
      <c r="I512" s="23" t="s">
        <v>2302</v>
      </c>
      <c r="J512" s="23">
        <v>1</v>
      </c>
      <c r="K512" s="23" t="s">
        <v>1826</v>
      </c>
    </row>
    <row r="513" spans="1:11" ht="173.25">
      <c r="A513" s="23" t="s">
        <v>282</v>
      </c>
      <c r="B513" s="23" t="s">
        <v>28</v>
      </c>
      <c r="C513" s="23" t="s">
        <v>29</v>
      </c>
      <c r="D513" s="23">
        <v>1</v>
      </c>
      <c r="E513" s="23" t="s">
        <v>1252</v>
      </c>
      <c r="F513" s="23" t="s">
        <v>1245</v>
      </c>
      <c r="G513" s="23" t="s">
        <v>1253</v>
      </c>
      <c r="H513" s="23">
        <v>1</v>
      </c>
      <c r="I513" s="23" t="s">
        <v>2303</v>
      </c>
      <c r="J513" s="23">
        <v>1</v>
      </c>
      <c r="K513" s="23" t="s">
        <v>1826</v>
      </c>
    </row>
    <row r="514" spans="1:11" ht="189">
      <c r="A514" s="23" t="s">
        <v>282</v>
      </c>
      <c r="B514" s="23" t="s">
        <v>31</v>
      </c>
      <c r="C514" s="23" t="s">
        <v>32</v>
      </c>
      <c r="D514" s="23">
        <v>1</v>
      </c>
      <c r="E514" s="23" t="s">
        <v>1254</v>
      </c>
      <c r="F514" s="23" t="s">
        <v>1245</v>
      </c>
      <c r="G514" s="23" t="s">
        <v>1255</v>
      </c>
      <c r="H514" s="23">
        <v>1</v>
      </c>
      <c r="I514" s="23" t="s">
        <v>2304</v>
      </c>
      <c r="J514" s="23">
        <v>1</v>
      </c>
      <c r="K514" s="23" t="s">
        <v>1826</v>
      </c>
    </row>
    <row r="515" spans="1:11" ht="189">
      <c r="A515" s="23" t="s">
        <v>282</v>
      </c>
      <c r="B515" s="23" t="s">
        <v>34</v>
      </c>
      <c r="C515" s="23" t="s">
        <v>35</v>
      </c>
      <c r="D515" s="23">
        <v>1</v>
      </c>
      <c r="E515" s="23" t="s">
        <v>1256</v>
      </c>
      <c r="F515" s="23" t="s">
        <v>1245</v>
      </c>
      <c r="G515" s="23" t="s">
        <v>839</v>
      </c>
      <c r="H515" s="23">
        <v>1</v>
      </c>
      <c r="I515" s="23" t="s">
        <v>2305</v>
      </c>
      <c r="J515" s="23">
        <v>1</v>
      </c>
      <c r="K515" s="23" t="s">
        <v>1826</v>
      </c>
    </row>
    <row r="516" spans="1:11" ht="157.5">
      <c r="A516" s="23" t="s">
        <v>282</v>
      </c>
      <c r="B516" s="23" t="s">
        <v>37</v>
      </c>
      <c r="C516" s="23" t="s">
        <v>38</v>
      </c>
      <c r="D516" s="23">
        <v>1</v>
      </c>
      <c r="E516" s="23" t="s">
        <v>1257</v>
      </c>
      <c r="F516" s="23" t="s">
        <v>1245</v>
      </c>
      <c r="G516" s="23" t="s">
        <v>1258</v>
      </c>
      <c r="H516" s="23">
        <v>1</v>
      </c>
      <c r="I516" s="23" t="s">
        <v>2306</v>
      </c>
      <c r="J516" s="23">
        <v>1</v>
      </c>
      <c r="K516" s="23" t="s">
        <v>1826</v>
      </c>
    </row>
    <row r="517" spans="1:11" ht="204.75">
      <c r="A517" s="23" t="s">
        <v>286</v>
      </c>
      <c r="B517" s="23" t="s">
        <v>13</v>
      </c>
      <c r="C517" s="23" t="s">
        <v>14</v>
      </c>
      <c r="D517" s="23">
        <v>1</v>
      </c>
      <c r="E517" s="23" t="s">
        <v>1259</v>
      </c>
      <c r="F517" s="23" t="s">
        <v>1260</v>
      </c>
      <c r="G517" s="23" t="s">
        <v>907</v>
      </c>
      <c r="H517" s="23">
        <v>1</v>
      </c>
      <c r="I517" s="23" t="s">
        <v>2307</v>
      </c>
      <c r="J517" s="23">
        <v>1</v>
      </c>
      <c r="K517" s="23" t="s">
        <v>1826</v>
      </c>
    </row>
    <row r="518" spans="1:11" ht="173.25">
      <c r="A518" s="23" t="s">
        <v>286</v>
      </c>
      <c r="B518" s="23" t="s">
        <v>16</v>
      </c>
      <c r="C518" s="23" t="s">
        <v>17</v>
      </c>
      <c r="D518" s="23">
        <v>1</v>
      </c>
      <c r="E518" s="23" t="s">
        <v>1261</v>
      </c>
      <c r="F518" s="23" t="s">
        <v>1260</v>
      </c>
      <c r="G518" s="23" t="s">
        <v>909</v>
      </c>
      <c r="H518" s="23">
        <v>1</v>
      </c>
      <c r="I518" s="23" t="s">
        <v>2308</v>
      </c>
      <c r="J518" s="23">
        <v>1</v>
      </c>
      <c r="K518" s="23" t="s">
        <v>1826</v>
      </c>
    </row>
    <row r="519" spans="1:11" ht="252">
      <c r="A519" s="23" t="s">
        <v>286</v>
      </c>
      <c r="B519" s="23" t="s">
        <v>19</v>
      </c>
      <c r="C519" s="23" t="s">
        <v>20</v>
      </c>
      <c r="D519" s="23">
        <v>0.5</v>
      </c>
      <c r="E519" s="23" t="s">
        <v>1262</v>
      </c>
      <c r="F519" s="23" t="s">
        <v>1260</v>
      </c>
      <c r="G519" s="23" t="s">
        <v>1263</v>
      </c>
      <c r="H519" s="23">
        <v>0.5</v>
      </c>
      <c r="I519" s="23" t="s">
        <v>2309</v>
      </c>
      <c r="J519" s="23">
        <v>0.5</v>
      </c>
      <c r="K519" s="23" t="s">
        <v>1833</v>
      </c>
    </row>
    <row r="520" spans="1:11" ht="267.75">
      <c r="A520" s="23" t="s">
        <v>286</v>
      </c>
      <c r="B520" s="23" t="s">
        <v>22</v>
      </c>
      <c r="C520" s="23" t="s">
        <v>23</v>
      </c>
      <c r="D520" s="23">
        <v>0.5</v>
      </c>
      <c r="E520" s="23" t="s">
        <v>1264</v>
      </c>
      <c r="F520" s="23" t="s">
        <v>1260</v>
      </c>
      <c r="G520" s="23" t="s">
        <v>1263</v>
      </c>
      <c r="H520" s="23">
        <v>0.5</v>
      </c>
      <c r="I520" s="23" t="s">
        <v>2310</v>
      </c>
      <c r="J520" s="23">
        <v>0.5</v>
      </c>
      <c r="K520" s="23" t="s">
        <v>1833</v>
      </c>
    </row>
    <row r="521" spans="1:11" ht="236.25">
      <c r="A521" s="23" t="s">
        <v>286</v>
      </c>
      <c r="B521" s="23" t="s">
        <v>25</v>
      </c>
      <c r="C521" s="23" t="s">
        <v>26</v>
      </c>
      <c r="D521" s="23">
        <v>0.5</v>
      </c>
      <c r="E521" s="23" t="s">
        <v>1265</v>
      </c>
      <c r="F521" s="23" t="s">
        <v>1260</v>
      </c>
      <c r="G521" s="23" t="s">
        <v>1266</v>
      </c>
      <c r="H521" s="23">
        <v>0.5</v>
      </c>
      <c r="I521" s="23" t="s">
        <v>2311</v>
      </c>
      <c r="J521" s="23">
        <v>0.5</v>
      </c>
      <c r="K521" s="23" t="s">
        <v>1833</v>
      </c>
    </row>
    <row r="522" spans="1:11" ht="204.75">
      <c r="A522" s="23" t="s">
        <v>286</v>
      </c>
      <c r="B522" s="23" t="s">
        <v>28</v>
      </c>
      <c r="C522" s="23" t="s">
        <v>29</v>
      </c>
      <c r="D522" s="23">
        <v>1</v>
      </c>
      <c r="E522" s="23" t="s">
        <v>1267</v>
      </c>
      <c r="F522" s="23" t="s">
        <v>1260</v>
      </c>
      <c r="G522" s="23" t="s">
        <v>1266</v>
      </c>
      <c r="H522" s="23">
        <v>1</v>
      </c>
      <c r="I522" s="23" t="s">
        <v>2312</v>
      </c>
      <c r="J522" s="23">
        <v>1</v>
      </c>
      <c r="K522" s="23" t="s">
        <v>1826</v>
      </c>
    </row>
    <row r="523" spans="1:11" ht="220.5">
      <c r="A523" s="23" t="s">
        <v>286</v>
      </c>
      <c r="B523" s="23" t="s">
        <v>31</v>
      </c>
      <c r="C523" s="23" t="s">
        <v>32</v>
      </c>
      <c r="D523" s="23">
        <v>1</v>
      </c>
      <c r="E523" s="23" t="s">
        <v>1268</v>
      </c>
      <c r="F523" s="23" t="s">
        <v>1260</v>
      </c>
      <c r="G523" s="23" t="s">
        <v>1266</v>
      </c>
      <c r="H523" s="23">
        <v>1</v>
      </c>
      <c r="I523" s="23" t="s">
        <v>2313</v>
      </c>
      <c r="J523" s="23">
        <v>1</v>
      </c>
      <c r="K523" s="23" t="s">
        <v>1826</v>
      </c>
    </row>
    <row r="524" spans="1:11" ht="236.25">
      <c r="A524" s="23" t="s">
        <v>286</v>
      </c>
      <c r="B524" s="23" t="s">
        <v>34</v>
      </c>
      <c r="C524" s="23" t="s">
        <v>35</v>
      </c>
      <c r="D524" s="23">
        <v>0.5</v>
      </c>
      <c r="E524" s="23" t="s">
        <v>1269</v>
      </c>
      <c r="F524" s="23" t="s">
        <v>1260</v>
      </c>
      <c r="G524" s="23" t="s">
        <v>839</v>
      </c>
      <c r="H524" s="23">
        <v>0.5</v>
      </c>
      <c r="I524" s="23" t="s">
        <v>2314</v>
      </c>
      <c r="J524" s="23">
        <v>0.5</v>
      </c>
      <c r="K524" s="23" t="s">
        <v>1833</v>
      </c>
    </row>
    <row r="525" spans="1:11" ht="236.25">
      <c r="A525" s="23" t="s">
        <v>286</v>
      </c>
      <c r="B525" s="23" t="s">
        <v>37</v>
      </c>
      <c r="C525" s="23" t="s">
        <v>38</v>
      </c>
      <c r="D525" s="23">
        <v>0.5</v>
      </c>
      <c r="E525" s="23" t="s">
        <v>1270</v>
      </c>
      <c r="F525" s="23" t="s">
        <v>1260</v>
      </c>
      <c r="G525" s="23" t="s">
        <v>1020</v>
      </c>
      <c r="H525" s="23">
        <v>0.5</v>
      </c>
      <c r="I525" s="23" t="s">
        <v>2315</v>
      </c>
      <c r="J525" s="23">
        <v>0.5</v>
      </c>
      <c r="K525" s="23" t="s">
        <v>1833</v>
      </c>
    </row>
    <row r="526" spans="1:11" ht="189">
      <c r="A526" s="23" t="s">
        <v>290</v>
      </c>
      <c r="B526" s="23" t="s">
        <v>13</v>
      </c>
      <c r="C526" s="23" t="s">
        <v>14</v>
      </c>
      <c r="D526" s="23">
        <v>1</v>
      </c>
      <c r="E526" s="23" t="s">
        <v>1271</v>
      </c>
      <c r="F526" s="23" t="s">
        <v>1272</v>
      </c>
      <c r="G526" s="23" t="s">
        <v>1182</v>
      </c>
      <c r="H526" s="23">
        <v>1</v>
      </c>
      <c r="I526" s="23" t="s">
        <v>2316</v>
      </c>
      <c r="J526" s="23">
        <v>1</v>
      </c>
      <c r="K526" s="23" t="s">
        <v>1826</v>
      </c>
    </row>
    <row r="527" spans="1:11" ht="157.5">
      <c r="A527" s="23" t="s">
        <v>290</v>
      </c>
      <c r="B527" s="23" t="s">
        <v>16</v>
      </c>
      <c r="C527" s="23" t="s">
        <v>17</v>
      </c>
      <c r="D527" s="23">
        <v>1</v>
      </c>
      <c r="E527" s="23" t="s">
        <v>1273</v>
      </c>
      <c r="F527" s="23" t="s">
        <v>1272</v>
      </c>
      <c r="G527" s="23" t="s">
        <v>1274</v>
      </c>
      <c r="H527" s="23">
        <v>1</v>
      </c>
      <c r="I527" s="23" t="s">
        <v>2317</v>
      </c>
      <c r="J527" s="23">
        <v>1</v>
      </c>
      <c r="K527" s="23" t="s">
        <v>1826</v>
      </c>
    </row>
    <row r="528" spans="1:11" ht="173.25">
      <c r="A528" s="23" t="s">
        <v>290</v>
      </c>
      <c r="B528" s="23" t="s">
        <v>19</v>
      </c>
      <c r="C528" s="23" t="s">
        <v>20</v>
      </c>
      <c r="D528" s="23">
        <v>1</v>
      </c>
      <c r="E528" s="23" t="s">
        <v>1275</v>
      </c>
      <c r="F528" s="23" t="s">
        <v>1272</v>
      </c>
      <c r="G528" s="23" t="s">
        <v>1276</v>
      </c>
      <c r="H528" s="23">
        <v>1</v>
      </c>
      <c r="I528" s="23" t="s">
        <v>2318</v>
      </c>
      <c r="J528" s="23">
        <v>1</v>
      </c>
      <c r="K528" s="23" t="s">
        <v>1826</v>
      </c>
    </row>
    <row r="529" spans="1:11" ht="189">
      <c r="A529" s="23" t="s">
        <v>290</v>
      </c>
      <c r="B529" s="23" t="s">
        <v>22</v>
      </c>
      <c r="C529" s="23" t="s">
        <v>23</v>
      </c>
      <c r="D529" s="23">
        <v>1</v>
      </c>
      <c r="E529" s="23" t="s">
        <v>1277</v>
      </c>
      <c r="F529" s="23" t="s">
        <v>1272</v>
      </c>
      <c r="G529" s="23" t="s">
        <v>1075</v>
      </c>
      <c r="H529" s="23">
        <v>1</v>
      </c>
      <c r="I529" s="23" t="s">
        <v>2319</v>
      </c>
      <c r="J529" s="23">
        <v>1</v>
      </c>
      <c r="K529" s="23" t="s">
        <v>1826</v>
      </c>
    </row>
    <row r="530" spans="1:11" ht="189">
      <c r="A530" s="23" t="s">
        <v>290</v>
      </c>
      <c r="B530" s="23" t="s">
        <v>25</v>
      </c>
      <c r="C530" s="23" t="s">
        <v>26</v>
      </c>
      <c r="D530" s="23">
        <v>1</v>
      </c>
      <c r="E530" s="23" t="s">
        <v>1278</v>
      </c>
      <c r="F530" s="23" t="s">
        <v>1272</v>
      </c>
      <c r="G530" s="23" t="s">
        <v>1279</v>
      </c>
      <c r="H530" s="23">
        <v>1</v>
      </c>
      <c r="I530" s="23" t="s">
        <v>2320</v>
      </c>
      <c r="J530" s="23">
        <v>1</v>
      </c>
      <c r="K530" s="23" t="s">
        <v>1826</v>
      </c>
    </row>
    <row r="531" spans="1:11" ht="189">
      <c r="A531" s="23" t="s">
        <v>290</v>
      </c>
      <c r="B531" s="23" t="s">
        <v>28</v>
      </c>
      <c r="C531" s="23" t="s">
        <v>29</v>
      </c>
      <c r="D531" s="23">
        <v>1</v>
      </c>
      <c r="E531" s="23" t="s">
        <v>1280</v>
      </c>
      <c r="F531" s="23" t="s">
        <v>1272</v>
      </c>
      <c r="G531" s="23" t="s">
        <v>1281</v>
      </c>
      <c r="H531" s="23">
        <v>1</v>
      </c>
      <c r="I531" s="23" t="s">
        <v>2321</v>
      </c>
      <c r="J531" s="23">
        <v>1</v>
      </c>
      <c r="K531" s="23" t="s">
        <v>1826</v>
      </c>
    </row>
    <row r="532" spans="1:11" ht="189">
      <c r="A532" s="23" t="s">
        <v>290</v>
      </c>
      <c r="B532" s="23" t="s">
        <v>31</v>
      </c>
      <c r="C532" s="23" t="s">
        <v>32</v>
      </c>
      <c r="D532" s="23">
        <v>1</v>
      </c>
      <c r="E532" s="23" t="s">
        <v>1282</v>
      </c>
      <c r="F532" s="23" t="s">
        <v>1272</v>
      </c>
      <c r="G532" s="23" t="s">
        <v>1283</v>
      </c>
      <c r="H532" s="23">
        <v>1</v>
      </c>
      <c r="I532" s="23" t="s">
        <v>2322</v>
      </c>
      <c r="J532" s="23">
        <v>1</v>
      </c>
      <c r="K532" s="23" t="s">
        <v>1826</v>
      </c>
    </row>
    <row r="533" spans="1:11" ht="189">
      <c r="A533" s="23" t="s">
        <v>290</v>
      </c>
      <c r="B533" s="23" t="s">
        <v>34</v>
      </c>
      <c r="C533" s="23" t="s">
        <v>35</v>
      </c>
      <c r="D533" s="23">
        <v>1</v>
      </c>
      <c r="E533" s="23" t="s">
        <v>1284</v>
      </c>
      <c r="F533" s="23" t="s">
        <v>1272</v>
      </c>
      <c r="G533" s="23" t="s">
        <v>1096</v>
      </c>
      <c r="H533" s="23">
        <v>1</v>
      </c>
      <c r="I533" s="23" t="s">
        <v>2323</v>
      </c>
      <c r="J533" s="23">
        <v>1</v>
      </c>
      <c r="K533" s="23" t="s">
        <v>1826</v>
      </c>
    </row>
    <row r="534" spans="1:11" ht="157.5">
      <c r="A534" s="23" t="s">
        <v>290</v>
      </c>
      <c r="B534" s="23" t="s">
        <v>37</v>
      </c>
      <c r="C534" s="23" t="s">
        <v>38</v>
      </c>
      <c r="D534" s="23">
        <v>1</v>
      </c>
      <c r="E534" s="23" t="s">
        <v>1285</v>
      </c>
      <c r="F534" s="23" t="s">
        <v>1272</v>
      </c>
      <c r="G534" s="23" t="s">
        <v>1241</v>
      </c>
      <c r="H534" s="23">
        <v>1</v>
      </c>
      <c r="I534" s="23" t="s">
        <v>2324</v>
      </c>
      <c r="J534" s="23">
        <v>1</v>
      </c>
      <c r="K534" s="23" t="s">
        <v>1826</v>
      </c>
    </row>
    <row r="535" spans="1:11" ht="189">
      <c r="A535" s="23" t="s">
        <v>294</v>
      </c>
      <c r="B535" s="23" t="s">
        <v>13</v>
      </c>
      <c r="C535" s="23" t="s">
        <v>14</v>
      </c>
      <c r="D535" s="23">
        <v>1</v>
      </c>
      <c r="E535" s="23" t="s">
        <v>1286</v>
      </c>
      <c r="F535" s="23" t="s">
        <v>1287</v>
      </c>
      <c r="G535" s="23" t="s">
        <v>813</v>
      </c>
      <c r="H535" s="23">
        <v>1</v>
      </c>
      <c r="I535" s="23" t="s">
        <v>2325</v>
      </c>
      <c r="J535" s="23">
        <v>1</v>
      </c>
      <c r="K535" s="23" t="s">
        <v>1826</v>
      </c>
    </row>
    <row r="536" spans="1:11" ht="189">
      <c r="A536" s="23" t="s">
        <v>294</v>
      </c>
      <c r="B536" s="23" t="s">
        <v>16</v>
      </c>
      <c r="C536" s="23" t="s">
        <v>17</v>
      </c>
      <c r="D536" s="23">
        <v>1</v>
      </c>
      <c r="E536" s="23" t="s">
        <v>1288</v>
      </c>
      <c r="F536" s="23" t="s">
        <v>1287</v>
      </c>
      <c r="G536" s="23" t="s">
        <v>1079</v>
      </c>
      <c r="H536" s="23">
        <v>1</v>
      </c>
      <c r="I536" s="23" t="s">
        <v>2326</v>
      </c>
      <c r="J536" s="23">
        <v>1</v>
      </c>
      <c r="K536" s="23" t="s">
        <v>1826</v>
      </c>
    </row>
    <row r="537" spans="1:11" ht="189">
      <c r="A537" s="23" t="s">
        <v>294</v>
      </c>
      <c r="B537" s="23" t="s">
        <v>19</v>
      </c>
      <c r="C537" s="23" t="s">
        <v>20</v>
      </c>
      <c r="D537" s="23">
        <v>1</v>
      </c>
      <c r="E537" s="23" t="s">
        <v>1289</v>
      </c>
      <c r="F537" s="23" t="s">
        <v>1287</v>
      </c>
      <c r="G537" s="23" t="s">
        <v>1290</v>
      </c>
      <c r="H537" s="23">
        <v>1</v>
      </c>
      <c r="I537" s="23" t="s">
        <v>2327</v>
      </c>
      <c r="J537" s="23">
        <v>1</v>
      </c>
      <c r="K537" s="23" t="s">
        <v>1826</v>
      </c>
    </row>
    <row r="538" spans="1:11" ht="220.5">
      <c r="A538" s="23" t="s">
        <v>294</v>
      </c>
      <c r="B538" s="23" t="s">
        <v>22</v>
      </c>
      <c r="C538" s="23" t="s">
        <v>23</v>
      </c>
      <c r="D538" s="23">
        <v>1</v>
      </c>
      <c r="E538" s="23" t="s">
        <v>1291</v>
      </c>
      <c r="F538" s="23" t="s">
        <v>1287</v>
      </c>
      <c r="G538" s="23" t="s">
        <v>935</v>
      </c>
      <c r="H538" s="23">
        <v>1</v>
      </c>
      <c r="I538" s="23" t="s">
        <v>2328</v>
      </c>
      <c r="J538" s="23">
        <v>1</v>
      </c>
      <c r="K538" s="23" t="s">
        <v>1826</v>
      </c>
    </row>
    <row r="539" spans="1:11" ht="189">
      <c r="A539" s="23" t="s">
        <v>294</v>
      </c>
      <c r="B539" s="23" t="s">
        <v>25</v>
      </c>
      <c r="C539" s="23" t="s">
        <v>26</v>
      </c>
      <c r="D539" s="23">
        <v>1</v>
      </c>
      <c r="E539" s="23" t="s">
        <v>1292</v>
      </c>
      <c r="F539" s="23" t="s">
        <v>1287</v>
      </c>
      <c r="G539" s="23" t="s">
        <v>919</v>
      </c>
      <c r="H539" s="23">
        <v>1</v>
      </c>
      <c r="I539" s="23" t="s">
        <v>2329</v>
      </c>
      <c r="J539" s="23">
        <v>1</v>
      </c>
      <c r="K539" s="23" t="s">
        <v>1826</v>
      </c>
    </row>
    <row r="540" spans="1:11" ht="173.25">
      <c r="A540" s="23" t="s">
        <v>294</v>
      </c>
      <c r="B540" s="23" t="s">
        <v>28</v>
      </c>
      <c r="C540" s="23" t="s">
        <v>29</v>
      </c>
      <c r="D540" s="23">
        <v>1</v>
      </c>
      <c r="E540" s="23" t="s">
        <v>1293</v>
      </c>
      <c r="F540" s="23" t="s">
        <v>1287</v>
      </c>
      <c r="G540" s="23" t="s">
        <v>919</v>
      </c>
      <c r="H540" s="23">
        <v>1</v>
      </c>
      <c r="I540" s="23" t="s">
        <v>2330</v>
      </c>
      <c r="J540" s="23">
        <v>1</v>
      </c>
      <c r="K540" s="23" t="s">
        <v>1826</v>
      </c>
    </row>
    <row r="541" spans="1:11" ht="173.25">
      <c r="A541" s="23" t="s">
        <v>294</v>
      </c>
      <c r="B541" s="23" t="s">
        <v>31</v>
      </c>
      <c r="C541" s="23" t="s">
        <v>32</v>
      </c>
      <c r="D541" s="23">
        <v>1</v>
      </c>
      <c r="E541" s="23" t="s">
        <v>1294</v>
      </c>
      <c r="F541" s="23" t="s">
        <v>1287</v>
      </c>
      <c r="G541" s="23" t="s">
        <v>1295</v>
      </c>
      <c r="H541" s="23">
        <v>1</v>
      </c>
      <c r="I541" s="23" t="s">
        <v>2331</v>
      </c>
      <c r="J541" s="23">
        <v>1</v>
      </c>
      <c r="K541" s="23" t="s">
        <v>1826</v>
      </c>
    </row>
    <row r="542" spans="1:11" ht="204.75">
      <c r="A542" s="23" t="s">
        <v>294</v>
      </c>
      <c r="B542" s="23" t="s">
        <v>34</v>
      </c>
      <c r="C542" s="23" t="s">
        <v>35</v>
      </c>
      <c r="D542" s="23">
        <v>1</v>
      </c>
      <c r="E542" s="23" t="s">
        <v>1296</v>
      </c>
      <c r="F542" s="23" t="s">
        <v>1287</v>
      </c>
      <c r="G542" s="23" t="s">
        <v>644</v>
      </c>
      <c r="H542" s="23">
        <v>1</v>
      </c>
      <c r="I542" s="23" t="s">
        <v>2332</v>
      </c>
      <c r="J542" s="23">
        <v>1</v>
      </c>
      <c r="K542" s="23" t="s">
        <v>1826</v>
      </c>
    </row>
    <row r="543" spans="1:11" ht="173.25">
      <c r="A543" s="23" t="s">
        <v>294</v>
      </c>
      <c r="B543" s="23" t="s">
        <v>37</v>
      </c>
      <c r="C543" s="23" t="s">
        <v>38</v>
      </c>
      <c r="D543" s="23">
        <v>1</v>
      </c>
      <c r="E543" s="23" t="s">
        <v>1297</v>
      </c>
      <c r="F543" s="23" t="s">
        <v>1287</v>
      </c>
      <c r="G543" s="23" t="s">
        <v>1298</v>
      </c>
      <c r="H543" s="23">
        <v>1</v>
      </c>
      <c r="I543" s="23" t="s">
        <v>2333</v>
      </c>
      <c r="J543" s="23">
        <v>1</v>
      </c>
      <c r="K543" s="23" t="s">
        <v>1826</v>
      </c>
    </row>
    <row r="544" spans="1:11" ht="204.75">
      <c r="A544" s="23" t="s">
        <v>298</v>
      </c>
      <c r="B544" s="23" t="s">
        <v>13</v>
      </c>
      <c r="C544" s="23" t="s">
        <v>14</v>
      </c>
      <c r="D544" s="23">
        <v>1</v>
      </c>
      <c r="E544" s="23" t="s">
        <v>1299</v>
      </c>
      <c r="F544" s="23" t="s">
        <v>1300</v>
      </c>
      <c r="G544" s="23" t="s">
        <v>1301</v>
      </c>
      <c r="H544" s="23">
        <v>1</v>
      </c>
      <c r="I544" s="23" t="s">
        <v>2334</v>
      </c>
      <c r="J544" s="23">
        <v>1</v>
      </c>
      <c r="K544" s="23" t="s">
        <v>1826</v>
      </c>
    </row>
    <row r="545" spans="1:11" ht="189">
      <c r="A545" s="23" t="s">
        <v>298</v>
      </c>
      <c r="B545" s="23" t="s">
        <v>16</v>
      </c>
      <c r="C545" s="23" t="s">
        <v>17</v>
      </c>
      <c r="D545" s="23">
        <v>1</v>
      </c>
      <c r="E545" s="23" t="s">
        <v>1302</v>
      </c>
      <c r="F545" s="23" t="s">
        <v>1300</v>
      </c>
      <c r="G545" s="23" t="s">
        <v>1303</v>
      </c>
      <c r="H545" s="23">
        <v>1</v>
      </c>
      <c r="I545" s="23" t="s">
        <v>2335</v>
      </c>
      <c r="J545" s="23">
        <v>1</v>
      </c>
      <c r="K545" s="23" t="s">
        <v>1826</v>
      </c>
    </row>
    <row r="546" spans="1:11" ht="299.25">
      <c r="A546" s="23" t="s">
        <v>298</v>
      </c>
      <c r="B546" s="23" t="s">
        <v>19</v>
      </c>
      <c r="C546" s="23" t="s">
        <v>20</v>
      </c>
      <c r="D546" s="23">
        <v>0.5</v>
      </c>
      <c r="E546" s="23" t="s">
        <v>1304</v>
      </c>
      <c r="F546" s="23" t="s">
        <v>1300</v>
      </c>
      <c r="G546" s="23" t="s">
        <v>1305</v>
      </c>
      <c r="H546" s="23">
        <v>0.5</v>
      </c>
      <c r="I546" s="23" t="s">
        <v>2336</v>
      </c>
      <c r="J546" s="23">
        <v>0.5</v>
      </c>
      <c r="K546" s="23" t="s">
        <v>1833</v>
      </c>
    </row>
    <row r="547" spans="1:11" ht="220.5">
      <c r="A547" s="23" t="s">
        <v>298</v>
      </c>
      <c r="B547" s="23" t="s">
        <v>22</v>
      </c>
      <c r="C547" s="23" t="s">
        <v>23</v>
      </c>
      <c r="D547" s="23">
        <v>1</v>
      </c>
      <c r="E547" s="23" t="s">
        <v>1306</v>
      </c>
      <c r="F547" s="23" t="s">
        <v>1300</v>
      </c>
      <c r="G547" s="23" t="s">
        <v>1307</v>
      </c>
      <c r="H547" s="23">
        <v>1</v>
      </c>
      <c r="I547" s="23" t="s">
        <v>2337</v>
      </c>
      <c r="J547" s="23">
        <v>1</v>
      </c>
      <c r="K547" s="23" t="s">
        <v>1826</v>
      </c>
    </row>
    <row r="548" spans="1:11" ht="267.75">
      <c r="A548" s="23" t="s">
        <v>298</v>
      </c>
      <c r="B548" s="23" t="s">
        <v>25</v>
      </c>
      <c r="C548" s="23" t="s">
        <v>26</v>
      </c>
      <c r="D548" s="23">
        <v>0.5</v>
      </c>
      <c r="E548" s="23" t="s">
        <v>1308</v>
      </c>
      <c r="F548" s="23" t="s">
        <v>1300</v>
      </c>
      <c r="G548" s="23" t="s">
        <v>1309</v>
      </c>
      <c r="H548" s="23">
        <v>0.5</v>
      </c>
      <c r="I548" s="23" t="s">
        <v>2338</v>
      </c>
      <c r="J548" s="23">
        <v>0.5</v>
      </c>
      <c r="K548" s="23" t="s">
        <v>1833</v>
      </c>
    </row>
    <row r="549" spans="1:11" ht="220.5">
      <c r="A549" s="23" t="s">
        <v>298</v>
      </c>
      <c r="B549" s="23" t="s">
        <v>28</v>
      </c>
      <c r="C549" s="23" t="s">
        <v>29</v>
      </c>
      <c r="D549" s="23">
        <v>1</v>
      </c>
      <c r="E549" s="23" t="s">
        <v>1310</v>
      </c>
      <c r="F549" s="23" t="s">
        <v>1300</v>
      </c>
      <c r="G549" s="23" t="s">
        <v>1311</v>
      </c>
      <c r="H549" s="23">
        <v>1</v>
      </c>
      <c r="I549" s="23" t="s">
        <v>2339</v>
      </c>
      <c r="J549" s="23">
        <v>1</v>
      </c>
      <c r="K549" s="23" t="s">
        <v>1826</v>
      </c>
    </row>
    <row r="550" spans="1:11" ht="204.75">
      <c r="A550" s="23" t="s">
        <v>298</v>
      </c>
      <c r="B550" s="23" t="s">
        <v>31</v>
      </c>
      <c r="C550" s="23" t="s">
        <v>32</v>
      </c>
      <c r="D550" s="23">
        <v>1</v>
      </c>
      <c r="E550" s="23" t="s">
        <v>1312</v>
      </c>
      <c r="F550" s="23" t="s">
        <v>1300</v>
      </c>
      <c r="G550" s="23" t="s">
        <v>1313</v>
      </c>
      <c r="H550" s="23">
        <v>1</v>
      </c>
      <c r="I550" s="23" t="s">
        <v>2340</v>
      </c>
      <c r="J550" s="23">
        <v>1</v>
      </c>
      <c r="K550" s="23" t="s">
        <v>1826</v>
      </c>
    </row>
    <row r="551" spans="1:11" ht="236.25">
      <c r="A551" s="23" t="s">
        <v>298</v>
      </c>
      <c r="B551" s="23" t="s">
        <v>34</v>
      </c>
      <c r="C551" s="23" t="s">
        <v>35</v>
      </c>
      <c r="D551" s="23">
        <v>0.5</v>
      </c>
      <c r="E551" s="23" t="s">
        <v>1314</v>
      </c>
      <c r="F551" s="23" t="s">
        <v>1300</v>
      </c>
      <c r="G551" s="23" t="s">
        <v>1311</v>
      </c>
      <c r="H551" s="23">
        <v>0.5</v>
      </c>
      <c r="I551" s="23" t="s">
        <v>2341</v>
      </c>
      <c r="J551" s="23">
        <v>0.5</v>
      </c>
      <c r="K551" s="23" t="s">
        <v>1833</v>
      </c>
    </row>
    <row r="552" spans="1:11" ht="252">
      <c r="A552" s="23" t="s">
        <v>298</v>
      </c>
      <c r="B552" s="23" t="s">
        <v>37</v>
      </c>
      <c r="C552" s="23" t="s">
        <v>38</v>
      </c>
      <c r="D552" s="23">
        <v>0.5</v>
      </c>
      <c r="E552" s="23" t="s">
        <v>1315</v>
      </c>
      <c r="F552" s="23" t="s">
        <v>1300</v>
      </c>
      <c r="G552" s="23" t="s">
        <v>916</v>
      </c>
      <c r="H552" s="23">
        <v>0.5</v>
      </c>
      <c r="I552" s="23" t="s">
        <v>2342</v>
      </c>
      <c r="J552" s="23">
        <v>0.5</v>
      </c>
      <c r="K552" s="23" t="s">
        <v>1833</v>
      </c>
    </row>
    <row r="553" spans="1:11" ht="173.25">
      <c r="A553" s="23" t="s">
        <v>302</v>
      </c>
      <c r="B553" s="23" t="s">
        <v>13</v>
      </c>
      <c r="C553" s="23" t="s">
        <v>14</v>
      </c>
      <c r="D553" s="23">
        <v>1</v>
      </c>
      <c r="E553" s="23" t="s">
        <v>1316</v>
      </c>
      <c r="F553" s="23" t="s">
        <v>1317</v>
      </c>
      <c r="G553" s="23" t="s">
        <v>1318</v>
      </c>
      <c r="H553" s="23">
        <v>1</v>
      </c>
      <c r="I553" s="23" t="s">
        <v>2343</v>
      </c>
      <c r="J553" s="23">
        <v>1</v>
      </c>
      <c r="K553" s="23" t="s">
        <v>1826</v>
      </c>
    </row>
    <row r="554" spans="1:11" ht="173.25">
      <c r="A554" s="23" t="s">
        <v>302</v>
      </c>
      <c r="B554" s="23" t="s">
        <v>16</v>
      </c>
      <c r="C554" s="23" t="s">
        <v>17</v>
      </c>
      <c r="D554" s="23">
        <v>1</v>
      </c>
      <c r="E554" s="23" t="s">
        <v>1319</v>
      </c>
      <c r="F554" s="23" t="s">
        <v>1317</v>
      </c>
      <c r="G554" s="23" t="s">
        <v>1320</v>
      </c>
      <c r="H554" s="23">
        <v>1</v>
      </c>
      <c r="I554" s="23" t="s">
        <v>2344</v>
      </c>
      <c r="J554" s="23">
        <v>1</v>
      </c>
      <c r="K554" s="23" t="s">
        <v>1826</v>
      </c>
    </row>
    <row r="555" spans="1:11" ht="267.75">
      <c r="A555" s="23" t="s">
        <v>302</v>
      </c>
      <c r="B555" s="23" t="s">
        <v>19</v>
      </c>
      <c r="C555" s="23" t="s">
        <v>20</v>
      </c>
      <c r="D555" s="23">
        <v>0.5</v>
      </c>
      <c r="E555" s="23" t="s">
        <v>1321</v>
      </c>
      <c r="F555" s="23" t="s">
        <v>1317</v>
      </c>
      <c r="G555" s="23" t="s">
        <v>1322</v>
      </c>
      <c r="H555" s="23">
        <v>0.5</v>
      </c>
      <c r="I555" s="23" t="s">
        <v>2345</v>
      </c>
      <c r="J555" s="23">
        <v>0.5</v>
      </c>
      <c r="K555" s="23" t="s">
        <v>1833</v>
      </c>
    </row>
    <row r="556" spans="1:11" ht="204.75">
      <c r="A556" s="23" t="s">
        <v>302</v>
      </c>
      <c r="B556" s="23" t="s">
        <v>22</v>
      </c>
      <c r="C556" s="23" t="s">
        <v>23</v>
      </c>
      <c r="D556" s="23">
        <v>1</v>
      </c>
      <c r="E556" s="23" t="s">
        <v>1323</v>
      </c>
      <c r="F556" s="23" t="s">
        <v>1317</v>
      </c>
      <c r="G556" s="23" t="s">
        <v>1324</v>
      </c>
      <c r="H556" s="23">
        <v>1</v>
      </c>
      <c r="I556" s="23" t="s">
        <v>2346</v>
      </c>
      <c r="J556" s="23">
        <v>1</v>
      </c>
      <c r="K556" s="23" t="s">
        <v>1826</v>
      </c>
    </row>
    <row r="557" spans="1:11" ht="189">
      <c r="A557" s="23" t="s">
        <v>302</v>
      </c>
      <c r="B557" s="23" t="s">
        <v>25</v>
      </c>
      <c r="C557" s="23" t="s">
        <v>26</v>
      </c>
      <c r="D557" s="23">
        <v>0</v>
      </c>
      <c r="E557" s="23" t="s">
        <v>1325</v>
      </c>
      <c r="F557" s="23" t="s">
        <v>1317</v>
      </c>
      <c r="G557" s="23" t="s">
        <v>1303</v>
      </c>
      <c r="H557" s="23">
        <v>0</v>
      </c>
      <c r="I557" s="23" t="s">
        <v>2347</v>
      </c>
      <c r="J557" s="23">
        <v>0</v>
      </c>
      <c r="K557" s="23" t="s">
        <v>2093</v>
      </c>
    </row>
    <row r="558" spans="1:11" ht="267.75">
      <c r="A558" s="23" t="s">
        <v>302</v>
      </c>
      <c r="B558" s="23" t="s">
        <v>28</v>
      </c>
      <c r="C558" s="23" t="s">
        <v>29</v>
      </c>
      <c r="D558" s="23">
        <v>0.5</v>
      </c>
      <c r="E558" s="23" t="s">
        <v>1326</v>
      </c>
      <c r="F558" s="23" t="s">
        <v>1317</v>
      </c>
      <c r="G558" s="23" t="s">
        <v>1303</v>
      </c>
      <c r="H558" s="23">
        <v>0.5</v>
      </c>
      <c r="I558" s="23" t="s">
        <v>2348</v>
      </c>
      <c r="J558" s="23">
        <v>0.5</v>
      </c>
      <c r="K558" s="23" t="s">
        <v>1833</v>
      </c>
    </row>
    <row r="559" spans="1:11" ht="204.75">
      <c r="A559" s="23" t="s">
        <v>302</v>
      </c>
      <c r="B559" s="23" t="s">
        <v>31</v>
      </c>
      <c r="C559" s="23" t="s">
        <v>32</v>
      </c>
      <c r="D559" s="23">
        <v>1</v>
      </c>
      <c r="E559" s="23" t="s">
        <v>1327</v>
      </c>
      <c r="F559" s="23" t="s">
        <v>1317</v>
      </c>
      <c r="G559" s="23" t="s">
        <v>1328</v>
      </c>
      <c r="H559" s="23">
        <v>1</v>
      </c>
      <c r="I559" s="23" t="s">
        <v>2349</v>
      </c>
      <c r="J559" s="23">
        <v>1</v>
      </c>
      <c r="K559" s="23" t="s">
        <v>1826</v>
      </c>
    </row>
    <row r="560" spans="1:11" ht="267.75">
      <c r="A560" s="23" t="s">
        <v>302</v>
      </c>
      <c r="B560" s="23" t="s">
        <v>34</v>
      </c>
      <c r="C560" s="23" t="s">
        <v>35</v>
      </c>
      <c r="D560" s="23">
        <v>0.5</v>
      </c>
      <c r="E560" s="23" t="s">
        <v>1329</v>
      </c>
      <c r="F560" s="23" t="s">
        <v>1317</v>
      </c>
      <c r="G560" s="23" t="s">
        <v>1303</v>
      </c>
      <c r="H560" s="23">
        <v>0.5</v>
      </c>
      <c r="I560" s="23" t="s">
        <v>2350</v>
      </c>
      <c r="J560" s="23">
        <v>0.5</v>
      </c>
      <c r="K560" s="23" t="s">
        <v>1833</v>
      </c>
    </row>
    <row r="561" spans="1:11" ht="173.25">
      <c r="A561" s="23" t="s">
        <v>302</v>
      </c>
      <c r="B561" s="23" t="s">
        <v>37</v>
      </c>
      <c r="C561" s="23" t="s">
        <v>38</v>
      </c>
      <c r="D561" s="23">
        <v>1</v>
      </c>
      <c r="E561" s="23" t="s">
        <v>1330</v>
      </c>
      <c r="F561" s="23" t="s">
        <v>1317</v>
      </c>
      <c r="G561" s="23" t="s">
        <v>1331</v>
      </c>
      <c r="H561" s="23">
        <v>1</v>
      </c>
      <c r="I561" s="23" t="s">
        <v>2351</v>
      </c>
      <c r="J561" s="23">
        <v>1</v>
      </c>
      <c r="K561" s="23" t="s">
        <v>1826</v>
      </c>
    </row>
    <row r="562" spans="1:11" ht="204.75">
      <c r="A562" s="23" t="s">
        <v>306</v>
      </c>
      <c r="B562" s="23" t="s">
        <v>13</v>
      </c>
      <c r="C562" s="23" t="s">
        <v>14</v>
      </c>
      <c r="D562" s="23">
        <v>1</v>
      </c>
      <c r="E562" s="23" t="s">
        <v>1332</v>
      </c>
      <c r="F562" s="23" t="s">
        <v>1333</v>
      </c>
      <c r="G562" s="23" t="s">
        <v>1318</v>
      </c>
      <c r="H562" s="23">
        <v>1</v>
      </c>
      <c r="I562" s="23" t="s">
        <v>2352</v>
      </c>
      <c r="J562" s="23">
        <v>1</v>
      </c>
      <c r="K562" s="23" t="s">
        <v>1826</v>
      </c>
    </row>
    <row r="563" spans="1:11" ht="204.75">
      <c r="A563" s="23" t="s">
        <v>306</v>
      </c>
      <c r="B563" s="23" t="s">
        <v>16</v>
      </c>
      <c r="C563" s="23" t="s">
        <v>17</v>
      </c>
      <c r="D563" s="23">
        <v>1</v>
      </c>
      <c r="E563" s="23" t="s">
        <v>1334</v>
      </c>
      <c r="F563" s="23" t="s">
        <v>1333</v>
      </c>
      <c r="G563" s="23" t="s">
        <v>1335</v>
      </c>
      <c r="H563" s="23">
        <v>1</v>
      </c>
      <c r="I563" s="23" t="s">
        <v>2353</v>
      </c>
      <c r="J563" s="23">
        <v>1</v>
      </c>
      <c r="K563" s="23" t="s">
        <v>1826</v>
      </c>
    </row>
    <row r="564" spans="1:11" ht="220.5">
      <c r="A564" s="23" t="s">
        <v>306</v>
      </c>
      <c r="B564" s="23" t="s">
        <v>19</v>
      </c>
      <c r="C564" s="23" t="s">
        <v>20</v>
      </c>
      <c r="D564" s="23">
        <v>1</v>
      </c>
      <c r="E564" s="23" t="s">
        <v>1336</v>
      </c>
      <c r="F564" s="23" t="s">
        <v>1333</v>
      </c>
      <c r="G564" s="23" t="s">
        <v>1337</v>
      </c>
      <c r="H564" s="23">
        <v>1</v>
      </c>
      <c r="I564" s="23" t="s">
        <v>2354</v>
      </c>
      <c r="J564" s="23">
        <v>1</v>
      </c>
      <c r="K564" s="23" t="s">
        <v>1826</v>
      </c>
    </row>
    <row r="565" spans="1:11" ht="189">
      <c r="A565" s="23" t="s">
        <v>306</v>
      </c>
      <c r="B565" s="23" t="s">
        <v>22</v>
      </c>
      <c r="C565" s="23" t="s">
        <v>23</v>
      </c>
      <c r="D565" s="23">
        <v>1</v>
      </c>
      <c r="E565" s="23" t="s">
        <v>1338</v>
      </c>
      <c r="F565" s="23" t="s">
        <v>1333</v>
      </c>
      <c r="G565" s="23" t="s">
        <v>1339</v>
      </c>
      <c r="H565" s="23">
        <v>1</v>
      </c>
      <c r="I565" s="23" t="s">
        <v>2355</v>
      </c>
      <c r="J565" s="23">
        <v>1</v>
      </c>
      <c r="K565" s="23" t="s">
        <v>1826</v>
      </c>
    </row>
    <row r="566" spans="1:11" ht="220.5">
      <c r="A566" s="23" t="s">
        <v>306</v>
      </c>
      <c r="B566" s="23" t="s">
        <v>25</v>
      </c>
      <c r="C566" s="23" t="s">
        <v>26</v>
      </c>
      <c r="D566" s="23">
        <v>1</v>
      </c>
      <c r="E566" s="23" t="s">
        <v>1340</v>
      </c>
      <c r="F566" s="23" t="s">
        <v>1333</v>
      </c>
      <c r="G566" s="23" t="s">
        <v>1341</v>
      </c>
      <c r="H566" s="23">
        <v>1</v>
      </c>
      <c r="I566" s="23" t="s">
        <v>2356</v>
      </c>
      <c r="J566" s="23">
        <v>1</v>
      </c>
      <c r="K566" s="23" t="s">
        <v>1826</v>
      </c>
    </row>
    <row r="567" spans="1:11" ht="189">
      <c r="A567" s="23" t="s">
        <v>306</v>
      </c>
      <c r="B567" s="23" t="s">
        <v>28</v>
      </c>
      <c r="C567" s="23" t="s">
        <v>29</v>
      </c>
      <c r="D567" s="23">
        <v>1</v>
      </c>
      <c r="E567" s="23" t="s">
        <v>1342</v>
      </c>
      <c r="F567" s="23" t="s">
        <v>1333</v>
      </c>
      <c r="G567" s="23" t="s">
        <v>1343</v>
      </c>
      <c r="H567" s="23">
        <v>1</v>
      </c>
      <c r="I567" s="23" t="s">
        <v>2357</v>
      </c>
      <c r="J567" s="23">
        <v>1</v>
      </c>
      <c r="K567" s="23" t="s">
        <v>1826</v>
      </c>
    </row>
    <row r="568" spans="1:11" ht="204.75">
      <c r="A568" s="23" t="s">
        <v>306</v>
      </c>
      <c r="B568" s="23" t="s">
        <v>31</v>
      </c>
      <c r="C568" s="23" t="s">
        <v>32</v>
      </c>
      <c r="D568" s="23">
        <v>1</v>
      </c>
      <c r="E568" s="23" t="s">
        <v>1344</v>
      </c>
      <c r="F568" s="23" t="s">
        <v>1333</v>
      </c>
      <c r="G568" s="23" t="s">
        <v>1345</v>
      </c>
      <c r="H568" s="23">
        <v>1</v>
      </c>
      <c r="I568" s="23" t="s">
        <v>2358</v>
      </c>
      <c r="J568" s="23">
        <v>1</v>
      </c>
      <c r="K568" s="23" t="s">
        <v>1826</v>
      </c>
    </row>
    <row r="569" spans="1:11" ht="204.75">
      <c r="A569" s="23" t="s">
        <v>306</v>
      </c>
      <c r="B569" s="23" t="s">
        <v>34</v>
      </c>
      <c r="C569" s="23" t="s">
        <v>35</v>
      </c>
      <c r="D569" s="23">
        <v>1</v>
      </c>
      <c r="E569" s="23" t="s">
        <v>1346</v>
      </c>
      <c r="F569" s="23" t="s">
        <v>1333</v>
      </c>
      <c r="G569" s="23" t="s">
        <v>1347</v>
      </c>
      <c r="H569" s="23">
        <v>1</v>
      </c>
      <c r="I569" s="23" t="s">
        <v>2359</v>
      </c>
      <c r="J569" s="23">
        <v>1</v>
      </c>
      <c r="K569" s="23" t="s">
        <v>1826</v>
      </c>
    </row>
    <row r="570" spans="1:11" ht="173.25">
      <c r="A570" s="23" t="s">
        <v>306</v>
      </c>
      <c r="B570" s="23" t="s">
        <v>37</v>
      </c>
      <c r="C570" s="23" t="s">
        <v>38</v>
      </c>
      <c r="D570" s="23">
        <v>1</v>
      </c>
      <c r="E570" s="23" t="s">
        <v>1348</v>
      </c>
      <c r="F570" s="23" t="s">
        <v>1333</v>
      </c>
      <c r="G570" s="23" t="s">
        <v>1349</v>
      </c>
      <c r="H570" s="23">
        <v>1</v>
      </c>
      <c r="I570" s="23" t="s">
        <v>2360</v>
      </c>
      <c r="J570" s="23">
        <v>1</v>
      </c>
      <c r="K570" s="23" t="s">
        <v>1826</v>
      </c>
    </row>
    <row r="571" spans="1:11" ht="141.75">
      <c r="A571" s="26" t="s">
        <v>310</v>
      </c>
      <c r="B571" s="26" t="s">
        <v>13</v>
      </c>
      <c r="C571" s="26" t="s">
        <v>14</v>
      </c>
      <c r="D571" s="26"/>
      <c r="E571" s="26" t="s">
        <v>1350</v>
      </c>
      <c r="F571" s="26" t="s">
        <v>1351</v>
      </c>
      <c r="G571" s="26" t="s">
        <v>1352</v>
      </c>
      <c r="H571" s="23"/>
      <c r="I571" s="23" t="s">
        <v>2361</v>
      </c>
      <c r="J571" s="23"/>
      <c r="K571" s="23" t="s">
        <v>2362</v>
      </c>
    </row>
    <row r="572" spans="1:11" ht="141.75">
      <c r="A572" s="26" t="s">
        <v>310</v>
      </c>
      <c r="B572" s="26" t="s">
        <v>16</v>
      </c>
      <c r="C572" s="26" t="s">
        <v>17</v>
      </c>
      <c r="D572" s="26"/>
      <c r="E572" s="26" t="s">
        <v>1353</v>
      </c>
      <c r="F572" s="26" t="s">
        <v>1351</v>
      </c>
      <c r="G572" s="26" t="s">
        <v>1354</v>
      </c>
      <c r="H572" s="23"/>
      <c r="I572" s="23" t="s">
        <v>2361</v>
      </c>
      <c r="J572" s="23"/>
      <c r="K572" s="23" t="s">
        <v>2362</v>
      </c>
    </row>
    <row r="573" spans="1:11" ht="141.75">
      <c r="A573" s="26" t="s">
        <v>310</v>
      </c>
      <c r="B573" s="26" t="s">
        <v>19</v>
      </c>
      <c r="C573" s="26" t="s">
        <v>20</v>
      </c>
      <c r="D573" s="26"/>
      <c r="E573" s="26" t="s">
        <v>1355</v>
      </c>
      <c r="F573" s="26" t="s">
        <v>1351</v>
      </c>
      <c r="G573" s="26" t="s">
        <v>1356</v>
      </c>
      <c r="H573" s="23"/>
      <c r="I573" s="23" t="s">
        <v>2361</v>
      </c>
      <c r="J573" s="23"/>
      <c r="K573" s="23" t="s">
        <v>2362</v>
      </c>
    </row>
    <row r="574" spans="1:11" ht="141.75">
      <c r="A574" s="26" t="s">
        <v>310</v>
      </c>
      <c r="B574" s="26" t="s">
        <v>22</v>
      </c>
      <c r="C574" s="26" t="s">
        <v>23</v>
      </c>
      <c r="D574" s="26"/>
      <c r="E574" s="26" t="s">
        <v>1357</v>
      </c>
      <c r="F574" s="26" t="s">
        <v>1351</v>
      </c>
      <c r="G574" s="26" t="s">
        <v>1358</v>
      </c>
      <c r="H574" s="23"/>
      <c r="I574" s="23" t="s">
        <v>2361</v>
      </c>
      <c r="J574" s="23"/>
      <c r="K574" s="23" t="s">
        <v>2362</v>
      </c>
    </row>
    <row r="575" spans="1:11" ht="141.75">
      <c r="A575" s="26" t="s">
        <v>310</v>
      </c>
      <c r="B575" s="26" t="s">
        <v>25</v>
      </c>
      <c r="C575" s="26" t="s">
        <v>26</v>
      </c>
      <c r="D575" s="26"/>
      <c r="E575" s="26" t="s">
        <v>1359</v>
      </c>
      <c r="F575" s="26" t="s">
        <v>1351</v>
      </c>
      <c r="G575" s="26" t="s">
        <v>1360</v>
      </c>
      <c r="H575" s="23"/>
      <c r="I575" s="23" t="s">
        <v>2361</v>
      </c>
      <c r="J575" s="23"/>
      <c r="K575" s="23" t="s">
        <v>2362</v>
      </c>
    </row>
    <row r="576" spans="1:11" ht="141.75">
      <c r="A576" s="26" t="s">
        <v>310</v>
      </c>
      <c r="B576" s="26" t="s">
        <v>28</v>
      </c>
      <c r="C576" s="26" t="s">
        <v>29</v>
      </c>
      <c r="D576" s="26"/>
      <c r="E576" s="26" t="s">
        <v>1361</v>
      </c>
      <c r="F576" s="26" t="s">
        <v>1351</v>
      </c>
      <c r="G576" s="26" t="s">
        <v>1362</v>
      </c>
      <c r="H576" s="23"/>
      <c r="I576" s="23" t="s">
        <v>2361</v>
      </c>
      <c r="J576" s="23"/>
      <c r="K576" s="23" t="s">
        <v>2362</v>
      </c>
    </row>
    <row r="577" spans="1:11" ht="141.75">
      <c r="A577" s="26" t="s">
        <v>310</v>
      </c>
      <c r="B577" s="26" t="s">
        <v>31</v>
      </c>
      <c r="C577" s="26" t="s">
        <v>32</v>
      </c>
      <c r="D577" s="26"/>
      <c r="E577" s="26" t="s">
        <v>1363</v>
      </c>
      <c r="F577" s="26" t="s">
        <v>1351</v>
      </c>
      <c r="G577" s="26" t="s">
        <v>1364</v>
      </c>
      <c r="H577" s="23"/>
      <c r="I577" s="23" t="s">
        <v>2361</v>
      </c>
      <c r="J577" s="23"/>
      <c r="K577" s="23" t="s">
        <v>2362</v>
      </c>
    </row>
    <row r="578" spans="1:11" ht="141.75">
      <c r="A578" s="26" t="s">
        <v>310</v>
      </c>
      <c r="B578" s="26" t="s">
        <v>34</v>
      </c>
      <c r="C578" s="26" t="s">
        <v>35</v>
      </c>
      <c r="D578" s="26"/>
      <c r="E578" s="26" t="s">
        <v>1365</v>
      </c>
      <c r="F578" s="26" t="s">
        <v>1351</v>
      </c>
      <c r="G578" s="26" t="s">
        <v>1362</v>
      </c>
      <c r="H578" s="23"/>
      <c r="I578" s="23" t="s">
        <v>2361</v>
      </c>
      <c r="J578" s="23"/>
      <c r="K578" s="23" t="s">
        <v>2362</v>
      </c>
    </row>
    <row r="579" spans="1:11" ht="141.75">
      <c r="A579" s="26" t="s">
        <v>310</v>
      </c>
      <c r="B579" s="26" t="s">
        <v>37</v>
      </c>
      <c r="C579" s="26" t="s">
        <v>38</v>
      </c>
      <c r="D579" s="26"/>
      <c r="E579" s="26" t="s">
        <v>1366</v>
      </c>
      <c r="F579" s="26" t="s">
        <v>1351</v>
      </c>
      <c r="G579" s="26" t="s">
        <v>1367</v>
      </c>
      <c r="H579" s="23"/>
      <c r="I579" s="23" t="s">
        <v>2361</v>
      </c>
      <c r="J579" s="23"/>
      <c r="K579" s="23" t="s">
        <v>2362</v>
      </c>
    </row>
    <row r="580" spans="1:11" ht="173.25">
      <c r="A580" s="23" t="s">
        <v>315</v>
      </c>
      <c r="B580" s="23" t="s">
        <v>13</v>
      </c>
      <c r="C580" s="23" t="s">
        <v>14</v>
      </c>
      <c r="D580" s="23">
        <v>1</v>
      </c>
      <c r="E580" s="23" t="s">
        <v>1368</v>
      </c>
      <c r="F580" s="23" t="s">
        <v>1369</v>
      </c>
      <c r="G580" s="23" t="s">
        <v>1352</v>
      </c>
      <c r="H580" s="23">
        <v>1</v>
      </c>
      <c r="I580" s="23" t="s">
        <v>2363</v>
      </c>
      <c r="J580" s="23">
        <v>1</v>
      </c>
      <c r="K580" s="23" t="s">
        <v>1826</v>
      </c>
    </row>
    <row r="581" spans="1:11" ht="189">
      <c r="A581" s="23" t="s">
        <v>315</v>
      </c>
      <c r="B581" s="23" t="s">
        <v>16</v>
      </c>
      <c r="C581" s="23" t="s">
        <v>17</v>
      </c>
      <c r="D581" s="23">
        <v>1</v>
      </c>
      <c r="E581" s="23" t="s">
        <v>1370</v>
      </c>
      <c r="F581" s="23" t="s">
        <v>1369</v>
      </c>
      <c r="G581" s="23" t="s">
        <v>1367</v>
      </c>
      <c r="H581" s="23">
        <v>1</v>
      </c>
      <c r="I581" s="23" t="s">
        <v>2364</v>
      </c>
      <c r="J581" s="23">
        <v>1</v>
      </c>
      <c r="K581" s="23" t="s">
        <v>1826</v>
      </c>
    </row>
    <row r="582" spans="1:11" ht="236.25">
      <c r="A582" s="23" t="s">
        <v>315</v>
      </c>
      <c r="B582" s="23" t="s">
        <v>19</v>
      </c>
      <c r="C582" s="23" t="s">
        <v>20</v>
      </c>
      <c r="D582" s="23">
        <v>1</v>
      </c>
      <c r="E582" s="23" t="s">
        <v>1371</v>
      </c>
      <c r="F582" s="23" t="s">
        <v>1369</v>
      </c>
      <c r="G582" s="23" t="s">
        <v>1372</v>
      </c>
      <c r="H582" s="23">
        <v>1</v>
      </c>
      <c r="I582" s="23" t="s">
        <v>2365</v>
      </c>
      <c r="J582" s="23">
        <v>1</v>
      </c>
      <c r="K582" s="23" t="s">
        <v>1826</v>
      </c>
    </row>
    <row r="583" spans="1:11" ht="189">
      <c r="A583" s="23" t="s">
        <v>315</v>
      </c>
      <c r="B583" s="23" t="s">
        <v>22</v>
      </c>
      <c r="C583" s="23" t="s">
        <v>23</v>
      </c>
      <c r="D583" s="23">
        <v>1</v>
      </c>
      <c r="E583" s="23" t="s">
        <v>1373</v>
      </c>
      <c r="F583" s="23" t="s">
        <v>1369</v>
      </c>
      <c r="G583" s="23" t="s">
        <v>1372</v>
      </c>
      <c r="H583" s="23">
        <v>1</v>
      </c>
      <c r="I583" s="23" t="s">
        <v>2366</v>
      </c>
      <c r="J583" s="23">
        <v>1</v>
      </c>
      <c r="K583" s="23" t="s">
        <v>1826</v>
      </c>
    </row>
    <row r="584" spans="1:11" ht="204.75">
      <c r="A584" s="23" t="s">
        <v>315</v>
      </c>
      <c r="B584" s="23" t="s">
        <v>25</v>
      </c>
      <c r="C584" s="23" t="s">
        <v>26</v>
      </c>
      <c r="D584" s="23">
        <v>1</v>
      </c>
      <c r="E584" s="23" t="s">
        <v>1374</v>
      </c>
      <c r="F584" s="23" t="s">
        <v>1369</v>
      </c>
      <c r="G584" s="23" t="s">
        <v>1372</v>
      </c>
      <c r="H584" s="23">
        <v>1</v>
      </c>
      <c r="I584" s="23" t="s">
        <v>2367</v>
      </c>
      <c r="J584" s="23">
        <v>1</v>
      </c>
      <c r="K584" s="23" t="s">
        <v>1826</v>
      </c>
    </row>
    <row r="585" spans="1:11" ht="204.75">
      <c r="A585" s="23" t="s">
        <v>315</v>
      </c>
      <c r="B585" s="23" t="s">
        <v>28</v>
      </c>
      <c r="C585" s="23" t="s">
        <v>29</v>
      </c>
      <c r="D585" s="23">
        <v>1</v>
      </c>
      <c r="E585" s="23" t="s">
        <v>1375</v>
      </c>
      <c r="F585" s="23" t="s">
        <v>1369</v>
      </c>
      <c r="G585" s="23" t="s">
        <v>1376</v>
      </c>
      <c r="H585" s="23">
        <v>1</v>
      </c>
      <c r="I585" s="23" t="s">
        <v>2368</v>
      </c>
      <c r="J585" s="23">
        <v>1</v>
      </c>
      <c r="K585" s="23" t="s">
        <v>1826</v>
      </c>
    </row>
    <row r="586" spans="1:11" ht="236.25">
      <c r="A586" s="23" t="s">
        <v>315</v>
      </c>
      <c r="B586" s="23" t="s">
        <v>31</v>
      </c>
      <c r="C586" s="23" t="s">
        <v>32</v>
      </c>
      <c r="D586" s="23">
        <v>0.5</v>
      </c>
      <c r="E586" s="23" t="s">
        <v>1377</v>
      </c>
      <c r="F586" s="23" t="s">
        <v>1369</v>
      </c>
      <c r="G586" s="23" t="s">
        <v>1378</v>
      </c>
      <c r="H586" s="23">
        <v>0.5</v>
      </c>
      <c r="I586" s="23" t="s">
        <v>2369</v>
      </c>
      <c r="J586" s="23">
        <v>0.5</v>
      </c>
      <c r="K586" s="23" t="s">
        <v>1833</v>
      </c>
    </row>
    <row r="587" spans="1:11" ht="220.5">
      <c r="A587" s="23" t="s">
        <v>315</v>
      </c>
      <c r="B587" s="23" t="s">
        <v>34</v>
      </c>
      <c r="C587" s="23" t="s">
        <v>35</v>
      </c>
      <c r="D587" s="23">
        <v>1</v>
      </c>
      <c r="E587" s="23" t="s">
        <v>1379</v>
      </c>
      <c r="F587" s="23" t="s">
        <v>1369</v>
      </c>
      <c r="G587" s="23" t="s">
        <v>1380</v>
      </c>
      <c r="H587" s="23">
        <v>1</v>
      </c>
      <c r="I587" s="23" t="s">
        <v>2370</v>
      </c>
      <c r="J587" s="23">
        <v>1</v>
      </c>
      <c r="K587" s="23" t="s">
        <v>1826</v>
      </c>
    </row>
    <row r="588" spans="1:11" ht="267.75">
      <c r="A588" s="23" t="s">
        <v>315</v>
      </c>
      <c r="B588" s="23" t="s">
        <v>37</v>
      </c>
      <c r="C588" s="23" t="s">
        <v>38</v>
      </c>
      <c r="D588" s="23">
        <v>0.5</v>
      </c>
      <c r="E588" s="23" t="s">
        <v>1381</v>
      </c>
      <c r="F588" s="23" t="s">
        <v>1369</v>
      </c>
      <c r="G588" s="23" t="s">
        <v>1382</v>
      </c>
      <c r="H588" s="23">
        <v>0.5</v>
      </c>
      <c r="I588" s="23" t="s">
        <v>2371</v>
      </c>
      <c r="J588" s="23">
        <v>0.5</v>
      </c>
      <c r="K588" s="23" t="s">
        <v>1833</v>
      </c>
    </row>
    <row r="589" spans="1:11" ht="189">
      <c r="A589" s="23" t="s">
        <v>319</v>
      </c>
      <c r="B589" s="23" t="s">
        <v>13</v>
      </c>
      <c r="C589" s="23" t="s">
        <v>14</v>
      </c>
      <c r="D589" s="23">
        <v>1</v>
      </c>
      <c r="E589" s="23" t="s">
        <v>1383</v>
      </c>
      <c r="F589" s="23" t="s">
        <v>1384</v>
      </c>
      <c r="G589" s="23" t="s">
        <v>1352</v>
      </c>
      <c r="H589" s="23">
        <v>1</v>
      </c>
      <c r="I589" s="23" t="s">
        <v>2372</v>
      </c>
      <c r="J589" s="23">
        <v>1</v>
      </c>
      <c r="K589" s="23" t="s">
        <v>1826</v>
      </c>
    </row>
    <row r="590" spans="1:11" ht="157.5">
      <c r="A590" s="23" t="s">
        <v>319</v>
      </c>
      <c r="B590" s="23" t="s">
        <v>16</v>
      </c>
      <c r="C590" s="23" t="s">
        <v>17</v>
      </c>
      <c r="D590" s="23">
        <v>1</v>
      </c>
      <c r="E590" s="23" t="s">
        <v>1385</v>
      </c>
      <c r="F590" s="23" t="s">
        <v>1384</v>
      </c>
      <c r="G590" s="23" t="s">
        <v>1386</v>
      </c>
      <c r="H590" s="23">
        <v>1</v>
      </c>
      <c r="I590" s="23" t="s">
        <v>2373</v>
      </c>
      <c r="J590" s="23">
        <v>1</v>
      </c>
      <c r="K590" s="23" t="s">
        <v>1826</v>
      </c>
    </row>
    <row r="591" spans="1:11" ht="173.25">
      <c r="A591" s="23" t="s">
        <v>319</v>
      </c>
      <c r="B591" s="23" t="s">
        <v>19</v>
      </c>
      <c r="C591" s="23" t="s">
        <v>20</v>
      </c>
      <c r="D591" s="23">
        <v>1</v>
      </c>
      <c r="E591" s="23" t="s">
        <v>1387</v>
      </c>
      <c r="F591" s="23" t="s">
        <v>1384</v>
      </c>
      <c r="G591" s="23" t="s">
        <v>1388</v>
      </c>
      <c r="H591" s="23">
        <v>1</v>
      </c>
      <c r="I591" s="23" t="s">
        <v>2374</v>
      </c>
      <c r="J591" s="23">
        <v>1</v>
      </c>
      <c r="K591" s="23" t="s">
        <v>1826</v>
      </c>
    </row>
    <row r="592" spans="1:11" ht="236.25">
      <c r="A592" s="23" t="s">
        <v>319</v>
      </c>
      <c r="B592" s="23" t="s">
        <v>22</v>
      </c>
      <c r="C592" s="23" t="s">
        <v>23</v>
      </c>
      <c r="D592" s="23">
        <v>1</v>
      </c>
      <c r="E592" s="23" t="s">
        <v>1389</v>
      </c>
      <c r="F592" s="23" t="s">
        <v>1384</v>
      </c>
      <c r="G592" s="23" t="s">
        <v>1390</v>
      </c>
      <c r="H592" s="23">
        <v>1</v>
      </c>
      <c r="I592" s="23" t="s">
        <v>2375</v>
      </c>
      <c r="J592" s="23">
        <v>1</v>
      </c>
      <c r="K592" s="23" t="s">
        <v>1826</v>
      </c>
    </row>
    <row r="593" spans="1:11" ht="220.5">
      <c r="A593" s="23" t="s">
        <v>319</v>
      </c>
      <c r="B593" s="23" t="s">
        <v>25</v>
      </c>
      <c r="C593" s="23" t="s">
        <v>26</v>
      </c>
      <c r="D593" s="23">
        <v>1</v>
      </c>
      <c r="E593" s="23" t="s">
        <v>1391</v>
      </c>
      <c r="F593" s="23" t="s">
        <v>1384</v>
      </c>
      <c r="G593" s="23" t="s">
        <v>1388</v>
      </c>
      <c r="H593" s="23">
        <v>1</v>
      </c>
      <c r="I593" s="23" t="s">
        <v>2376</v>
      </c>
      <c r="J593" s="23">
        <v>1</v>
      </c>
      <c r="K593" s="23" t="s">
        <v>1826</v>
      </c>
    </row>
    <row r="594" spans="1:11" ht="173.25">
      <c r="A594" s="23" t="s">
        <v>319</v>
      </c>
      <c r="B594" s="23" t="s">
        <v>28</v>
      </c>
      <c r="C594" s="23" t="s">
        <v>29</v>
      </c>
      <c r="D594" s="23">
        <v>1</v>
      </c>
      <c r="E594" s="23" t="s">
        <v>1392</v>
      </c>
      <c r="F594" s="23" t="s">
        <v>1384</v>
      </c>
      <c r="G594" s="23" t="s">
        <v>1390</v>
      </c>
      <c r="H594" s="23">
        <v>1</v>
      </c>
      <c r="I594" s="23" t="s">
        <v>2377</v>
      </c>
      <c r="J594" s="23">
        <v>1</v>
      </c>
      <c r="K594" s="23" t="s">
        <v>1826</v>
      </c>
    </row>
    <row r="595" spans="1:11" ht="204.75">
      <c r="A595" s="23" t="s">
        <v>319</v>
      </c>
      <c r="B595" s="23" t="s">
        <v>31</v>
      </c>
      <c r="C595" s="23" t="s">
        <v>32</v>
      </c>
      <c r="D595" s="23">
        <v>1</v>
      </c>
      <c r="E595" s="23" t="s">
        <v>1393</v>
      </c>
      <c r="F595" s="23" t="s">
        <v>1384</v>
      </c>
      <c r="G595" s="23" t="s">
        <v>1394</v>
      </c>
      <c r="H595" s="23">
        <v>1</v>
      </c>
      <c r="I595" s="23" t="s">
        <v>2378</v>
      </c>
      <c r="J595" s="23">
        <v>1</v>
      </c>
      <c r="K595" s="23" t="s">
        <v>1826</v>
      </c>
    </row>
    <row r="596" spans="1:11" ht="189">
      <c r="A596" s="23" t="s">
        <v>319</v>
      </c>
      <c r="B596" s="23" t="s">
        <v>34</v>
      </c>
      <c r="C596" s="23" t="s">
        <v>35</v>
      </c>
      <c r="D596" s="23">
        <v>1</v>
      </c>
      <c r="E596" s="23" t="s">
        <v>1395</v>
      </c>
      <c r="F596" s="23" t="s">
        <v>1384</v>
      </c>
      <c r="G596" s="23" t="s">
        <v>1396</v>
      </c>
      <c r="H596" s="23">
        <v>1</v>
      </c>
      <c r="I596" s="23" t="s">
        <v>2379</v>
      </c>
      <c r="J596" s="23">
        <v>1</v>
      </c>
      <c r="K596" s="23" t="s">
        <v>1826</v>
      </c>
    </row>
    <row r="597" spans="1:11" ht="173.25">
      <c r="A597" s="23" t="s">
        <v>319</v>
      </c>
      <c r="B597" s="23" t="s">
        <v>37</v>
      </c>
      <c r="C597" s="23" t="s">
        <v>38</v>
      </c>
      <c r="D597" s="23">
        <v>1</v>
      </c>
      <c r="E597" s="23" t="s">
        <v>1397</v>
      </c>
      <c r="F597" s="23" t="s">
        <v>1384</v>
      </c>
      <c r="G597" s="23" t="s">
        <v>1398</v>
      </c>
      <c r="H597" s="23">
        <v>1</v>
      </c>
      <c r="I597" s="23" t="s">
        <v>2380</v>
      </c>
      <c r="J597" s="23">
        <v>1</v>
      </c>
      <c r="K597" s="23" t="s">
        <v>1826</v>
      </c>
    </row>
    <row r="598" spans="1:11" ht="189">
      <c r="A598" s="23" t="s">
        <v>323</v>
      </c>
      <c r="B598" s="23" t="s">
        <v>13</v>
      </c>
      <c r="C598" s="23" t="s">
        <v>14</v>
      </c>
      <c r="D598" s="23">
        <v>1</v>
      </c>
      <c r="E598" s="23" t="s">
        <v>1399</v>
      </c>
      <c r="F598" s="23" t="s">
        <v>1400</v>
      </c>
      <c r="G598" s="23" t="s">
        <v>1318</v>
      </c>
      <c r="H598" s="23">
        <v>1</v>
      </c>
      <c r="I598" s="23" t="s">
        <v>2381</v>
      </c>
      <c r="J598" s="23">
        <v>1</v>
      </c>
      <c r="K598" s="23" t="s">
        <v>1826</v>
      </c>
    </row>
    <row r="599" spans="1:11" ht="204.75">
      <c r="A599" s="23" t="s">
        <v>323</v>
      </c>
      <c r="B599" s="23" t="s">
        <v>16</v>
      </c>
      <c r="C599" s="23" t="s">
        <v>17</v>
      </c>
      <c r="D599" s="23">
        <v>1</v>
      </c>
      <c r="E599" s="23" t="s">
        <v>1401</v>
      </c>
      <c r="F599" s="23" t="s">
        <v>1400</v>
      </c>
      <c r="G599" s="23" t="s">
        <v>1303</v>
      </c>
      <c r="H599" s="23">
        <v>1</v>
      </c>
      <c r="I599" s="23" t="s">
        <v>2382</v>
      </c>
      <c r="J599" s="23">
        <v>1</v>
      </c>
      <c r="K599" s="23" t="s">
        <v>1826</v>
      </c>
    </row>
    <row r="600" spans="1:11" ht="204.75">
      <c r="A600" s="23" t="s">
        <v>323</v>
      </c>
      <c r="B600" s="23" t="s">
        <v>19</v>
      </c>
      <c r="C600" s="23" t="s">
        <v>20</v>
      </c>
      <c r="D600" s="23">
        <v>1</v>
      </c>
      <c r="E600" s="23" t="s">
        <v>1402</v>
      </c>
      <c r="F600" s="23" t="s">
        <v>1400</v>
      </c>
      <c r="G600" s="23" t="s">
        <v>1309</v>
      </c>
      <c r="H600" s="23">
        <v>1</v>
      </c>
      <c r="I600" s="23" t="s">
        <v>2383</v>
      </c>
      <c r="J600" s="23">
        <v>1</v>
      </c>
      <c r="K600" s="23" t="s">
        <v>1826</v>
      </c>
    </row>
    <row r="601" spans="1:11" ht="220.5">
      <c r="A601" s="23" t="s">
        <v>323</v>
      </c>
      <c r="B601" s="23" t="s">
        <v>22</v>
      </c>
      <c r="C601" s="23" t="s">
        <v>23</v>
      </c>
      <c r="D601" s="23">
        <v>1</v>
      </c>
      <c r="E601" s="23" t="s">
        <v>1403</v>
      </c>
      <c r="F601" s="23" t="s">
        <v>1400</v>
      </c>
      <c r="G601" s="23" t="s">
        <v>1404</v>
      </c>
      <c r="H601" s="23">
        <v>1</v>
      </c>
      <c r="I601" s="23" t="s">
        <v>2384</v>
      </c>
      <c r="J601" s="23">
        <v>1</v>
      </c>
      <c r="K601" s="23" t="s">
        <v>1826</v>
      </c>
    </row>
    <row r="602" spans="1:11" ht="189">
      <c r="A602" s="23" t="s">
        <v>323</v>
      </c>
      <c r="B602" s="23" t="s">
        <v>25</v>
      </c>
      <c r="C602" s="23" t="s">
        <v>26</v>
      </c>
      <c r="D602" s="23">
        <v>1</v>
      </c>
      <c r="E602" s="23" t="s">
        <v>1405</v>
      </c>
      <c r="F602" s="23" t="s">
        <v>1400</v>
      </c>
      <c r="G602" s="23" t="s">
        <v>1309</v>
      </c>
      <c r="H602" s="23">
        <v>1</v>
      </c>
      <c r="I602" s="23" t="s">
        <v>2385</v>
      </c>
      <c r="J602" s="23">
        <v>1</v>
      </c>
      <c r="K602" s="23" t="s">
        <v>1826</v>
      </c>
    </row>
    <row r="603" spans="1:11" ht="204.75">
      <c r="A603" s="23" t="s">
        <v>323</v>
      </c>
      <c r="B603" s="23" t="s">
        <v>28</v>
      </c>
      <c r="C603" s="23" t="s">
        <v>29</v>
      </c>
      <c r="D603" s="23">
        <v>1</v>
      </c>
      <c r="E603" s="23" t="s">
        <v>1406</v>
      </c>
      <c r="F603" s="23" t="s">
        <v>1400</v>
      </c>
      <c r="G603" s="23" t="s">
        <v>1407</v>
      </c>
      <c r="H603" s="23">
        <v>1</v>
      </c>
      <c r="I603" s="23" t="s">
        <v>2386</v>
      </c>
      <c r="J603" s="23">
        <v>1</v>
      </c>
      <c r="K603" s="23" t="s">
        <v>1826</v>
      </c>
    </row>
    <row r="604" spans="1:11" ht="204.75">
      <c r="A604" s="23" t="s">
        <v>323</v>
      </c>
      <c r="B604" s="23" t="s">
        <v>31</v>
      </c>
      <c r="C604" s="23" t="s">
        <v>32</v>
      </c>
      <c r="D604" s="23">
        <v>1</v>
      </c>
      <c r="E604" s="23" t="s">
        <v>1408</v>
      </c>
      <c r="F604" s="23" t="s">
        <v>1400</v>
      </c>
      <c r="G604" s="23" t="s">
        <v>1409</v>
      </c>
      <c r="H604" s="23">
        <v>1</v>
      </c>
      <c r="I604" s="23" t="s">
        <v>2387</v>
      </c>
      <c r="J604" s="23">
        <v>1</v>
      </c>
      <c r="K604" s="23" t="s">
        <v>1826</v>
      </c>
    </row>
    <row r="605" spans="1:11" ht="189">
      <c r="A605" s="23" t="s">
        <v>323</v>
      </c>
      <c r="B605" s="23" t="s">
        <v>34</v>
      </c>
      <c r="C605" s="23" t="s">
        <v>35</v>
      </c>
      <c r="D605" s="23">
        <v>1</v>
      </c>
      <c r="E605" s="23" t="s">
        <v>1410</v>
      </c>
      <c r="F605" s="23" t="s">
        <v>1400</v>
      </c>
      <c r="G605" s="23" t="s">
        <v>1411</v>
      </c>
      <c r="H605" s="23">
        <v>1</v>
      </c>
      <c r="I605" s="23" t="s">
        <v>2388</v>
      </c>
      <c r="J605" s="23">
        <v>1</v>
      </c>
      <c r="K605" s="23" t="s">
        <v>1826</v>
      </c>
    </row>
    <row r="606" spans="1:11" ht="252">
      <c r="A606" s="23" t="s">
        <v>323</v>
      </c>
      <c r="B606" s="23" t="s">
        <v>37</v>
      </c>
      <c r="C606" s="23" t="s">
        <v>38</v>
      </c>
      <c r="D606" s="23">
        <v>0.5</v>
      </c>
      <c r="E606" s="23" t="s">
        <v>1412</v>
      </c>
      <c r="F606" s="23" t="s">
        <v>1400</v>
      </c>
      <c r="G606" s="23" t="s">
        <v>916</v>
      </c>
      <c r="H606" s="23">
        <v>0.5</v>
      </c>
      <c r="I606" s="23" t="s">
        <v>2389</v>
      </c>
      <c r="J606" s="23">
        <v>0.5</v>
      </c>
      <c r="K606" s="23" t="s">
        <v>1833</v>
      </c>
    </row>
    <row r="607" spans="1:11" ht="173.25">
      <c r="A607" s="23" t="s">
        <v>327</v>
      </c>
      <c r="B607" s="23" t="s">
        <v>13</v>
      </c>
      <c r="C607" s="23" t="s">
        <v>14</v>
      </c>
      <c r="D607" s="23">
        <v>1</v>
      </c>
      <c r="E607" s="23" t="s">
        <v>1413</v>
      </c>
      <c r="F607" s="23" t="s">
        <v>1414</v>
      </c>
      <c r="G607" s="23" t="s">
        <v>1318</v>
      </c>
      <c r="H607" s="23">
        <v>1</v>
      </c>
      <c r="I607" s="23" t="s">
        <v>2390</v>
      </c>
      <c r="J607" s="23">
        <v>1</v>
      </c>
      <c r="K607" s="23" t="s">
        <v>1826</v>
      </c>
    </row>
    <row r="608" spans="1:11" ht="189">
      <c r="A608" s="23" t="s">
        <v>327</v>
      </c>
      <c r="B608" s="23" t="s">
        <v>16</v>
      </c>
      <c r="C608" s="23" t="s">
        <v>17</v>
      </c>
      <c r="D608" s="23">
        <v>1</v>
      </c>
      <c r="E608" s="23" t="s">
        <v>1415</v>
      </c>
      <c r="F608" s="23" t="s">
        <v>1414</v>
      </c>
      <c r="G608" s="23" t="s">
        <v>1416</v>
      </c>
      <c r="H608" s="23">
        <v>1</v>
      </c>
      <c r="I608" s="23" t="s">
        <v>2391</v>
      </c>
      <c r="J608" s="23">
        <v>1</v>
      </c>
      <c r="K608" s="23" t="s">
        <v>1826</v>
      </c>
    </row>
    <row r="609" spans="1:11" ht="173.25">
      <c r="A609" s="23" t="s">
        <v>327</v>
      </c>
      <c r="B609" s="23" t="s">
        <v>19</v>
      </c>
      <c r="C609" s="23" t="s">
        <v>20</v>
      </c>
      <c r="D609" s="23">
        <v>1</v>
      </c>
      <c r="E609" s="23" t="s">
        <v>1417</v>
      </c>
      <c r="F609" s="23" t="s">
        <v>1414</v>
      </c>
      <c r="G609" s="23" t="s">
        <v>1416</v>
      </c>
      <c r="H609" s="23">
        <v>1</v>
      </c>
      <c r="I609" s="23" t="s">
        <v>2392</v>
      </c>
      <c r="J609" s="23">
        <v>1</v>
      </c>
      <c r="K609" s="23" t="s">
        <v>1826</v>
      </c>
    </row>
    <row r="610" spans="1:11" ht="204.75">
      <c r="A610" s="23" t="s">
        <v>327</v>
      </c>
      <c r="B610" s="23" t="s">
        <v>22</v>
      </c>
      <c r="C610" s="23" t="s">
        <v>23</v>
      </c>
      <c r="D610" s="23">
        <v>1</v>
      </c>
      <c r="E610" s="23" t="s">
        <v>1418</v>
      </c>
      <c r="F610" s="23" t="s">
        <v>1414</v>
      </c>
      <c r="G610" s="23" t="s">
        <v>1322</v>
      </c>
      <c r="H610" s="23">
        <v>1</v>
      </c>
      <c r="I610" s="23" t="s">
        <v>2393</v>
      </c>
      <c r="J610" s="23">
        <v>1</v>
      </c>
      <c r="K610" s="23" t="s">
        <v>1826</v>
      </c>
    </row>
    <row r="611" spans="1:11" ht="252">
      <c r="A611" s="23" t="s">
        <v>327</v>
      </c>
      <c r="B611" s="23" t="s">
        <v>25</v>
      </c>
      <c r="C611" s="23" t="s">
        <v>26</v>
      </c>
      <c r="D611" s="23">
        <v>0.5</v>
      </c>
      <c r="E611" s="23" t="s">
        <v>1419</v>
      </c>
      <c r="F611" s="23" t="s">
        <v>1414</v>
      </c>
      <c r="G611" s="23" t="s">
        <v>1420</v>
      </c>
      <c r="H611" s="23">
        <v>0.5</v>
      </c>
      <c r="I611" s="23" t="s">
        <v>2394</v>
      </c>
      <c r="J611" s="23">
        <v>0.5</v>
      </c>
      <c r="K611" s="23" t="s">
        <v>1833</v>
      </c>
    </row>
    <row r="612" spans="1:11" ht="157.5">
      <c r="A612" s="23" t="s">
        <v>327</v>
      </c>
      <c r="B612" s="23" t="s">
        <v>28</v>
      </c>
      <c r="C612" s="23" t="s">
        <v>29</v>
      </c>
      <c r="D612" s="23">
        <v>1</v>
      </c>
      <c r="E612" s="23" t="s">
        <v>1421</v>
      </c>
      <c r="F612" s="23" t="s">
        <v>1414</v>
      </c>
      <c r="G612" s="23" t="s">
        <v>1420</v>
      </c>
      <c r="H612" s="23">
        <v>1</v>
      </c>
      <c r="I612" s="23" t="s">
        <v>2395</v>
      </c>
      <c r="J612" s="23">
        <v>1</v>
      </c>
      <c r="K612" s="23" t="s">
        <v>1826</v>
      </c>
    </row>
    <row r="613" spans="1:11" ht="157.5">
      <c r="A613" s="23" t="s">
        <v>327</v>
      </c>
      <c r="B613" s="23" t="s">
        <v>31</v>
      </c>
      <c r="C613" s="23" t="s">
        <v>32</v>
      </c>
      <c r="D613" s="23">
        <v>0</v>
      </c>
      <c r="E613" s="23" t="s">
        <v>1422</v>
      </c>
      <c r="F613" s="23" t="s">
        <v>1414</v>
      </c>
      <c r="G613" s="23" t="s">
        <v>916</v>
      </c>
      <c r="H613" s="23">
        <v>0</v>
      </c>
      <c r="I613" s="23" t="s">
        <v>2396</v>
      </c>
      <c r="J613" s="23">
        <v>0</v>
      </c>
      <c r="K613" s="23" t="s">
        <v>2093</v>
      </c>
    </row>
    <row r="614" spans="1:11" ht="220.5">
      <c r="A614" s="23" t="s">
        <v>327</v>
      </c>
      <c r="B614" s="23" t="s">
        <v>34</v>
      </c>
      <c r="C614" s="23" t="s">
        <v>35</v>
      </c>
      <c r="D614" s="23">
        <v>0.5</v>
      </c>
      <c r="E614" s="23" t="s">
        <v>1423</v>
      </c>
      <c r="F614" s="23" t="s">
        <v>1414</v>
      </c>
      <c r="G614" s="23" t="s">
        <v>1335</v>
      </c>
      <c r="H614" s="23">
        <v>0.5</v>
      </c>
      <c r="I614" s="23" t="s">
        <v>2397</v>
      </c>
      <c r="J614" s="23">
        <v>0.5</v>
      </c>
      <c r="K614" s="23" t="s">
        <v>1833</v>
      </c>
    </row>
    <row r="615" spans="1:11" ht="236.25">
      <c r="A615" s="23" t="s">
        <v>327</v>
      </c>
      <c r="B615" s="23" t="s">
        <v>37</v>
      </c>
      <c r="C615" s="23" t="s">
        <v>38</v>
      </c>
      <c r="D615" s="23">
        <v>0.5</v>
      </c>
      <c r="E615" s="23" t="s">
        <v>1424</v>
      </c>
      <c r="F615" s="23" t="s">
        <v>1414</v>
      </c>
      <c r="G615" s="23" t="s">
        <v>1416</v>
      </c>
      <c r="H615" s="23">
        <v>0.5</v>
      </c>
      <c r="I615" s="23" t="s">
        <v>2398</v>
      </c>
      <c r="J615" s="23">
        <v>0.5</v>
      </c>
      <c r="K615" s="23" t="s">
        <v>1833</v>
      </c>
    </row>
    <row r="616" spans="1:11" ht="157.5">
      <c r="A616" s="23" t="s">
        <v>331</v>
      </c>
      <c r="B616" s="23" t="s">
        <v>13</v>
      </c>
      <c r="C616" s="23" t="s">
        <v>14</v>
      </c>
      <c r="D616" s="23">
        <v>1</v>
      </c>
      <c r="E616" s="23" t="s">
        <v>1425</v>
      </c>
      <c r="F616" s="23" t="s">
        <v>1426</v>
      </c>
      <c r="G616" s="23" t="s">
        <v>1352</v>
      </c>
      <c r="H616" s="23">
        <v>1</v>
      </c>
      <c r="I616" s="23" t="s">
        <v>2399</v>
      </c>
      <c r="J616" s="23">
        <v>1</v>
      </c>
      <c r="K616" s="23" t="s">
        <v>1826</v>
      </c>
    </row>
    <row r="617" spans="1:11" ht="189">
      <c r="A617" s="23" t="s">
        <v>331</v>
      </c>
      <c r="B617" s="23" t="s">
        <v>16</v>
      </c>
      <c r="C617" s="23" t="s">
        <v>17</v>
      </c>
      <c r="D617" s="23">
        <v>1</v>
      </c>
      <c r="E617" s="23" t="s">
        <v>1427</v>
      </c>
      <c r="F617" s="23" t="s">
        <v>1426</v>
      </c>
      <c r="G617" s="23" t="s">
        <v>1367</v>
      </c>
      <c r="H617" s="23">
        <v>1</v>
      </c>
      <c r="I617" s="23" t="s">
        <v>2400</v>
      </c>
      <c r="J617" s="23">
        <v>1</v>
      </c>
      <c r="K617" s="23" t="s">
        <v>1826</v>
      </c>
    </row>
    <row r="618" spans="1:11" ht="189">
      <c r="A618" s="23" t="s">
        <v>331</v>
      </c>
      <c r="B618" s="23" t="s">
        <v>19</v>
      </c>
      <c r="C618" s="23" t="s">
        <v>20</v>
      </c>
      <c r="D618" s="23">
        <v>1</v>
      </c>
      <c r="E618" s="23" t="s">
        <v>1428</v>
      </c>
      <c r="F618" s="23" t="s">
        <v>1426</v>
      </c>
      <c r="G618" s="23" t="s">
        <v>1362</v>
      </c>
      <c r="H618" s="23">
        <v>1</v>
      </c>
      <c r="I618" s="23" t="s">
        <v>2401</v>
      </c>
      <c r="J618" s="23">
        <v>1</v>
      </c>
      <c r="K618" s="23" t="s">
        <v>1826</v>
      </c>
    </row>
    <row r="619" spans="1:11" ht="189">
      <c r="A619" s="23" t="s">
        <v>331</v>
      </c>
      <c r="B619" s="23" t="s">
        <v>22</v>
      </c>
      <c r="C619" s="23" t="s">
        <v>23</v>
      </c>
      <c r="D619" s="23">
        <v>1</v>
      </c>
      <c r="E619" s="23" t="s">
        <v>1429</v>
      </c>
      <c r="F619" s="23" t="s">
        <v>1426</v>
      </c>
      <c r="G619" s="23" t="s">
        <v>1430</v>
      </c>
      <c r="H619" s="23">
        <v>1</v>
      </c>
      <c r="I619" s="23" t="s">
        <v>2402</v>
      </c>
      <c r="J619" s="23">
        <v>1</v>
      </c>
      <c r="K619" s="23" t="s">
        <v>1826</v>
      </c>
    </row>
    <row r="620" spans="1:11" ht="189">
      <c r="A620" s="23" t="s">
        <v>331</v>
      </c>
      <c r="B620" s="23" t="s">
        <v>25</v>
      </c>
      <c r="C620" s="23" t="s">
        <v>26</v>
      </c>
      <c r="D620" s="23">
        <v>1</v>
      </c>
      <c r="E620" s="23" t="s">
        <v>1431</v>
      </c>
      <c r="F620" s="23" t="s">
        <v>1426</v>
      </c>
      <c r="G620" s="23" t="s">
        <v>1372</v>
      </c>
      <c r="H620" s="23">
        <v>1</v>
      </c>
      <c r="I620" s="23" t="s">
        <v>2403</v>
      </c>
      <c r="J620" s="23">
        <v>1</v>
      </c>
      <c r="K620" s="23" t="s">
        <v>1826</v>
      </c>
    </row>
    <row r="621" spans="1:11" ht="189">
      <c r="A621" s="23" t="s">
        <v>331</v>
      </c>
      <c r="B621" s="23" t="s">
        <v>28</v>
      </c>
      <c r="C621" s="23" t="s">
        <v>29</v>
      </c>
      <c r="D621" s="23">
        <v>1</v>
      </c>
      <c r="E621" s="23" t="s">
        <v>1432</v>
      </c>
      <c r="F621" s="23" t="s">
        <v>1426</v>
      </c>
      <c r="G621" s="23" t="s">
        <v>1380</v>
      </c>
      <c r="H621" s="23">
        <v>1</v>
      </c>
      <c r="I621" s="23" t="s">
        <v>2404</v>
      </c>
      <c r="J621" s="23">
        <v>1</v>
      </c>
      <c r="K621" s="23" t="s">
        <v>1826</v>
      </c>
    </row>
    <row r="622" spans="1:11" ht="204.75">
      <c r="A622" s="23" t="s">
        <v>331</v>
      </c>
      <c r="B622" s="23" t="s">
        <v>31</v>
      </c>
      <c r="C622" s="23" t="s">
        <v>32</v>
      </c>
      <c r="D622" s="23">
        <v>1</v>
      </c>
      <c r="E622" s="23" t="s">
        <v>1433</v>
      </c>
      <c r="F622" s="23" t="s">
        <v>1426</v>
      </c>
      <c r="G622" s="23" t="s">
        <v>1434</v>
      </c>
      <c r="H622" s="23">
        <v>1</v>
      </c>
      <c r="I622" s="23" t="s">
        <v>2405</v>
      </c>
      <c r="J622" s="23">
        <v>1</v>
      </c>
      <c r="K622" s="23" t="s">
        <v>1826</v>
      </c>
    </row>
    <row r="623" spans="1:11" ht="189">
      <c r="A623" s="23" t="s">
        <v>331</v>
      </c>
      <c r="B623" s="23" t="s">
        <v>34</v>
      </c>
      <c r="C623" s="23" t="s">
        <v>35</v>
      </c>
      <c r="D623" s="23">
        <v>1</v>
      </c>
      <c r="E623" s="23" t="s">
        <v>1435</v>
      </c>
      <c r="F623" s="23" t="s">
        <v>1426</v>
      </c>
      <c r="G623" s="23" t="s">
        <v>1436</v>
      </c>
      <c r="H623" s="23">
        <v>1</v>
      </c>
      <c r="I623" s="23" t="s">
        <v>2406</v>
      </c>
      <c r="J623" s="23">
        <v>1</v>
      </c>
      <c r="K623" s="23" t="s">
        <v>1826</v>
      </c>
    </row>
    <row r="624" spans="1:11" ht="204.75">
      <c r="A624" s="23" t="s">
        <v>331</v>
      </c>
      <c r="B624" s="23" t="s">
        <v>37</v>
      </c>
      <c r="C624" s="23" t="s">
        <v>38</v>
      </c>
      <c r="D624" s="23">
        <v>1</v>
      </c>
      <c r="E624" s="23" t="s">
        <v>1437</v>
      </c>
      <c r="F624" s="23" t="s">
        <v>1426</v>
      </c>
      <c r="G624" s="23" t="s">
        <v>1438</v>
      </c>
      <c r="H624" s="23">
        <v>1</v>
      </c>
      <c r="I624" s="23" t="s">
        <v>2407</v>
      </c>
      <c r="J624" s="23">
        <v>1</v>
      </c>
      <c r="K624" s="23" t="s">
        <v>1826</v>
      </c>
    </row>
    <row r="625" spans="1:11" ht="157.5">
      <c r="A625" s="23" t="s">
        <v>335</v>
      </c>
      <c r="B625" s="23" t="s">
        <v>13</v>
      </c>
      <c r="C625" s="23" t="s">
        <v>14</v>
      </c>
      <c r="D625" s="23">
        <v>1</v>
      </c>
      <c r="E625" s="23" t="s">
        <v>1439</v>
      </c>
      <c r="F625" s="23" t="s">
        <v>1440</v>
      </c>
      <c r="G625" s="23" t="s">
        <v>1318</v>
      </c>
      <c r="H625" s="23">
        <v>1</v>
      </c>
      <c r="I625" s="23" t="s">
        <v>2408</v>
      </c>
      <c r="J625" s="23">
        <v>1</v>
      </c>
      <c r="K625" s="23" t="s">
        <v>1826</v>
      </c>
    </row>
    <row r="626" spans="1:11" ht="173.25">
      <c r="A626" s="23" t="s">
        <v>335</v>
      </c>
      <c r="B626" s="23" t="s">
        <v>16</v>
      </c>
      <c r="C626" s="23" t="s">
        <v>17</v>
      </c>
      <c r="D626" s="23">
        <v>1</v>
      </c>
      <c r="E626" s="23" t="s">
        <v>1441</v>
      </c>
      <c r="F626" s="23" t="s">
        <v>1440</v>
      </c>
      <c r="G626" s="23" t="s">
        <v>1442</v>
      </c>
      <c r="H626" s="23">
        <v>1</v>
      </c>
      <c r="I626" s="23" t="s">
        <v>2409</v>
      </c>
      <c r="J626" s="23">
        <v>1</v>
      </c>
      <c r="K626" s="23" t="s">
        <v>1826</v>
      </c>
    </row>
    <row r="627" spans="1:11" ht="189">
      <c r="A627" s="23" t="s">
        <v>335</v>
      </c>
      <c r="B627" s="23" t="s">
        <v>19</v>
      </c>
      <c r="C627" s="23" t="s">
        <v>20</v>
      </c>
      <c r="D627" s="23">
        <v>1</v>
      </c>
      <c r="E627" s="23" t="s">
        <v>1443</v>
      </c>
      <c r="F627" s="23" t="s">
        <v>1440</v>
      </c>
      <c r="G627" s="23" t="s">
        <v>1444</v>
      </c>
      <c r="H627" s="23">
        <v>1</v>
      </c>
      <c r="I627" s="23" t="s">
        <v>2410</v>
      </c>
      <c r="J627" s="23">
        <v>1</v>
      </c>
      <c r="K627" s="23" t="s">
        <v>1826</v>
      </c>
    </row>
    <row r="628" spans="1:11" ht="189">
      <c r="A628" s="23" t="s">
        <v>335</v>
      </c>
      <c r="B628" s="23" t="s">
        <v>22</v>
      </c>
      <c r="C628" s="23" t="s">
        <v>23</v>
      </c>
      <c r="D628" s="23">
        <v>1</v>
      </c>
      <c r="E628" s="23" t="s">
        <v>1445</v>
      </c>
      <c r="F628" s="23" t="s">
        <v>1440</v>
      </c>
      <c r="G628" s="23" t="s">
        <v>1446</v>
      </c>
      <c r="H628" s="23">
        <v>1</v>
      </c>
      <c r="I628" s="23" t="s">
        <v>2411</v>
      </c>
      <c r="J628" s="23">
        <v>1</v>
      </c>
      <c r="K628" s="23" t="s">
        <v>1826</v>
      </c>
    </row>
    <row r="629" spans="1:11" ht="189">
      <c r="A629" s="23" t="s">
        <v>335</v>
      </c>
      <c r="B629" s="23" t="s">
        <v>25</v>
      </c>
      <c r="C629" s="23" t="s">
        <v>26</v>
      </c>
      <c r="D629" s="23">
        <v>1</v>
      </c>
      <c r="E629" s="23" t="s">
        <v>1447</v>
      </c>
      <c r="F629" s="23" t="s">
        <v>1440</v>
      </c>
      <c r="G629" s="23" t="s">
        <v>1420</v>
      </c>
      <c r="H629" s="23">
        <v>1</v>
      </c>
      <c r="I629" s="23" t="s">
        <v>2412</v>
      </c>
      <c r="J629" s="23">
        <v>1</v>
      </c>
      <c r="K629" s="23" t="s">
        <v>1826</v>
      </c>
    </row>
    <row r="630" spans="1:11" ht="173.25">
      <c r="A630" s="23" t="s">
        <v>335</v>
      </c>
      <c r="B630" s="23" t="s">
        <v>28</v>
      </c>
      <c r="C630" s="23" t="s">
        <v>29</v>
      </c>
      <c r="D630" s="23">
        <v>1</v>
      </c>
      <c r="E630" s="23" t="s">
        <v>1448</v>
      </c>
      <c r="F630" s="23" t="s">
        <v>1440</v>
      </c>
      <c r="G630" s="23" t="s">
        <v>1449</v>
      </c>
      <c r="H630" s="23">
        <v>1</v>
      </c>
      <c r="I630" s="23" t="s">
        <v>2413</v>
      </c>
      <c r="J630" s="23">
        <v>1</v>
      </c>
      <c r="K630" s="23" t="s">
        <v>1826</v>
      </c>
    </row>
    <row r="631" spans="1:11" ht="157.5">
      <c r="A631" s="23" t="s">
        <v>335</v>
      </c>
      <c r="B631" s="23" t="s">
        <v>31</v>
      </c>
      <c r="C631" s="23" t="s">
        <v>32</v>
      </c>
      <c r="D631" s="23">
        <v>1</v>
      </c>
      <c r="E631" s="23" t="s">
        <v>1450</v>
      </c>
      <c r="F631" s="23" t="s">
        <v>1440</v>
      </c>
      <c r="G631" s="23" t="s">
        <v>1451</v>
      </c>
      <c r="H631" s="23">
        <v>1</v>
      </c>
      <c r="I631" s="23" t="s">
        <v>2414</v>
      </c>
      <c r="J631" s="23">
        <v>1</v>
      </c>
      <c r="K631" s="23" t="s">
        <v>1826</v>
      </c>
    </row>
    <row r="632" spans="1:11" ht="252">
      <c r="A632" s="23" t="s">
        <v>335</v>
      </c>
      <c r="B632" s="23" t="s">
        <v>34</v>
      </c>
      <c r="C632" s="23" t="s">
        <v>35</v>
      </c>
      <c r="D632" s="23">
        <v>0.5</v>
      </c>
      <c r="E632" s="23" t="s">
        <v>1452</v>
      </c>
      <c r="F632" s="23" t="s">
        <v>1440</v>
      </c>
      <c r="G632" s="23" t="s">
        <v>1453</v>
      </c>
      <c r="H632" s="23">
        <v>0.5</v>
      </c>
      <c r="I632" s="23" t="s">
        <v>2415</v>
      </c>
      <c r="J632" s="23">
        <v>0.5</v>
      </c>
      <c r="K632" s="23" t="s">
        <v>1833</v>
      </c>
    </row>
    <row r="633" spans="1:11" ht="189">
      <c r="A633" s="23" t="s">
        <v>335</v>
      </c>
      <c r="B633" s="23" t="s">
        <v>37</v>
      </c>
      <c r="C633" s="23" t="s">
        <v>38</v>
      </c>
      <c r="D633" s="23">
        <v>1</v>
      </c>
      <c r="E633" s="23" t="s">
        <v>1454</v>
      </c>
      <c r="F633" s="23" t="s">
        <v>1440</v>
      </c>
      <c r="G633" s="23" t="s">
        <v>1455</v>
      </c>
      <c r="H633" s="23">
        <v>1</v>
      </c>
      <c r="I633" s="23" t="s">
        <v>2416</v>
      </c>
      <c r="J633" s="23">
        <v>1</v>
      </c>
      <c r="K633" s="23" t="s">
        <v>1826</v>
      </c>
    </row>
    <row r="634" spans="1:11" ht="157.5">
      <c r="A634" s="23" t="s">
        <v>339</v>
      </c>
      <c r="B634" s="23" t="s">
        <v>13</v>
      </c>
      <c r="C634" s="23" t="s">
        <v>14</v>
      </c>
      <c r="D634" s="23">
        <v>1</v>
      </c>
      <c r="E634" s="23" t="s">
        <v>1456</v>
      </c>
      <c r="F634" s="23" t="s">
        <v>1457</v>
      </c>
      <c r="G634" s="23" t="s">
        <v>1318</v>
      </c>
      <c r="H634" s="23">
        <v>1</v>
      </c>
      <c r="I634" s="23" t="s">
        <v>2417</v>
      </c>
      <c r="J634" s="23">
        <v>1</v>
      </c>
      <c r="K634" s="23" t="s">
        <v>1826</v>
      </c>
    </row>
    <row r="635" spans="1:11" ht="173.25">
      <c r="A635" s="23" t="s">
        <v>339</v>
      </c>
      <c r="B635" s="23" t="s">
        <v>16</v>
      </c>
      <c r="C635" s="23" t="s">
        <v>17</v>
      </c>
      <c r="D635" s="23">
        <v>1</v>
      </c>
      <c r="E635" s="23" t="s">
        <v>1458</v>
      </c>
      <c r="F635" s="23" t="s">
        <v>1457</v>
      </c>
      <c r="G635" s="23" t="s">
        <v>1459</v>
      </c>
      <c r="H635" s="23">
        <v>1</v>
      </c>
      <c r="I635" s="23" t="s">
        <v>2418</v>
      </c>
      <c r="J635" s="23">
        <v>1</v>
      </c>
      <c r="K635" s="23" t="s">
        <v>1826</v>
      </c>
    </row>
    <row r="636" spans="1:11" ht="204.75">
      <c r="A636" s="23" t="s">
        <v>339</v>
      </c>
      <c r="B636" s="23" t="s">
        <v>19</v>
      </c>
      <c r="C636" s="23" t="s">
        <v>20</v>
      </c>
      <c r="D636" s="23">
        <v>1</v>
      </c>
      <c r="E636" s="23" t="s">
        <v>1460</v>
      </c>
      <c r="F636" s="23" t="s">
        <v>1457</v>
      </c>
      <c r="G636" s="23" t="s">
        <v>1461</v>
      </c>
      <c r="H636" s="23">
        <v>1</v>
      </c>
      <c r="I636" s="23" t="s">
        <v>2419</v>
      </c>
      <c r="J636" s="23">
        <v>1</v>
      </c>
      <c r="K636" s="23" t="s">
        <v>1826</v>
      </c>
    </row>
    <row r="637" spans="1:11" ht="204.75">
      <c r="A637" s="23" t="s">
        <v>339</v>
      </c>
      <c r="B637" s="23" t="s">
        <v>22</v>
      </c>
      <c r="C637" s="23" t="s">
        <v>23</v>
      </c>
      <c r="D637" s="23">
        <v>1</v>
      </c>
      <c r="E637" s="23" t="s">
        <v>1462</v>
      </c>
      <c r="F637" s="23" t="s">
        <v>1457</v>
      </c>
      <c r="G637" s="23" t="s">
        <v>1463</v>
      </c>
      <c r="H637" s="23">
        <v>1</v>
      </c>
      <c r="I637" s="23" t="s">
        <v>2420</v>
      </c>
      <c r="J637" s="23">
        <v>1</v>
      </c>
      <c r="K637" s="23" t="s">
        <v>1826</v>
      </c>
    </row>
    <row r="638" spans="1:11" ht="173.25">
      <c r="A638" s="23" t="s">
        <v>339</v>
      </c>
      <c r="B638" s="23" t="s">
        <v>25</v>
      </c>
      <c r="C638" s="23" t="s">
        <v>26</v>
      </c>
      <c r="D638" s="23">
        <v>1</v>
      </c>
      <c r="E638" s="23" t="s">
        <v>1464</v>
      </c>
      <c r="F638" s="23" t="s">
        <v>1457</v>
      </c>
      <c r="G638" s="23" t="s">
        <v>1451</v>
      </c>
      <c r="H638" s="23">
        <v>1</v>
      </c>
      <c r="I638" s="23" t="s">
        <v>2421</v>
      </c>
      <c r="J638" s="23">
        <v>1</v>
      </c>
      <c r="K638" s="23" t="s">
        <v>1826</v>
      </c>
    </row>
    <row r="639" spans="1:11" ht="204.75">
      <c r="A639" s="23" t="s">
        <v>339</v>
      </c>
      <c r="B639" s="23" t="s">
        <v>28</v>
      </c>
      <c r="C639" s="23" t="s">
        <v>29</v>
      </c>
      <c r="D639" s="23">
        <v>1</v>
      </c>
      <c r="E639" s="23" t="s">
        <v>1465</v>
      </c>
      <c r="F639" s="23" t="s">
        <v>1457</v>
      </c>
      <c r="G639" s="23" t="s">
        <v>1466</v>
      </c>
      <c r="H639" s="23">
        <v>1</v>
      </c>
      <c r="I639" s="23" t="s">
        <v>2422</v>
      </c>
      <c r="J639" s="23">
        <v>1</v>
      </c>
      <c r="K639" s="23" t="s">
        <v>1826</v>
      </c>
    </row>
    <row r="640" spans="1:11" ht="189">
      <c r="A640" s="23" t="s">
        <v>339</v>
      </c>
      <c r="B640" s="23" t="s">
        <v>31</v>
      </c>
      <c r="C640" s="23" t="s">
        <v>32</v>
      </c>
      <c r="D640" s="23">
        <v>1</v>
      </c>
      <c r="E640" s="23" t="s">
        <v>1467</v>
      </c>
      <c r="F640" s="23" t="s">
        <v>1457</v>
      </c>
      <c r="G640" s="23" t="s">
        <v>1468</v>
      </c>
      <c r="H640" s="23">
        <v>1</v>
      </c>
      <c r="I640" s="23" t="s">
        <v>2423</v>
      </c>
      <c r="J640" s="23">
        <v>1</v>
      </c>
      <c r="K640" s="23" t="s">
        <v>1826</v>
      </c>
    </row>
    <row r="641" spans="1:11" ht="252">
      <c r="A641" s="23" t="s">
        <v>339</v>
      </c>
      <c r="B641" s="23" t="s">
        <v>34</v>
      </c>
      <c r="C641" s="23" t="s">
        <v>35</v>
      </c>
      <c r="D641" s="23">
        <v>0.5</v>
      </c>
      <c r="E641" s="23" t="s">
        <v>1469</v>
      </c>
      <c r="F641" s="23" t="s">
        <v>1457</v>
      </c>
      <c r="G641" s="23" t="s">
        <v>1309</v>
      </c>
      <c r="H641" s="23">
        <v>0.5</v>
      </c>
      <c r="I641" s="23" t="s">
        <v>2424</v>
      </c>
      <c r="J641" s="23">
        <v>0.5</v>
      </c>
      <c r="K641" s="23" t="s">
        <v>1833</v>
      </c>
    </row>
    <row r="642" spans="1:11" ht="173.25">
      <c r="A642" s="23" t="s">
        <v>339</v>
      </c>
      <c r="B642" s="23" t="s">
        <v>37</v>
      </c>
      <c r="C642" s="23" t="s">
        <v>38</v>
      </c>
      <c r="D642" s="23">
        <v>1</v>
      </c>
      <c r="E642" s="23" t="s">
        <v>1470</v>
      </c>
      <c r="F642" s="23" t="s">
        <v>1457</v>
      </c>
      <c r="G642" s="23" t="s">
        <v>1471</v>
      </c>
      <c r="H642" s="23">
        <v>1</v>
      </c>
      <c r="I642" s="23" t="s">
        <v>2425</v>
      </c>
      <c r="J642" s="23">
        <v>1</v>
      </c>
      <c r="K642" s="23" t="s">
        <v>1826</v>
      </c>
    </row>
    <row r="643" spans="1:11" ht="189">
      <c r="A643" s="23" t="s">
        <v>343</v>
      </c>
      <c r="B643" s="23" t="s">
        <v>13</v>
      </c>
      <c r="C643" s="23" t="s">
        <v>14</v>
      </c>
      <c r="D643" s="23">
        <v>1</v>
      </c>
      <c r="E643" s="23" t="s">
        <v>1472</v>
      </c>
      <c r="F643" s="23" t="s">
        <v>1473</v>
      </c>
      <c r="G643" s="23" t="s">
        <v>1318</v>
      </c>
      <c r="H643" s="23">
        <v>1</v>
      </c>
      <c r="I643" s="23" t="s">
        <v>2426</v>
      </c>
      <c r="J643" s="23">
        <v>1</v>
      </c>
      <c r="K643" s="23" t="s">
        <v>1826</v>
      </c>
    </row>
    <row r="644" spans="1:11" ht="189">
      <c r="A644" s="23" t="s">
        <v>343</v>
      </c>
      <c r="B644" s="23" t="s">
        <v>16</v>
      </c>
      <c r="C644" s="23" t="s">
        <v>17</v>
      </c>
      <c r="D644" s="23">
        <v>1</v>
      </c>
      <c r="E644" s="23" t="s">
        <v>1474</v>
      </c>
      <c r="F644" s="23" t="s">
        <v>1473</v>
      </c>
      <c r="G644" s="23" t="s">
        <v>1475</v>
      </c>
      <c r="H644" s="23">
        <v>1</v>
      </c>
      <c r="I644" s="23" t="s">
        <v>2427</v>
      </c>
      <c r="J644" s="23">
        <v>1</v>
      </c>
      <c r="K644" s="23" t="s">
        <v>1826</v>
      </c>
    </row>
    <row r="645" spans="1:11" ht="204.75">
      <c r="A645" s="23" t="s">
        <v>343</v>
      </c>
      <c r="B645" s="23" t="s">
        <v>19</v>
      </c>
      <c r="C645" s="23" t="s">
        <v>20</v>
      </c>
      <c r="D645" s="23">
        <v>1</v>
      </c>
      <c r="E645" s="23" t="s">
        <v>1476</v>
      </c>
      <c r="F645" s="23" t="s">
        <v>1473</v>
      </c>
      <c r="G645" s="23" t="s">
        <v>1420</v>
      </c>
      <c r="H645" s="23">
        <v>1</v>
      </c>
      <c r="I645" s="23" t="s">
        <v>2428</v>
      </c>
      <c r="J645" s="23">
        <v>1</v>
      </c>
      <c r="K645" s="23" t="s">
        <v>1826</v>
      </c>
    </row>
    <row r="646" spans="1:11" ht="204.75">
      <c r="A646" s="23" t="s">
        <v>343</v>
      </c>
      <c r="B646" s="23" t="s">
        <v>22</v>
      </c>
      <c r="C646" s="23" t="s">
        <v>23</v>
      </c>
      <c r="D646" s="23">
        <v>1</v>
      </c>
      <c r="E646" s="23" t="s">
        <v>1477</v>
      </c>
      <c r="F646" s="23" t="s">
        <v>1473</v>
      </c>
      <c r="G646" s="23" t="s">
        <v>1478</v>
      </c>
      <c r="H646" s="23">
        <v>1</v>
      </c>
      <c r="I646" s="23" t="s">
        <v>2429</v>
      </c>
      <c r="J646" s="23">
        <v>1</v>
      </c>
      <c r="K646" s="23" t="s">
        <v>1826</v>
      </c>
    </row>
    <row r="647" spans="1:11" ht="157.5">
      <c r="A647" s="23" t="s">
        <v>343</v>
      </c>
      <c r="B647" s="23" t="s">
        <v>25</v>
      </c>
      <c r="C647" s="23" t="s">
        <v>26</v>
      </c>
      <c r="D647" s="23">
        <v>1</v>
      </c>
      <c r="E647" s="23" t="s">
        <v>1479</v>
      </c>
      <c r="F647" s="23" t="s">
        <v>1473</v>
      </c>
      <c r="G647" s="23" t="s">
        <v>1420</v>
      </c>
      <c r="H647" s="23">
        <v>1</v>
      </c>
      <c r="I647" s="23" t="s">
        <v>2430</v>
      </c>
      <c r="J647" s="23">
        <v>1</v>
      </c>
      <c r="K647" s="23" t="s">
        <v>1826</v>
      </c>
    </row>
    <row r="648" spans="1:11" ht="189">
      <c r="A648" s="23" t="s">
        <v>343</v>
      </c>
      <c r="B648" s="23" t="s">
        <v>28</v>
      </c>
      <c r="C648" s="23" t="s">
        <v>29</v>
      </c>
      <c r="D648" s="23">
        <v>1</v>
      </c>
      <c r="E648" s="23" t="s">
        <v>1480</v>
      </c>
      <c r="F648" s="23" t="s">
        <v>1473</v>
      </c>
      <c r="G648" s="23" t="s">
        <v>1420</v>
      </c>
      <c r="H648" s="23">
        <v>1</v>
      </c>
      <c r="I648" s="23" t="s">
        <v>2431</v>
      </c>
      <c r="J648" s="23">
        <v>1</v>
      </c>
      <c r="K648" s="23" t="s">
        <v>1826</v>
      </c>
    </row>
    <row r="649" spans="1:11" ht="267.75">
      <c r="A649" s="23" t="s">
        <v>343</v>
      </c>
      <c r="B649" s="23" t="s">
        <v>31</v>
      </c>
      <c r="C649" s="23" t="s">
        <v>32</v>
      </c>
      <c r="D649" s="23">
        <v>0.5</v>
      </c>
      <c r="E649" s="23" t="s">
        <v>1481</v>
      </c>
      <c r="F649" s="23" t="s">
        <v>1473</v>
      </c>
      <c r="G649" s="23" t="s">
        <v>1451</v>
      </c>
      <c r="H649" s="23">
        <v>0.5</v>
      </c>
      <c r="I649" s="23" t="s">
        <v>2432</v>
      </c>
      <c r="J649" s="23">
        <v>0.5</v>
      </c>
      <c r="K649" s="23" t="s">
        <v>1833</v>
      </c>
    </row>
    <row r="650" spans="1:11" ht="252">
      <c r="A650" s="23" t="s">
        <v>343</v>
      </c>
      <c r="B650" s="23" t="s">
        <v>34</v>
      </c>
      <c r="C650" s="23" t="s">
        <v>35</v>
      </c>
      <c r="D650" s="23">
        <v>0.5</v>
      </c>
      <c r="E650" s="23" t="s">
        <v>1482</v>
      </c>
      <c r="F650" s="23" t="s">
        <v>1473</v>
      </c>
      <c r="G650" s="23" t="s">
        <v>1483</v>
      </c>
      <c r="H650" s="23">
        <v>0.5</v>
      </c>
      <c r="I650" s="23" t="s">
        <v>2433</v>
      </c>
      <c r="J650" s="23">
        <v>0.5</v>
      </c>
      <c r="K650" s="23" t="s">
        <v>1833</v>
      </c>
    </row>
    <row r="651" spans="1:11" ht="252">
      <c r="A651" s="23" t="s">
        <v>343</v>
      </c>
      <c r="B651" s="23" t="s">
        <v>37</v>
      </c>
      <c r="C651" s="23" t="s">
        <v>38</v>
      </c>
      <c r="D651" s="23">
        <v>0.5</v>
      </c>
      <c r="E651" s="23" t="s">
        <v>1484</v>
      </c>
      <c r="F651" s="23" t="s">
        <v>1473</v>
      </c>
      <c r="G651" s="23" t="s">
        <v>1416</v>
      </c>
      <c r="H651" s="23">
        <v>0.5</v>
      </c>
      <c r="I651" s="23" t="s">
        <v>2434</v>
      </c>
      <c r="J651" s="23">
        <v>0.5</v>
      </c>
      <c r="K651" s="23" t="s">
        <v>1833</v>
      </c>
    </row>
    <row r="652" spans="1:11" ht="189">
      <c r="A652" s="23" t="s">
        <v>347</v>
      </c>
      <c r="B652" s="23" t="s">
        <v>13</v>
      </c>
      <c r="C652" s="23" t="s">
        <v>14</v>
      </c>
      <c r="D652" s="23">
        <v>1</v>
      </c>
      <c r="E652" s="23" t="s">
        <v>1485</v>
      </c>
      <c r="F652" s="23" t="s">
        <v>1486</v>
      </c>
      <c r="G652" s="23" t="s">
        <v>1352</v>
      </c>
      <c r="H652" s="23">
        <v>1</v>
      </c>
      <c r="I652" s="23" t="s">
        <v>2435</v>
      </c>
      <c r="J652" s="23">
        <v>1</v>
      </c>
      <c r="K652" s="23" t="s">
        <v>1826</v>
      </c>
    </row>
    <row r="653" spans="1:11" ht="189">
      <c r="A653" s="23" t="s">
        <v>347</v>
      </c>
      <c r="B653" s="23" t="s">
        <v>16</v>
      </c>
      <c r="C653" s="23" t="s">
        <v>17</v>
      </c>
      <c r="D653" s="23">
        <v>1</v>
      </c>
      <c r="E653" s="23" t="s">
        <v>1487</v>
      </c>
      <c r="F653" s="23" t="s">
        <v>1486</v>
      </c>
      <c r="G653" s="23" t="s">
        <v>1488</v>
      </c>
      <c r="H653" s="23">
        <v>1</v>
      </c>
      <c r="I653" s="23" t="s">
        <v>2436</v>
      </c>
      <c r="J653" s="23">
        <v>1</v>
      </c>
      <c r="K653" s="23" t="s">
        <v>1826</v>
      </c>
    </row>
    <row r="654" spans="1:11" ht="204.75">
      <c r="A654" s="23" t="s">
        <v>347</v>
      </c>
      <c r="B654" s="23" t="s">
        <v>19</v>
      </c>
      <c r="C654" s="23" t="s">
        <v>20</v>
      </c>
      <c r="D654" s="23">
        <v>1</v>
      </c>
      <c r="E654" s="23" t="s">
        <v>1489</v>
      </c>
      <c r="F654" s="23" t="s">
        <v>1486</v>
      </c>
      <c r="G654" s="23" t="s">
        <v>1490</v>
      </c>
      <c r="H654" s="23">
        <v>1</v>
      </c>
      <c r="I654" s="23" t="s">
        <v>2437</v>
      </c>
      <c r="J654" s="23">
        <v>1</v>
      </c>
      <c r="K654" s="23" t="s">
        <v>1826</v>
      </c>
    </row>
    <row r="655" spans="1:11" ht="173.25">
      <c r="A655" s="23" t="s">
        <v>347</v>
      </c>
      <c r="B655" s="23" t="s">
        <v>22</v>
      </c>
      <c r="C655" s="23" t="s">
        <v>23</v>
      </c>
      <c r="D655" s="23">
        <v>1</v>
      </c>
      <c r="E655" s="23" t="s">
        <v>1491</v>
      </c>
      <c r="F655" s="23" t="s">
        <v>1486</v>
      </c>
      <c r="G655" s="23" t="s">
        <v>1492</v>
      </c>
      <c r="H655" s="23">
        <v>1</v>
      </c>
      <c r="I655" s="23" t="s">
        <v>2438</v>
      </c>
      <c r="J655" s="23">
        <v>1</v>
      </c>
      <c r="K655" s="23" t="s">
        <v>1826</v>
      </c>
    </row>
    <row r="656" spans="1:11" ht="173.25">
      <c r="A656" s="23" t="s">
        <v>347</v>
      </c>
      <c r="B656" s="23" t="s">
        <v>25</v>
      </c>
      <c r="C656" s="23" t="s">
        <v>26</v>
      </c>
      <c r="D656" s="23">
        <v>1</v>
      </c>
      <c r="E656" s="23" t="s">
        <v>1493</v>
      </c>
      <c r="F656" s="23" t="s">
        <v>1486</v>
      </c>
      <c r="G656" s="23" t="s">
        <v>1494</v>
      </c>
      <c r="H656" s="23">
        <v>1</v>
      </c>
      <c r="I656" s="23" t="s">
        <v>2439</v>
      </c>
      <c r="J656" s="23">
        <v>1</v>
      </c>
      <c r="K656" s="23" t="s">
        <v>1826</v>
      </c>
    </row>
    <row r="657" spans="1:11" ht="173.25">
      <c r="A657" s="23" t="s">
        <v>347</v>
      </c>
      <c r="B657" s="23" t="s">
        <v>28</v>
      </c>
      <c r="C657" s="23" t="s">
        <v>29</v>
      </c>
      <c r="D657" s="23">
        <v>1</v>
      </c>
      <c r="E657" s="23" t="s">
        <v>1495</v>
      </c>
      <c r="F657" s="23" t="s">
        <v>1486</v>
      </c>
      <c r="G657" s="23" t="s">
        <v>1490</v>
      </c>
      <c r="H657" s="23">
        <v>1</v>
      </c>
      <c r="I657" s="23" t="s">
        <v>2440</v>
      </c>
      <c r="J657" s="23">
        <v>1</v>
      </c>
      <c r="K657" s="23" t="s">
        <v>1826</v>
      </c>
    </row>
    <row r="658" spans="1:11" ht="189">
      <c r="A658" s="23" t="s">
        <v>347</v>
      </c>
      <c r="B658" s="23" t="s">
        <v>31</v>
      </c>
      <c r="C658" s="23" t="s">
        <v>32</v>
      </c>
      <c r="D658" s="23">
        <v>1</v>
      </c>
      <c r="E658" s="23" t="s">
        <v>1496</v>
      </c>
      <c r="F658" s="23" t="s">
        <v>1486</v>
      </c>
      <c r="G658" s="23" t="s">
        <v>1497</v>
      </c>
      <c r="H658" s="23">
        <v>1</v>
      </c>
      <c r="I658" s="23" t="s">
        <v>2441</v>
      </c>
      <c r="J658" s="23">
        <v>1</v>
      </c>
      <c r="K658" s="23" t="s">
        <v>1826</v>
      </c>
    </row>
    <row r="659" spans="1:11" ht="267.75">
      <c r="A659" s="23" t="s">
        <v>347</v>
      </c>
      <c r="B659" s="23" t="s">
        <v>34</v>
      </c>
      <c r="C659" s="23" t="s">
        <v>35</v>
      </c>
      <c r="D659" s="23">
        <v>0.5</v>
      </c>
      <c r="E659" s="23" t="s">
        <v>1498</v>
      </c>
      <c r="F659" s="23" t="s">
        <v>1486</v>
      </c>
      <c r="G659" s="23" t="s">
        <v>1356</v>
      </c>
      <c r="H659" s="23">
        <v>0.5</v>
      </c>
      <c r="I659" s="23" t="s">
        <v>2442</v>
      </c>
      <c r="J659" s="23">
        <v>0.5</v>
      </c>
      <c r="K659" s="23" t="s">
        <v>1833</v>
      </c>
    </row>
    <row r="660" spans="1:11" ht="141.75">
      <c r="A660" s="23" t="s">
        <v>347</v>
      </c>
      <c r="B660" s="23" t="s">
        <v>37</v>
      </c>
      <c r="C660" s="23" t="s">
        <v>38</v>
      </c>
      <c r="D660" s="23">
        <v>1</v>
      </c>
      <c r="E660" s="23" t="s">
        <v>1499</v>
      </c>
      <c r="F660" s="23" t="s">
        <v>1486</v>
      </c>
      <c r="G660" s="23" t="s">
        <v>1500</v>
      </c>
      <c r="H660" s="23">
        <v>1</v>
      </c>
      <c r="I660" s="23" t="s">
        <v>2443</v>
      </c>
      <c r="J660" s="23">
        <v>1</v>
      </c>
      <c r="K660" s="23" t="s">
        <v>1826</v>
      </c>
    </row>
    <row r="661" spans="1:11" ht="189">
      <c r="A661" s="23" t="s">
        <v>351</v>
      </c>
      <c r="B661" s="23" t="s">
        <v>13</v>
      </c>
      <c r="C661" s="23" t="s">
        <v>14</v>
      </c>
      <c r="D661" s="23">
        <v>1</v>
      </c>
      <c r="E661" s="23" t="s">
        <v>1501</v>
      </c>
      <c r="F661" s="23" t="s">
        <v>1502</v>
      </c>
      <c r="G661" s="23" t="s">
        <v>1352</v>
      </c>
      <c r="H661" s="23">
        <v>1</v>
      </c>
      <c r="I661" s="23" t="s">
        <v>2444</v>
      </c>
      <c r="J661" s="23">
        <v>1</v>
      </c>
      <c r="K661" s="23" t="s">
        <v>1826</v>
      </c>
    </row>
    <row r="662" spans="1:11" ht="189">
      <c r="A662" s="23" t="s">
        <v>351</v>
      </c>
      <c r="B662" s="23" t="s">
        <v>16</v>
      </c>
      <c r="C662" s="23" t="s">
        <v>17</v>
      </c>
      <c r="D662" s="23">
        <v>1</v>
      </c>
      <c r="E662" s="23" t="s">
        <v>1503</v>
      </c>
      <c r="F662" s="23" t="s">
        <v>1502</v>
      </c>
      <c r="G662" s="23" t="s">
        <v>1386</v>
      </c>
      <c r="H662" s="23">
        <v>1</v>
      </c>
      <c r="I662" s="23" t="s">
        <v>2445</v>
      </c>
      <c r="J662" s="23">
        <v>1</v>
      </c>
      <c r="K662" s="23" t="s">
        <v>1826</v>
      </c>
    </row>
    <row r="663" spans="1:11" ht="157.5">
      <c r="A663" s="23" t="s">
        <v>351</v>
      </c>
      <c r="B663" s="23" t="s">
        <v>19</v>
      </c>
      <c r="C663" s="23" t="s">
        <v>20</v>
      </c>
      <c r="D663" s="23">
        <v>1</v>
      </c>
      <c r="E663" s="23" t="s">
        <v>1504</v>
      </c>
      <c r="F663" s="23" t="s">
        <v>1502</v>
      </c>
      <c r="G663" s="23" t="s">
        <v>1388</v>
      </c>
      <c r="H663" s="23">
        <v>1</v>
      </c>
      <c r="I663" s="23" t="s">
        <v>2446</v>
      </c>
      <c r="J663" s="23">
        <v>1</v>
      </c>
      <c r="K663" s="23" t="s">
        <v>1826</v>
      </c>
    </row>
    <row r="664" spans="1:11" ht="204.75">
      <c r="A664" s="23" t="s">
        <v>351</v>
      </c>
      <c r="B664" s="23" t="s">
        <v>22</v>
      </c>
      <c r="C664" s="23" t="s">
        <v>23</v>
      </c>
      <c r="D664" s="23">
        <v>1</v>
      </c>
      <c r="E664" s="23" t="s">
        <v>1505</v>
      </c>
      <c r="F664" s="23" t="s">
        <v>1502</v>
      </c>
      <c r="G664" s="23" t="s">
        <v>1388</v>
      </c>
      <c r="H664" s="23">
        <v>1</v>
      </c>
      <c r="I664" s="23" t="s">
        <v>2447</v>
      </c>
      <c r="J664" s="23">
        <v>1</v>
      </c>
      <c r="K664" s="23" t="s">
        <v>1826</v>
      </c>
    </row>
    <row r="665" spans="1:11" ht="189">
      <c r="A665" s="23" t="s">
        <v>351</v>
      </c>
      <c r="B665" s="23" t="s">
        <v>25</v>
      </c>
      <c r="C665" s="23" t="s">
        <v>26</v>
      </c>
      <c r="D665" s="23">
        <v>1</v>
      </c>
      <c r="E665" s="23" t="s">
        <v>1506</v>
      </c>
      <c r="F665" s="23" t="s">
        <v>1502</v>
      </c>
      <c r="G665" s="23" t="s">
        <v>1388</v>
      </c>
      <c r="H665" s="23">
        <v>1</v>
      </c>
      <c r="I665" s="23" t="s">
        <v>2448</v>
      </c>
      <c r="J665" s="23">
        <v>1</v>
      </c>
      <c r="K665" s="23" t="s">
        <v>1826</v>
      </c>
    </row>
    <row r="666" spans="1:11" ht="204.75">
      <c r="A666" s="23" t="s">
        <v>351</v>
      </c>
      <c r="B666" s="23" t="s">
        <v>28</v>
      </c>
      <c r="C666" s="23" t="s">
        <v>29</v>
      </c>
      <c r="D666" s="23">
        <v>1</v>
      </c>
      <c r="E666" s="23" t="s">
        <v>1507</v>
      </c>
      <c r="F666" s="23" t="s">
        <v>1502</v>
      </c>
      <c r="G666" s="23" t="s">
        <v>1508</v>
      </c>
      <c r="H666" s="23">
        <v>1</v>
      </c>
      <c r="I666" s="23" t="s">
        <v>2449</v>
      </c>
      <c r="J666" s="23">
        <v>1</v>
      </c>
      <c r="K666" s="23" t="s">
        <v>1826</v>
      </c>
    </row>
    <row r="667" spans="1:11" ht="204.75">
      <c r="A667" s="23" t="s">
        <v>351</v>
      </c>
      <c r="B667" s="23" t="s">
        <v>31</v>
      </c>
      <c r="C667" s="23" t="s">
        <v>32</v>
      </c>
      <c r="D667" s="23">
        <v>1</v>
      </c>
      <c r="E667" s="23" t="s">
        <v>1509</v>
      </c>
      <c r="F667" s="23" t="s">
        <v>1502</v>
      </c>
      <c r="G667" s="23" t="s">
        <v>1510</v>
      </c>
      <c r="H667" s="23">
        <v>1</v>
      </c>
      <c r="I667" s="23" t="s">
        <v>2450</v>
      </c>
      <c r="J667" s="23">
        <v>1</v>
      </c>
      <c r="K667" s="23" t="s">
        <v>1826</v>
      </c>
    </row>
    <row r="668" spans="1:11" ht="204.75">
      <c r="A668" s="23" t="s">
        <v>351</v>
      </c>
      <c r="B668" s="23" t="s">
        <v>34</v>
      </c>
      <c r="C668" s="23" t="s">
        <v>35</v>
      </c>
      <c r="D668" s="23">
        <v>1</v>
      </c>
      <c r="E668" s="23" t="s">
        <v>1511</v>
      </c>
      <c r="F668" s="23" t="s">
        <v>1502</v>
      </c>
      <c r="G668" s="23" t="s">
        <v>1512</v>
      </c>
      <c r="H668" s="23">
        <v>1</v>
      </c>
      <c r="I668" s="23" t="s">
        <v>2451</v>
      </c>
      <c r="J668" s="23">
        <v>1</v>
      </c>
      <c r="K668" s="23" t="s">
        <v>1826</v>
      </c>
    </row>
    <row r="669" spans="1:11" ht="267.75">
      <c r="A669" s="23" t="s">
        <v>351</v>
      </c>
      <c r="B669" s="23" t="s">
        <v>37</v>
      </c>
      <c r="C669" s="23" t="s">
        <v>38</v>
      </c>
      <c r="D669" s="23">
        <v>0.5</v>
      </c>
      <c r="E669" s="23" t="s">
        <v>1513</v>
      </c>
      <c r="F669" s="23" t="s">
        <v>1502</v>
      </c>
      <c r="G669" s="23" t="s">
        <v>1514</v>
      </c>
      <c r="H669" s="23">
        <v>0.5</v>
      </c>
      <c r="I669" s="23" t="s">
        <v>2452</v>
      </c>
      <c r="J669" s="23">
        <v>0.5</v>
      </c>
      <c r="K669" s="23" t="s">
        <v>1833</v>
      </c>
    </row>
    <row r="670" spans="1:11" ht="189">
      <c r="A670" s="23" t="s">
        <v>355</v>
      </c>
      <c r="B670" s="23" t="s">
        <v>13</v>
      </c>
      <c r="C670" s="23" t="s">
        <v>14</v>
      </c>
      <c r="D670" s="23">
        <v>1</v>
      </c>
      <c r="E670" s="23" t="s">
        <v>1515</v>
      </c>
      <c r="F670" s="23" t="s">
        <v>1516</v>
      </c>
      <c r="G670" s="23" t="s">
        <v>1352</v>
      </c>
      <c r="H670" s="23">
        <v>1</v>
      </c>
      <c r="I670" s="23" t="s">
        <v>2453</v>
      </c>
      <c r="J670" s="23">
        <v>1</v>
      </c>
      <c r="K670" s="23" t="s">
        <v>1826</v>
      </c>
    </row>
    <row r="671" spans="1:11" ht="173.25">
      <c r="A671" s="23" t="s">
        <v>355</v>
      </c>
      <c r="B671" s="23" t="s">
        <v>16</v>
      </c>
      <c r="C671" s="23" t="s">
        <v>17</v>
      </c>
      <c r="D671" s="23">
        <v>1</v>
      </c>
      <c r="E671" s="23" t="s">
        <v>1517</v>
      </c>
      <c r="F671" s="23" t="s">
        <v>1516</v>
      </c>
      <c r="G671" s="23" t="s">
        <v>1354</v>
      </c>
      <c r="H671" s="23">
        <v>1</v>
      </c>
      <c r="I671" s="23" t="s">
        <v>2454</v>
      </c>
      <c r="J671" s="23">
        <v>1</v>
      </c>
      <c r="K671" s="23" t="s">
        <v>1826</v>
      </c>
    </row>
    <row r="672" spans="1:11" ht="157.5">
      <c r="A672" s="23" t="s">
        <v>355</v>
      </c>
      <c r="B672" s="23" t="s">
        <v>19</v>
      </c>
      <c r="C672" s="23" t="s">
        <v>20</v>
      </c>
      <c r="D672" s="23">
        <v>1</v>
      </c>
      <c r="E672" s="23" t="s">
        <v>1518</v>
      </c>
      <c r="F672" s="23" t="s">
        <v>1516</v>
      </c>
      <c r="G672" s="23" t="s">
        <v>1490</v>
      </c>
      <c r="H672" s="23">
        <v>1</v>
      </c>
      <c r="I672" s="23" t="s">
        <v>2455</v>
      </c>
      <c r="J672" s="23">
        <v>1</v>
      </c>
      <c r="K672" s="23" t="s">
        <v>1826</v>
      </c>
    </row>
    <row r="673" spans="1:11" ht="204.75">
      <c r="A673" s="23" t="s">
        <v>355</v>
      </c>
      <c r="B673" s="23" t="s">
        <v>22</v>
      </c>
      <c r="C673" s="23" t="s">
        <v>23</v>
      </c>
      <c r="D673" s="23">
        <v>1</v>
      </c>
      <c r="E673" s="23" t="s">
        <v>1519</v>
      </c>
      <c r="F673" s="23" t="s">
        <v>1516</v>
      </c>
      <c r="G673" s="23" t="s">
        <v>1492</v>
      </c>
      <c r="H673" s="23">
        <v>1</v>
      </c>
      <c r="I673" s="23" t="s">
        <v>2456</v>
      </c>
      <c r="J673" s="23">
        <v>1</v>
      </c>
      <c r="K673" s="23" t="s">
        <v>1826</v>
      </c>
    </row>
    <row r="674" spans="1:11" ht="189">
      <c r="A674" s="23" t="s">
        <v>355</v>
      </c>
      <c r="B674" s="23" t="s">
        <v>25</v>
      </c>
      <c r="C674" s="23" t="s">
        <v>26</v>
      </c>
      <c r="D674" s="23">
        <v>1</v>
      </c>
      <c r="E674" s="23" t="s">
        <v>1520</v>
      </c>
      <c r="F674" s="23" t="s">
        <v>1516</v>
      </c>
      <c r="G674" s="23" t="s">
        <v>1521</v>
      </c>
      <c r="H674" s="23">
        <v>1</v>
      </c>
      <c r="I674" s="23" t="s">
        <v>2457</v>
      </c>
      <c r="J674" s="23">
        <v>1</v>
      </c>
      <c r="K674" s="23" t="s">
        <v>1826</v>
      </c>
    </row>
    <row r="675" spans="1:11" ht="189">
      <c r="A675" s="23" t="s">
        <v>355</v>
      </c>
      <c r="B675" s="23" t="s">
        <v>28</v>
      </c>
      <c r="C675" s="23" t="s">
        <v>29</v>
      </c>
      <c r="D675" s="23">
        <v>1</v>
      </c>
      <c r="E675" s="23" t="s">
        <v>1522</v>
      </c>
      <c r="F675" s="23" t="s">
        <v>1516</v>
      </c>
      <c r="G675" s="23" t="s">
        <v>1523</v>
      </c>
      <c r="H675" s="23">
        <v>1</v>
      </c>
      <c r="I675" s="23" t="s">
        <v>2458</v>
      </c>
      <c r="J675" s="23">
        <v>1</v>
      </c>
      <c r="K675" s="23" t="s">
        <v>1826</v>
      </c>
    </row>
    <row r="676" spans="1:11" ht="173.25">
      <c r="A676" s="23" t="s">
        <v>355</v>
      </c>
      <c r="B676" s="23" t="s">
        <v>31</v>
      </c>
      <c r="C676" s="23" t="s">
        <v>32</v>
      </c>
      <c r="D676" s="23">
        <v>1</v>
      </c>
      <c r="E676" s="23" t="s">
        <v>1524</v>
      </c>
      <c r="F676" s="23" t="s">
        <v>1516</v>
      </c>
      <c r="G676" s="23" t="s">
        <v>1372</v>
      </c>
      <c r="H676" s="23">
        <v>1</v>
      </c>
      <c r="I676" s="23" t="s">
        <v>2459</v>
      </c>
      <c r="J676" s="23">
        <v>1</v>
      </c>
      <c r="K676" s="23" t="s">
        <v>1826</v>
      </c>
    </row>
    <row r="677" spans="1:11" ht="189">
      <c r="A677" s="23" t="s">
        <v>355</v>
      </c>
      <c r="B677" s="23" t="s">
        <v>34</v>
      </c>
      <c r="C677" s="23" t="s">
        <v>35</v>
      </c>
      <c r="D677" s="23">
        <v>1</v>
      </c>
      <c r="E677" s="23" t="s">
        <v>1525</v>
      </c>
      <c r="F677" s="23" t="s">
        <v>1516</v>
      </c>
      <c r="G677" s="23" t="s">
        <v>1526</v>
      </c>
      <c r="H677" s="23">
        <v>1</v>
      </c>
      <c r="I677" s="23" t="s">
        <v>2460</v>
      </c>
      <c r="J677" s="23">
        <v>1</v>
      </c>
      <c r="K677" s="23" t="s">
        <v>1826</v>
      </c>
    </row>
    <row r="678" spans="1:11" ht="141.75">
      <c r="A678" s="23" t="s">
        <v>355</v>
      </c>
      <c r="B678" s="23" t="s">
        <v>37</v>
      </c>
      <c r="C678" s="23" t="s">
        <v>38</v>
      </c>
      <c r="D678" s="23">
        <v>1</v>
      </c>
      <c r="E678" s="23" t="s">
        <v>1527</v>
      </c>
      <c r="F678" s="23" t="s">
        <v>1516</v>
      </c>
      <c r="G678" s="23" t="s">
        <v>1528</v>
      </c>
      <c r="H678" s="23">
        <v>1</v>
      </c>
      <c r="I678" s="23" t="s">
        <v>2461</v>
      </c>
      <c r="J678" s="23">
        <v>1</v>
      </c>
      <c r="K678" s="23" t="s">
        <v>1826</v>
      </c>
    </row>
    <row r="679" spans="1:11" ht="39.6" customHeight="1">
      <c r="A679" s="23" t="s">
        <v>359</v>
      </c>
      <c r="B679" s="23" t="s">
        <v>13</v>
      </c>
      <c r="C679" s="23" t="s">
        <v>14</v>
      </c>
      <c r="D679" s="23">
        <v>1</v>
      </c>
      <c r="E679" s="23" t="s">
        <v>1529</v>
      </c>
      <c r="F679" s="23" t="s">
        <v>1530</v>
      </c>
      <c r="G679" s="23" t="s">
        <v>1352</v>
      </c>
      <c r="H679" s="24">
        <v>1</v>
      </c>
      <c r="I679" s="24" t="s">
        <v>2462</v>
      </c>
      <c r="J679" s="24">
        <v>1</v>
      </c>
      <c r="K679" s="24" t="s">
        <v>1826</v>
      </c>
    </row>
    <row r="680" spans="1:11" ht="39.6" customHeight="1">
      <c r="A680" s="23" t="s">
        <v>359</v>
      </c>
      <c r="B680" s="23" t="s">
        <v>16</v>
      </c>
      <c r="C680" s="23" t="s">
        <v>17</v>
      </c>
      <c r="D680" s="23">
        <v>1</v>
      </c>
      <c r="E680" s="23" t="s">
        <v>1531</v>
      </c>
      <c r="F680" s="23" t="s">
        <v>1530</v>
      </c>
      <c r="G680" s="23" t="s">
        <v>1367</v>
      </c>
      <c r="H680" s="24">
        <v>1</v>
      </c>
      <c r="I680" s="24" t="s">
        <v>2463</v>
      </c>
      <c r="J680" s="24">
        <v>1</v>
      </c>
      <c r="K680" s="24" t="s">
        <v>1826</v>
      </c>
    </row>
    <row r="681" spans="1:11" ht="39.6" customHeight="1">
      <c r="A681" s="23" t="s">
        <v>359</v>
      </c>
      <c r="B681" s="23" t="s">
        <v>19</v>
      </c>
      <c r="C681" s="23" t="s">
        <v>20</v>
      </c>
      <c r="D681" s="23">
        <v>1</v>
      </c>
      <c r="E681" s="23" t="s">
        <v>1532</v>
      </c>
      <c r="F681" s="23" t="s">
        <v>1530</v>
      </c>
      <c r="G681" s="23" t="s">
        <v>1533</v>
      </c>
      <c r="H681" s="24">
        <v>1</v>
      </c>
      <c r="I681" s="24" t="s">
        <v>2464</v>
      </c>
      <c r="J681" s="24">
        <v>1</v>
      </c>
      <c r="K681" s="24" t="s">
        <v>1826</v>
      </c>
    </row>
    <row r="682" spans="1:11" ht="39.6" customHeight="1">
      <c r="A682" s="23" t="s">
        <v>359</v>
      </c>
      <c r="B682" s="23" t="s">
        <v>22</v>
      </c>
      <c r="C682" s="23" t="s">
        <v>23</v>
      </c>
      <c r="D682" s="23">
        <v>1</v>
      </c>
      <c r="E682" s="23" t="s">
        <v>1534</v>
      </c>
      <c r="F682" s="23" t="s">
        <v>1530</v>
      </c>
      <c r="G682" s="23" t="s">
        <v>1535</v>
      </c>
      <c r="H682" s="24">
        <v>1</v>
      </c>
      <c r="I682" s="24" t="s">
        <v>2465</v>
      </c>
      <c r="J682" s="24">
        <v>1</v>
      </c>
      <c r="K682" s="24" t="s">
        <v>1826</v>
      </c>
    </row>
    <row r="683" spans="1:11" ht="39.6" customHeight="1">
      <c r="A683" s="23" t="s">
        <v>359</v>
      </c>
      <c r="B683" s="23" t="s">
        <v>25</v>
      </c>
      <c r="C683" s="23" t="s">
        <v>26</v>
      </c>
      <c r="D683" s="23">
        <v>1</v>
      </c>
      <c r="E683" s="23" t="s">
        <v>1536</v>
      </c>
      <c r="F683" s="23" t="s">
        <v>1530</v>
      </c>
      <c r="G683" s="23" t="s">
        <v>1537</v>
      </c>
      <c r="H683" s="24">
        <v>1</v>
      </c>
      <c r="I683" s="24" t="s">
        <v>2466</v>
      </c>
      <c r="J683" s="24">
        <v>1</v>
      </c>
      <c r="K683" s="24" t="s">
        <v>1826</v>
      </c>
    </row>
    <row r="684" spans="1:11" ht="39.6" customHeight="1">
      <c r="A684" s="23" t="s">
        <v>359</v>
      </c>
      <c r="B684" s="23" t="s">
        <v>28</v>
      </c>
      <c r="C684" s="23" t="s">
        <v>29</v>
      </c>
      <c r="D684" s="23">
        <v>1</v>
      </c>
      <c r="E684" s="23" t="s">
        <v>1538</v>
      </c>
      <c r="F684" s="23" t="s">
        <v>1530</v>
      </c>
      <c r="G684" s="23" t="s">
        <v>1539</v>
      </c>
      <c r="H684" s="24">
        <v>1</v>
      </c>
      <c r="I684" s="24" t="s">
        <v>2467</v>
      </c>
      <c r="J684" s="24">
        <v>1</v>
      </c>
      <c r="K684" s="24" t="s">
        <v>1826</v>
      </c>
    </row>
    <row r="685" spans="1:11" ht="26.45" customHeight="1">
      <c r="A685" s="23" t="s">
        <v>359</v>
      </c>
      <c r="B685" s="23" t="s">
        <v>31</v>
      </c>
      <c r="C685" s="23" t="s">
        <v>32</v>
      </c>
      <c r="D685" s="23">
        <v>1</v>
      </c>
      <c r="E685" s="23" t="s">
        <v>1540</v>
      </c>
      <c r="F685" s="23" t="s">
        <v>1530</v>
      </c>
      <c r="G685" s="23" t="s">
        <v>1388</v>
      </c>
      <c r="H685" s="24">
        <v>1</v>
      </c>
      <c r="I685" s="24" t="s">
        <v>2468</v>
      </c>
      <c r="J685" s="24">
        <v>1</v>
      </c>
      <c r="K685" s="24" t="s">
        <v>1826</v>
      </c>
    </row>
    <row r="686" spans="1:11" ht="39.6" customHeight="1">
      <c r="A686" s="23" t="s">
        <v>359</v>
      </c>
      <c r="B686" s="23" t="s">
        <v>34</v>
      </c>
      <c r="C686" s="23" t="s">
        <v>35</v>
      </c>
      <c r="D686" s="23">
        <v>1</v>
      </c>
      <c r="E686" s="23" t="s">
        <v>1541</v>
      </c>
      <c r="F686" s="23" t="s">
        <v>1530</v>
      </c>
      <c r="G686" s="23" t="s">
        <v>1376</v>
      </c>
      <c r="H686" s="24">
        <v>1</v>
      </c>
      <c r="I686" s="24" t="s">
        <v>2469</v>
      </c>
      <c r="J686" s="24">
        <v>1</v>
      </c>
      <c r="K686" s="24" t="s">
        <v>1826</v>
      </c>
    </row>
    <row r="687" spans="1:11" ht="39.6" customHeight="1">
      <c r="A687" s="23" t="s">
        <v>359</v>
      </c>
      <c r="B687" s="23" t="s">
        <v>37</v>
      </c>
      <c r="C687" s="23" t="s">
        <v>38</v>
      </c>
      <c r="D687" s="23">
        <v>1</v>
      </c>
      <c r="E687" s="23" t="s">
        <v>1542</v>
      </c>
      <c r="F687" s="23" t="s">
        <v>1530</v>
      </c>
      <c r="G687" s="23" t="s">
        <v>1543</v>
      </c>
      <c r="H687" s="24">
        <v>1</v>
      </c>
      <c r="I687" s="24" t="s">
        <v>2470</v>
      </c>
      <c r="J687" s="24">
        <v>1</v>
      </c>
      <c r="K687" s="24" t="s">
        <v>1826</v>
      </c>
    </row>
    <row r="688" spans="1:11" ht="39.6" customHeight="1">
      <c r="A688" s="23" t="s">
        <v>363</v>
      </c>
      <c r="B688" s="23" t="s">
        <v>13</v>
      </c>
      <c r="C688" s="23" t="s">
        <v>14</v>
      </c>
      <c r="D688" s="23">
        <v>1</v>
      </c>
      <c r="E688" s="23" t="s">
        <v>1544</v>
      </c>
      <c r="F688" s="23" t="s">
        <v>1545</v>
      </c>
      <c r="G688" s="23" t="s">
        <v>1352</v>
      </c>
      <c r="H688" s="24">
        <v>1</v>
      </c>
      <c r="I688" s="24" t="s">
        <v>2471</v>
      </c>
      <c r="J688" s="24">
        <v>1</v>
      </c>
      <c r="K688" s="24" t="s">
        <v>1826</v>
      </c>
    </row>
    <row r="689" spans="1:11" ht="39.6" customHeight="1">
      <c r="A689" s="23" t="s">
        <v>363</v>
      </c>
      <c r="B689" s="23" t="s">
        <v>16</v>
      </c>
      <c r="C689" s="23" t="s">
        <v>17</v>
      </c>
      <c r="D689" s="23">
        <v>1</v>
      </c>
      <c r="E689" s="23" t="s">
        <v>1546</v>
      </c>
      <c r="F689" s="23" t="s">
        <v>1545</v>
      </c>
      <c r="G689" s="23" t="s">
        <v>1354</v>
      </c>
      <c r="H689" s="24">
        <v>1</v>
      </c>
      <c r="I689" s="24" t="s">
        <v>2472</v>
      </c>
      <c r="J689" s="24">
        <v>1</v>
      </c>
      <c r="K689" s="24" t="s">
        <v>1826</v>
      </c>
    </row>
    <row r="690" spans="1:11" ht="39.6" customHeight="1">
      <c r="A690" s="23" t="s">
        <v>363</v>
      </c>
      <c r="B690" s="23" t="s">
        <v>19</v>
      </c>
      <c r="C690" s="23" t="s">
        <v>20</v>
      </c>
      <c r="D690" s="23">
        <v>1</v>
      </c>
      <c r="E690" s="23" t="s">
        <v>1547</v>
      </c>
      <c r="F690" s="23" t="s">
        <v>1545</v>
      </c>
      <c r="G690" s="23" t="s">
        <v>1548</v>
      </c>
      <c r="H690" s="24">
        <v>1</v>
      </c>
      <c r="I690" s="24" t="s">
        <v>2473</v>
      </c>
      <c r="J690" s="24">
        <v>1</v>
      </c>
      <c r="K690" s="24" t="s">
        <v>1826</v>
      </c>
    </row>
    <row r="691" spans="1:11" ht="39.6" customHeight="1">
      <c r="A691" s="23" t="s">
        <v>363</v>
      </c>
      <c r="B691" s="23" t="s">
        <v>22</v>
      </c>
      <c r="C691" s="23" t="s">
        <v>23</v>
      </c>
      <c r="D691" s="23">
        <v>1</v>
      </c>
      <c r="E691" s="23" t="s">
        <v>1549</v>
      </c>
      <c r="F691" s="23" t="s">
        <v>1545</v>
      </c>
      <c r="G691" s="23" t="s">
        <v>1492</v>
      </c>
      <c r="H691" s="24">
        <v>1</v>
      </c>
      <c r="I691" s="24" t="s">
        <v>2474</v>
      </c>
      <c r="J691" s="24">
        <v>1</v>
      </c>
      <c r="K691" s="24" t="s">
        <v>1826</v>
      </c>
    </row>
    <row r="692" spans="1:11" ht="39.6" customHeight="1">
      <c r="A692" s="23" t="s">
        <v>363</v>
      </c>
      <c r="B692" s="23" t="s">
        <v>25</v>
      </c>
      <c r="C692" s="23" t="s">
        <v>26</v>
      </c>
      <c r="D692" s="23">
        <v>1</v>
      </c>
      <c r="E692" s="23" t="s">
        <v>1550</v>
      </c>
      <c r="F692" s="23" t="s">
        <v>1545</v>
      </c>
      <c r="G692" s="23" t="s">
        <v>1551</v>
      </c>
      <c r="H692" s="24">
        <v>1</v>
      </c>
      <c r="I692" s="24" t="s">
        <v>2475</v>
      </c>
      <c r="J692" s="24">
        <v>1</v>
      </c>
      <c r="K692" s="24" t="s">
        <v>1826</v>
      </c>
    </row>
    <row r="693" spans="1:11" ht="26.45" customHeight="1">
      <c r="A693" s="23" t="s">
        <v>363</v>
      </c>
      <c r="B693" s="23" t="s">
        <v>28</v>
      </c>
      <c r="C693" s="23" t="s">
        <v>29</v>
      </c>
      <c r="D693" s="23">
        <v>1</v>
      </c>
      <c r="E693" s="23" t="s">
        <v>1552</v>
      </c>
      <c r="F693" s="23" t="s">
        <v>1545</v>
      </c>
      <c r="G693" s="23" t="s">
        <v>1553</v>
      </c>
      <c r="H693" s="24">
        <v>1</v>
      </c>
      <c r="I693" s="24" t="s">
        <v>2476</v>
      </c>
      <c r="J693" s="24">
        <v>1</v>
      </c>
      <c r="K693" s="24" t="s">
        <v>1826</v>
      </c>
    </row>
    <row r="694" spans="1:11" ht="39.6" customHeight="1">
      <c r="A694" s="23" t="s">
        <v>363</v>
      </c>
      <c r="B694" s="23" t="s">
        <v>31</v>
      </c>
      <c r="C694" s="23" t="s">
        <v>32</v>
      </c>
      <c r="D694" s="23">
        <v>1</v>
      </c>
      <c r="E694" s="23" t="s">
        <v>1554</v>
      </c>
      <c r="F694" s="23" t="s">
        <v>1545</v>
      </c>
      <c r="G694" s="23" t="s">
        <v>1555</v>
      </c>
      <c r="H694" s="24">
        <v>1</v>
      </c>
      <c r="I694" s="24" t="s">
        <v>2477</v>
      </c>
      <c r="J694" s="24">
        <v>1</v>
      </c>
      <c r="K694" s="24" t="s">
        <v>1826</v>
      </c>
    </row>
    <row r="695" spans="1:11" ht="39.6" customHeight="1">
      <c r="A695" s="23" t="s">
        <v>363</v>
      </c>
      <c r="B695" s="23" t="s">
        <v>34</v>
      </c>
      <c r="C695" s="23" t="s">
        <v>35</v>
      </c>
      <c r="D695" s="23">
        <v>0.5</v>
      </c>
      <c r="E695" s="23" t="s">
        <v>1556</v>
      </c>
      <c r="F695" s="23" t="s">
        <v>1545</v>
      </c>
      <c r="G695" s="23" t="s">
        <v>1356</v>
      </c>
      <c r="H695" s="24">
        <v>0.5</v>
      </c>
      <c r="I695" s="24" t="s">
        <v>2478</v>
      </c>
      <c r="J695" s="24">
        <v>0.5</v>
      </c>
      <c r="K695" s="24" t="s">
        <v>1833</v>
      </c>
    </row>
    <row r="696" spans="1:11" ht="39.6" customHeight="1">
      <c r="A696" s="23" t="s">
        <v>363</v>
      </c>
      <c r="B696" s="23" t="s">
        <v>37</v>
      </c>
      <c r="C696" s="23" t="s">
        <v>38</v>
      </c>
      <c r="D696" s="23">
        <v>1</v>
      </c>
      <c r="E696" s="23" t="s">
        <v>1557</v>
      </c>
      <c r="F696" s="23" t="s">
        <v>1545</v>
      </c>
      <c r="G696" s="23" t="s">
        <v>1558</v>
      </c>
      <c r="H696" s="24">
        <v>1</v>
      </c>
      <c r="I696" s="24" t="s">
        <v>2479</v>
      </c>
      <c r="J696" s="24">
        <v>1</v>
      </c>
      <c r="K696" s="24" t="s">
        <v>1826</v>
      </c>
    </row>
    <row r="697" spans="1:11" ht="39.6" customHeight="1">
      <c r="A697" s="23" t="s">
        <v>367</v>
      </c>
      <c r="B697" s="23" t="s">
        <v>13</v>
      </c>
      <c r="C697" s="23" t="s">
        <v>14</v>
      </c>
      <c r="D697" s="23">
        <v>1</v>
      </c>
      <c r="E697" s="23" t="s">
        <v>1559</v>
      </c>
      <c r="F697" s="23" t="s">
        <v>1560</v>
      </c>
      <c r="G697" s="23" t="s">
        <v>1318</v>
      </c>
      <c r="H697" s="24">
        <v>1</v>
      </c>
      <c r="I697" s="24" t="s">
        <v>2480</v>
      </c>
      <c r="J697" s="24">
        <v>1</v>
      </c>
      <c r="K697" s="24" t="s">
        <v>1826</v>
      </c>
    </row>
    <row r="698" spans="1:11" ht="39.6" customHeight="1">
      <c r="A698" s="23" t="s">
        <v>367</v>
      </c>
      <c r="B698" s="23" t="s">
        <v>16</v>
      </c>
      <c r="C698" s="23" t="s">
        <v>17</v>
      </c>
      <c r="D698" s="23">
        <v>1</v>
      </c>
      <c r="E698" s="23" t="s">
        <v>1561</v>
      </c>
      <c r="F698" s="23" t="s">
        <v>1560</v>
      </c>
      <c r="G698" s="23" t="s">
        <v>1562</v>
      </c>
      <c r="H698" s="24">
        <v>1</v>
      </c>
      <c r="I698" s="24" t="s">
        <v>2481</v>
      </c>
      <c r="J698" s="24">
        <v>1</v>
      </c>
      <c r="K698" s="24" t="s">
        <v>1826</v>
      </c>
    </row>
    <row r="699" spans="1:11" ht="26.45" customHeight="1">
      <c r="A699" s="23" t="s">
        <v>367</v>
      </c>
      <c r="B699" s="23" t="s">
        <v>19</v>
      </c>
      <c r="C699" s="23" t="s">
        <v>20</v>
      </c>
      <c r="D699" s="23">
        <v>1</v>
      </c>
      <c r="E699" s="23" t="s">
        <v>1563</v>
      </c>
      <c r="F699" s="23" t="s">
        <v>1560</v>
      </c>
      <c r="G699" s="23" t="s">
        <v>1416</v>
      </c>
      <c r="H699" s="24">
        <v>1</v>
      </c>
      <c r="I699" s="24" t="s">
        <v>2482</v>
      </c>
      <c r="J699" s="24">
        <v>1</v>
      </c>
      <c r="K699" s="24" t="s">
        <v>1826</v>
      </c>
    </row>
    <row r="700" spans="1:11" ht="39.6" customHeight="1">
      <c r="A700" s="23" t="s">
        <v>367</v>
      </c>
      <c r="B700" s="23" t="s">
        <v>22</v>
      </c>
      <c r="C700" s="23" t="s">
        <v>23</v>
      </c>
      <c r="D700" s="23">
        <v>1</v>
      </c>
      <c r="E700" s="23" t="s">
        <v>1564</v>
      </c>
      <c r="F700" s="23" t="s">
        <v>1560</v>
      </c>
      <c r="G700" s="23" t="s">
        <v>1565</v>
      </c>
      <c r="H700" s="24">
        <v>1</v>
      </c>
      <c r="I700" s="24" t="s">
        <v>2483</v>
      </c>
      <c r="J700" s="24">
        <v>1</v>
      </c>
      <c r="K700" s="24" t="s">
        <v>1826</v>
      </c>
    </row>
    <row r="701" spans="1:11" ht="39.6" customHeight="1">
      <c r="A701" s="23" t="s">
        <v>367</v>
      </c>
      <c r="B701" s="23" t="s">
        <v>25</v>
      </c>
      <c r="C701" s="23" t="s">
        <v>26</v>
      </c>
      <c r="D701" s="23">
        <v>1</v>
      </c>
      <c r="E701" s="23" t="s">
        <v>1566</v>
      </c>
      <c r="F701" s="23" t="s">
        <v>1560</v>
      </c>
      <c r="G701" s="23" t="s">
        <v>1567</v>
      </c>
      <c r="H701" s="24">
        <v>1</v>
      </c>
      <c r="I701" s="24" t="s">
        <v>2484</v>
      </c>
      <c r="J701" s="24">
        <v>1</v>
      </c>
      <c r="K701" s="24" t="s">
        <v>1826</v>
      </c>
    </row>
    <row r="702" spans="1:11" ht="39.6" customHeight="1">
      <c r="A702" s="23" t="s">
        <v>367</v>
      </c>
      <c r="B702" s="23" t="s">
        <v>28</v>
      </c>
      <c r="C702" s="23" t="s">
        <v>29</v>
      </c>
      <c r="D702" s="23">
        <v>1</v>
      </c>
      <c r="E702" s="23" t="s">
        <v>1568</v>
      </c>
      <c r="F702" s="23" t="s">
        <v>1560</v>
      </c>
      <c r="G702" s="23" t="s">
        <v>1420</v>
      </c>
      <c r="H702" s="24">
        <v>1</v>
      </c>
      <c r="I702" s="24" t="s">
        <v>2485</v>
      </c>
      <c r="J702" s="24">
        <v>1</v>
      </c>
      <c r="K702" s="24" t="s">
        <v>1826</v>
      </c>
    </row>
    <row r="703" spans="1:11" ht="26.45" customHeight="1">
      <c r="A703" s="23" t="s">
        <v>367</v>
      </c>
      <c r="B703" s="23" t="s">
        <v>31</v>
      </c>
      <c r="C703" s="23" t="s">
        <v>32</v>
      </c>
      <c r="D703" s="23">
        <v>1</v>
      </c>
      <c r="E703" s="23" t="s">
        <v>1569</v>
      </c>
      <c r="F703" s="23" t="s">
        <v>1560</v>
      </c>
      <c r="G703" s="23" t="s">
        <v>1570</v>
      </c>
      <c r="H703" s="24">
        <v>1</v>
      </c>
      <c r="I703" s="24" t="s">
        <v>2486</v>
      </c>
      <c r="J703" s="24">
        <v>1</v>
      </c>
      <c r="K703" s="24" t="s">
        <v>1826</v>
      </c>
    </row>
    <row r="704" spans="1:11" ht="39.6" customHeight="1">
      <c r="A704" s="23" t="s">
        <v>367</v>
      </c>
      <c r="B704" s="23" t="s">
        <v>34</v>
      </c>
      <c r="C704" s="23" t="s">
        <v>35</v>
      </c>
      <c r="D704" s="23">
        <v>1</v>
      </c>
      <c r="E704" s="23" t="s">
        <v>1571</v>
      </c>
      <c r="F704" s="23" t="s">
        <v>1560</v>
      </c>
      <c r="G704" s="23" t="s">
        <v>1453</v>
      </c>
      <c r="H704" s="24">
        <v>1</v>
      </c>
      <c r="I704" s="24" t="s">
        <v>2487</v>
      </c>
      <c r="J704" s="24">
        <v>1</v>
      </c>
      <c r="K704" s="24" t="s">
        <v>1826</v>
      </c>
    </row>
    <row r="705" spans="1:11" ht="39.6" customHeight="1">
      <c r="A705" s="23" t="s">
        <v>367</v>
      </c>
      <c r="B705" s="23" t="s">
        <v>37</v>
      </c>
      <c r="C705" s="23" t="s">
        <v>38</v>
      </c>
      <c r="D705" s="23">
        <v>1</v>
      </c>
      <c r="E705" s="23" t="s">
        <v>1572</v>
      </c>
      <c r="F705" s="23" t="s">
        <v>1560</v>
      </c>
      <c r="G705" s="23" t="s">
        <v>1573</v>
      </c>
      <c r="H705" s="24">
        <v>1</v>
      </c>
      <c r="I705" s="24" t="s">
        <v>2488</v>
      </c>
      <c r="J705" s="24">
        <v>1</v>
      </c>
      <c r="K705" s="24" t="s">
        <v>1826</v>
      </c>
    </row>
    <row r="706" spans="1:11" ht="39.6" customHeight="1">
      <c r="A706" s="23" t="s">
        <v>371</v>
      </c>
      <c r="B706" s="23" t="s">
        <v>13</v>
      </c>
      <c r="C706" s="23" t="s">
        <v>14</v>
      </c>
      <c r="D706" s="23">
        <v>1</v>
      </c>
      <c r="E706" s="23" t="s">
        <v>1574</v>
      </c>
      <c r="F706" s="23" t="s">
        <v>1575</v>
      </c>
      <c r="G706" s="23" t="s">
        <v>1318</v>
      </c>
      <c r="H706" s="24">
        <v>1</v>
      </c>
      <c r="I706" s="24" t="s">
        <v>2489</v>
      </c>
      <c r="J706" s="24">
        <v>1</v>
      </c>
      <c r="K706" s="24" t="s">
        <v>1826</v>
      </c>
    </row>
    <row r="707" spans="1:11" ht="39.6" customHeight="1">
      <c r="A707" s="23" t="s">
        <v>371</v>
      </c>
      <c r="B707" s="23" t="s">
        <v>16</v>
      </c>
      <c r="C707" s="23" t="s">
        <v>17</v>
      </c>
      <c r="D707" s="23">
        <v>1</v>
      </c>
      <c r="E707" s="23" t="s">
        <v>1576</v>
      </c>
      <c r="F707" s="23" t="s">
        <v>1575</v>
      </c>
      <c r="G707" s="23" t="s">
        <v>1416</v>
      </c>
      <c r="H707" s="24">
        <v>1</v>
      </c>
      <c r="I707" s="24" t="s">
        <v>2490</v>
      </c>
      <c r="J707" s="24">
        <v>1</v>
      </c>
      <c r="K707" s="24" t="s">
        <v>1826</v>
      </c>
    </row>
    <row r="708" spans="1:11" ht="39.6" customHeight="1">
      <c r="A708" s="23" t="s">
        <v>371</v>
      </c>
      <c r="B708" s="23" t="s">
        <v>19</v>
      </c>
      <c r="C708" s="23" t="s">
        <v>20</v>
      </c>
      <c r="D708" s="23">
        <v>1</v>
      </c>
      <c r="E708" s="23" t="s">
        <v>1577</v>
      </c>
      <c r="F708" s="23" t="s">
        <v>1575</v>
      </c>
      <c r="G708" s="23" t="s">
        <v>1578</v>
      </c>
      <c r="H708" s="24">
        <v>1</v>
      </c>
      <c r="I708" s="24" t="s">
        <v>2491</v>
      </c>
      <c r="J708" s="24">
        <v>1</v>
      </c>
      <c r="K708" s="24" t="s">
        <v>1826</v>
      </c>
    </row>
    <row r="709" spans="1:11" ht="26.45" customHeight="1">
      <c r="A709" s="23" t="s">
        <v>371</v>
      </c>
      <c r="B709" s="23" t="s">
        <v>22</v>
      </c>
      <c r="C709" s="23" t="s">
        <v>23</v>
      </c>
      <c r="D709" s="23">
        <v>1</v>
      </c>
      <c r="E709" s="23" t="s">
        <v>1579</v>
      </c>
      <c r="F709" s="23" t="s">
        <v>1575</v>
      </c>
      <c r="G709" s="23" t="s">
        <v>1578</v>
      </c>
      <c r="H709" s="24">
        <v>1</v>
      </c>
      <c r="I709" s="24" t="s">
        <v>2492</v>
      </c>
      <c r="J709" s="24">
        <v>1</v>
      </c>
      <c r="K709" s="24" t="s">
        <v>1826</v>
      </c>
    </row>
    <row r="710" spans="1:11" ht="39.6" customHeight="1">
      <c r="A710" s="23" t="s">
        <v>371</v>
      </c>
      <c r="B710" s="23" t="s">
        <v>25</v>
      </c>
      <c r="C710" s="23" t="s">
        <v>26</v>
      </c>
      <c r="D710" s="23">
        <v>1</v>
      </c>
      <c r="E710" s="23" t="s">
        <v>1580</v>
      </c>
      <c r="F710" s="23" t="s">
        <v>1575</v>
      </c>
      <c r="G710" s="23" t="s">
        <v>1570</v>
      </c>
      <c r="H710" s="24">
        <v>1</v>
      </c>
      <c r="I710" s="24" t="s">
        <v>2493</v>
      </c>
      <c r="J710" s="24">
        <v>1</v>
      </c>
      <c r="K710" s="24" t="s">
        <v>1826</v>
      </c>
    </row>
    <row r="711" spans="1:11" ht="39.6" customHeight="1">
      <c r="A711" s="23" t="s">
        <v>371</v>
      </c>
      <c r="B711" s="23" t="s">
        <v>28</v>
      </c>
      <c r="C711" s="23" t="s">
        <v>29</v>
      </c>
      <c r="D711" s="23">
        <v>1</v>
      </c>
      <c r="E711" s="23" t="s">
        <v>1581</v>
      </c>
      <c r="F711" s="23" t="s">
        <v>1575</v>
      </c>
      <c r="G711" s="23" t="s">
        <v>1582</v>
      </c>
      <c r="H711" s="24">
        <v>1</v>
      </c>
      <c r="I711" s="24" t="s">
        <v>2494</v>
      </c>
      <c r="J711" s="24">
        <v>1</v>
      </c>
      <c r="K711" s="24" t="s">
        <v>1826</v>
      </c>
    </row>
    <row r="712" spans="1:11" ht="26.45" customHeight="1">
      <c r="A712" s="23" t="s">
        <v>371</v>
      </c>
      <c r="B712" s="23" t="s">
        <v>31</v>
      </c>
      <c r="C712" s="23" t="s">
        <v>32</v>
      </c>
      <c r="D712" s="23">
        <v>1</v>
      </c>
      <c r="E712" s="23" t="s">
        <v>1583</v>
      </c>
      <c r="F712" s="23" t="s">
        <v>1575</v>
      </c>
      <c r="G712" s="23" t="s">
        <v>1309</v>
      </c>
      <c r="H712" s="24">
        <v>1</v>
      </c>
      <c r="I712" s="24" t="s">
        <v>2495</v>
      </c>
      <c r="J712" s="24">
        <v>1</v>
      </c>
      <c r="K712" s="24" t="s">
        <v>1826</v>
      </c>
    </row>
    <row r="713" spans="1:11" ht="39.6" customHeight="1">
      <c r="A713" s="23" t="s">
        <v>371</v>
      </c>
      <c r="B713" s="23" t="s">
        <v>34</v>
      </c>
      <c r="C713" s="23" t="s">
        <v>35</v>
      </c>
      <c r="D713" s="23">
        <v>1</v>
      </c>
      <c r="E713" s="23" t="s">
        <v>1584</v>
      </c>
      <c r="F713" s="23" t="s">
        <v>1575</v>
      </c>
      <c r="G713" s="23" t="s">
        <v>1585</v>
      </c>
      <c r="H713" s="24">
        <v>1</v>
      </c>
      <c r="I713" s="24" t="s">
        <v>2496</v>
      </c>
      <c r="J713" s="24">
        <v>1</v>
      </c>
      <c r="K713" s="24" t="s">
        <v>1826</v>
      </c>
    </row>
    <row r="714" spans="1:11" ht="39.6" customHeight="1">
      <c r="A714" s="23" t="s">
        <v>371</v>
      </c>
      <c r="B714" s="23" t="s">
        <v>37</v>
      </c>
      <c r="C714" s="23" t="s">
        <v>38</v>
      </c>
      <c r="D714" s="23">
        <v>0.5</v>
      </c>
      <c r="E714" s="23" t="s">
        <v>1586</v>
      </c>
      <c r="F714" s="23" t="s">
        <v>1575</v>
      </c>
      <c r="G714" s="23" t="s">
        <v>1578</v>
      </c>
      <c r="H714" s="24">
        <v>0.5</v>
      </c>
      <c r="I714" s="24" t="s">
        <v>2497</v>
      </c>
      <c r="J714" s="24">
        <v>0.5</v>
      </c>
      <c r="K714" s="24" t="s">
        <v>1833</v>
      </c>
    </row>
    <row r="715" spans="1:11" ht="39.6" customHeight="1">
      <c r="A715" s="23" t="s">
        <v>375</v>
      </c>
      <c r="B715" s="23" t="s">
        <v>13</v>
      </c>
      <c r="C715" s="23" t="s">
        <v>14</v>
      </c>
      <c r="D715" s="23">
        <v>1</v>
      </c>
      <c r="E715" s="23" t="s">
        <v>1587</v>
      </c>
      <c r="F715" s="23" t="s">
        <v>1588</v>
      </c>
      <c r="G715" s="23" t="s">
        <v>1352</v>
      </c>
      <c r="H715" s="24">
        <v>1</v>
      </c>
      <c r="I715" s="24" t="s">
        <v>2498</v>
      </c>
      <c r="J715" s="24">
        <v>1</v>
      </c>
      <c r="K715" s="24" t="s">
        <v>1826</v>
      </c>
    </row>
    <row r="716" spans="1:11" ht="39.6" customHeight="1">
      <c r="A716" s="23" t="s">
        <v>375</v>
      </c>
      <c r="B716" s="23" t="s">
        <v>16</v>
      </c>
      <c r="C716" s="23" t="s">
        <v>17</v>
      </c>
      <c r="D716" s="23">
        <v>1</v>
      </c>
      <c r="E716" s="23" t="s">
        <v>1589</v>
      </c>
      <c r="F716" s="23" t="s">
        <v>1588</v>
      </c>
      <c r="G716" s="23" t="s">
        <v>1354</v>
      </c>
      <c r="H716" s="24">
        <v>1</v>
      </c>
      <c r="I716" s="24" t="s">
        <v>2499</v>
      </c>
      <c r="J716" s="24">
        <v>1</v>
      </c>
      <c r="K716" s="24" t="s">
        <v>1826</v>
      </c>
    </row>
    <row r="717" spans="1:11" ht="39.6" customHeight="1">
      <c r="A717" s="23" t="s">
        <v>375</v>
      </c>
      <c r="B717" s="23" t="s">
        <v>19</v>
      </c>
      <c r="C717" s="23" t="s">
        <v>20</v>
      </c>
      <c r="D717" s="23">
        <v>1</v>
      </c>
      <c r="E717" s="23" t="s">
        <v>1590</v>
      </c>
      <c r="F717" s="23" t="s">
        <v>1588</v>
      </c>
      <c r="G717" s="23" t="s">
        <v>1362</v>
      </c>
      <c r="H717" s="24">
        <v>1</v>
      </c>
      <c r="I717" s="24" t="s">
        <v>2500</v>
      </c>
      <c r="J717" s="24">
        <v>1</v>
      </c>
      <c r="K717" s="24" t="s">
        <v>1826</v>
      </c>
    </row>
    <row r="718" spans="1:11" ht="39.6" customHeight="1">
      <c r="A718" s="23" t="s">
        <v>375</v>
      </c>
      <c r="B718" s="23" t="s">
        <v>22</v>
      </c>
      <c r="C718" s="23" t="s">
        <v>23</v>
      </c>
      <c r="D718" s="23">
        <v>1</v>
      </c>
      <c r="E718" s="23" t="s">
        <v>1591</v>
      </c>
      <c r="F718" s="23" t="s">
        <v>1588</v>
      </c>
      <c r="G718" s="23" t="s">
        <v>1592</v>
      </c>
      <c r="H718" s="24">
        <v>1</v>
      </c>
      <c r="I718" s="24" t="s">
        <v>2501</v>
      </c>
      <c r="J718" s="24">
        <v>1</v>
      </c>
      <c r="K718" s="24" t="s">
        <v>1826</v>
      </c>
    </row>
    <row r="719" spans="1:11" ht="26.45" customHeight="1">
      <c r="A719" s="23" t="s">
        <v>375</v>
      </c>
      <c r="B719" s="23" t="s">
        <v>25</v>
      </c>
      <c r="C719" s="23" t="s">
        <v>26</v>
      </c>
      <c r="D719" s="23">
        <v>1</v>
      </c>
      <c r="E719" s="23" t="s">
        <v>1593</v>
      </c>
      <c r="F719" s="23" t="s">
        <v>1588</v>
      </c>
      <c r="G719" s="23" t="s">
        <v>1594</v>
      </c>
      <c r="H719" s="24">
        <v>1</v>
      </c>
      <c r="I719" s="24" t="s">
        <v>2502</v>
      </c>
      <c r="J719" s="24">
        <v>1</v>
      </c>
      <c r="K719" s="24" t="s">
        <v>1826</v>
      </c>
    </row>
    <row r="720" spans="1:11" ht="39.6" customHeight="1">
      <c r="A720" s="23" t="s">
        <v>375</v>
      </c>
      <c r="B720" s="23" t="s">
        <v>28</v>
      </c>
      <c r="C720" s="23" t="s">
        <v>29</v>
      </c>
      <c r="D720" s="23">
        <v>1</v>
      </c>
      <c r="E720" s="23" t="s">
        <v>1595</v>
      </c>
      <c r="F720" s="23" t="s">
        <v>1588</v>
      </c>
      <c r="G720" s="23" t="s">
        <v>1372</v>
      </c>
      <c r="H720" s="24">
        <v>1</v>
      </c>
      <c r="I720" s="24" t="s">
        <v>2503</v>
      </c>
      <c r="J720" s="24">
        <v>1</v>
      </c>
      <c r="K720" s="24" t="s">
        <v>1826</v>
      </c>
    </row>
    <row r="721" spans="1:11" ht="39.6" customHeight="1">
      <c r="A721" s="23" t="s">
        <v>375</v>
      </c>
      <c r="B721" s="23" t="s">
        <v>31</v>
      </c>
      <c r="C721" s="23" t="s">
        <v>32</v>
      </c>
      <c r="D721" s="23">
        <v>1</v>
      </c>
      <c r="E721" s="23" t="s">
        <v>1596</v>
      </c>
      <c r="F721" s="23" t="s">
        <v>1588</v>
      </c>
      <c r="G721" s="23" t="s">
        <v>1388</v>
      </c>
      <c r="H721" s="24">
        <v>1</v>
      </c>
      <c r="I721" s="24" t="s">
        <v>2504</v>
      </c>
      <c r="J721" s="24">
        <v>1</v>
      </c>
      <c r="K721" s="24" t="s">
        <v>1826</v>
      </c>
    </row>
    <row r="722" spans="1:11" ht="39.6" customHeight="1">
      <c r="A722" s="23" t="s">
        <v>375</v>
      </c>
      <c r="B722" s="23" t="s">
        <v>34</v>
      </c>
      <c r="C722" s="23" t="s">
        <v>35</v>
      </c>
      <c r="D722" s="23">
        <v>0.5</v>
      </c>
      <c r="E722" s="23" t="s">
        <v>1597</v>
      </c>
      <c r="F722" s="23" t="s">
        <v>1588</v>
      </c>
      <c r="G722" s="23" t="s">
        <v>1598</v>
      </c>
      <c r="H722" s="24">
        <v>0.5</v>
      </c>
      <c r="I722" s="24" t="s">
        <v>2505</v>
      </c>
      <c r="J722" s="24">
        <v>0.5</v>
      </c>
      <c r="K722" s="24" t="s">
        <v>1833</v>
      </c>
    </row>
    <row r="723" spans="1:11" ht="39.6" customHeight="1">
      <c r="A723" s="23" t="s">
        <v>375</v>
      </c>
      <c r="B723" s="23" t="s">
        <v>37</v>
      </c>
      <c r="C723" s="23" t="s">
        <v>38</v>
      </c>
      <c r="D723" s="23">
        <v>0.5</v>
      </c>
      <c r="E723" s="23" t="s">
        <v>1599</v>
      </c>
      <c r="F723" s="23" t="s">
        <v>1588</v>
      </c>
      <c r="G723" s="23" t="s">
        <v>1592</v>
      </c>
      <c r="H723" s="24">
        <v>0.5</v>
      </c>
      <c r="I723" s="24" t="s">
        <v>2506</v>
      </c>
      <c r="J723" s="24">
        <v>0.5</v>
      </c>
      <c r="K723" s="24" t="s">
        <v>1833</v>
      </c>
    </row>
    <row r="724" spans="1:11" ht="39.6" customHeight="1">
      <c r="A724" s="23" t="s">
        <v>379</v>
      </c>
      <c r="B724" s="23" t="s">
        <v>13</v>
      </c>
      <c r="C724" s="23" t="s">
        <v>14</v>
      </c>
      <c r="D724" s="23">
        <v>1</v>
      </c>
      <c r="E724" s="23" t="s">
        <v>1600</v>
      </c>
      <c r="F724" s="23" t="s">
        <v>1601</v>
      </c>
      <c r="G724" s="23" t="s">
        <v>1352</v>
      </c>
      <c r="H724" s="24">
        <v>1</v>
      </c>
      <c r="I724" s="24" t="s">
        <v>2507</v>
      </c>
      <c r="J724" s="24">
        <v>1</v>
      </c>
      <c r="K724" s="24" t="s">
        <v>1826</v>
      </c>
    </row>
    <row r="725" spans="1:11" ht="39.6" customHeight="1">
      <c r="A725" s="23" t="s">
        <v>379</v>
      </c>
      <c r="B725" s="23" t="s">
        <v>16</v>
      </c>
      <c r="C725" s="23" t="s">
        <v>17</v>
      </c>
      <c r="D725" s="23">
        <v>1</v>
      </c>
      <c r="E725" s="23" t="s">
        <v>1602</v>
      </c>
      <c r="F725" s="23" t="s">
        <v>1601</v>
      </c>
      <c r="G725" s="23" t="s">
        <v>1488</v>
      </c>
      <c r="H725" s="24">
        <v>1</v>
      </c>
      <c r="I725" s="24" t="s">
        <v>2508</v>
      </c>
      <c r="J725" s="24">
        <v>1</v>
      </c>
      <c r="K725" s="24" t="s">
        <v>1826</v>
      </c>
    </row>
    <row r="726" spans="1:11" ht="26.45" customHeight="1">
      <c r="A726" s="23" t="s">
        <v>379</v>
      </c>
      <c r="B726" s="23" t="s">
        <v>19</v>
      </c>
      <c r="C726" s="23" t="s">
        <v>20</v>
      </c>
      <c r="D726" s="23">
        <v>1</v>
      </c>
      <c r="E726" s="23" t="s">
        <v>1603</v>
      </c>
      <c r="F726" s="23" t="s">
        <v>1601</v>
      </c>
      <c r="G726" s="23" t="s">
        <v>1604</v>
      </c>
      <c r="H726" s="24">
        <v>1</v>
      </c>
      <c r="I726" s="24" t="s">
        <v>2509</v>
      </c>
      <c r="J726" s="24">
        <v>1</v>
      </c>
      <c r="K726" s="24" t="s">
        <v>1826</v>
      </c>
    </row>
    <row r="727" spans="1:11" ht="39.6" customHeight="1">
      <c r="A727" s="23" t="s">
        <v>379</v>
      </c>
      <c r="B727" s="23" t="s">
        <v>22</v>
      </c>
      <c r="C727" s="23" t="s">
        <v>23</v>
      </c>
      <c r="D727" s="23">
        <v>1</v>
      </c>
      <c r="E727" s="23" t="s">
        <v>1605</v>
      </c>
      <c r="F727" s="23" t="s">
        <v>1601</v>
      </c>
      <c r="G727" s="23" t="s">
        <v>1492</v>
      </c>
      <c r="H727" s="24">
        <v>1</v>
      </c>
      <c r="I727" s="24" t="s">
        <v>2510</v>
      </c>
      <c r="J727" s="24">
        <v>1</v>
      </c>
      <c r="K727" s="24" t="s">
        <v>1826</v>
      </c>
    </row>
    <row r="728" spans="1:11" ht="26.45" customHeight="1">
      <c r="A728" s="23" t="s">
        <v>379</v>
      </c>
      <c r="B728" s="23" t="s">
        <v>25</v>
      </c>
      <c r="C728" s="23" t="s">
        <v>26</v>
      </c>
      <c r="D728" s="23">
        <v>1</v>
      </c>
      <c r="E728" s="23" t="s">
        <v>1606</v>
      </c>
      <c r="F728" s="23" t="s">
        <v>1601</v>
      </c>
      <c r="G728" s="23" t="s">
        <v>1607</v>
      </c>
      <c r="H728" s="24">
        <v>1</v>
      </c>
      <c r="I728" s="24" t="s">
        <v>2511</v>
      </c>
      <c r="J728" s="24">
        <v>1</v>
      </c>
      <c r="K728" s="24" t="s">
        <v>1826</v>
      </c>
    </row>
    <row r="729" spans="1:11" ht="26.45" customHeight="1">
      <c r="A729" s="23" t="s">
        <v>379</v>
      </c>
      <c r="B729" s="23" t="s">
        <v>28</v>
      </c>
      <c r="C729" s="23" t="s">
        <v>29</v>
      </c>
      <c r="D729" s="23">
        <v>1</v>
      </c>
      <c r="E729" s="23" t="s">
        <v>1608</v>
      </c>
      <c r="F729" s="23" t="s">
        <v>1601</v>
      </c>
      <c r="G729" s="23" t="s">
        <v>1609</v>
      </c>
      <c r="H729" s="24">
        <v>1</v>
      </c>
      <c r="I729" s="24" t="s">
        <v>2512</v>
      </c>
      <c r="J729" s="24">
        <v>1</v>
      </c>
      <c r="K729" s="24" t="s">
        <v>1826</v>
      </c>
    </row>
    <row r="730" spans="1:11" ht="39.6" customHeight="1">
      <c r="A730" s="23" t="s">
        <v>379</v>
      </c>
      <c r="B730" s="23" t="s">
        <v>31</v>
      </c>
      <c r="C730" s="23" t="s">
        <v>32</v>
      </c>
      <c r="D730" s="23">
        <v>0.5</v>
      </c>
      <c r="E730" s="23" t="s">
        <v>1610</v>
      </c>
      <c r="F730" s="23" t="s">
        <v>1601</v>
      </c>
      <c r="G730" s="23" t="s">
        <v>1555</v>
      </c>
      <c r="H730" s="24">
        <v>0.5</v>
      </c>
      <c r="I730" s="24" t="s">
        <v>2513</v>
      </c>
      <c r="J730" s="24">
        <v>0.5</v>
      </c>
      <c r="K730" s="24" t="s">
        <v>1833</v>
      </c>
    </row>
    <row r="731" spans="1:11" ht="39.6" customHeight="1">
      <c r="A731" s="23" t="s">
        <v>379</v>
      </c>
      <c r="B731" s="23" t="s">
        <v>34</v>
      </c>
      <c r="C731" s="23" t="s">
        <v>35</v>
      </c>
      <c r="D731" s="23">
        <v>0.5</v>
      </c>
      <c r="E731" s="23" t="s">
        <v>1611</v>
      </c>
      <c r="F731" s="23" t="s">
        <v>1601</v>
      </c>
      <c r="G731" s="23" t="s">
        <v>1612</v>
      </c>
      <c r="H731" s="24">
        <v>0.5</v>
      </c>
      <c r="I731" s="24" t="s">
        <v>2514</v>
      </c>
      <c r="J731" s="24">
        <v>0.5</v>
      </c>
      <c r="K731" s="24" t="s">
        <v>1833</v>
      </c>
    </row>
    <row r="732" spans="1:11" ht="39.6" customHeight="1">
      <c r="A732" s="23" t="s">
        <v>379</v>
      </c>
      <c r="B732" s="23" t="s">
        <v>37</v>
      </c>
      <c r="C732" s="23" t="s">
        <v>38</v>
      </c>
      <c r="D732" s="23">
        <v>0.5</v>
      </c>
      <c r="E732" s="23" t="s">
        <v>1613</v>
      </c>
      <c r="F732" s="23" t="s">
        <v>1601</v>
      </c>
      <c r="G732" s="23" t="s">
        <v>1354</v>
      </c>
      <c r="H732" s="24">
        <v>0.5</v>
      </c>
      <c r="I732" s="24" t="s">
        <v>2515</v>
      </c>
      <c r="J732" s="24">
        <v>0.5</v>
      </c>
      <c r="K732" s="24" t="s">
        <v>1833</v>
      </c>
    </row>
    <row r="733" spans="1:11" ht="204.75">
      <c r="A733" s="23" t="s">
        <v>383</v>
      </c>
      <c r="B733" s="23" t="s">
        <v>13</v>
      </c>
      <c r="C733" s="23" t="s">
        <v>14</v>
      </c>
      <c r="D733" s="23">
        <v>1</v>
      </c>
      <c r="E733" s="23" t="s">
        <v>1614</v>
      </c>
      <c r="F733" s="23" t="s">
        <v>1615</v>
      </c>
      <c r="G733" s="23" t="s">
        <v>1616</v>
      </c>
      <c r="H733" s="23">
        <v>1</v>
      </c>
      <c r="I733" s="23" t="s">
        <v>2516</v>
      </c>
      <c r="J733" s="23">
        <v>1</v>
      </c>
      <c r="K733" s="23" t="s">
        <v>1826</v>
      </c>
    </row>
    <row r="734" spans="1:11" ht="220.5">
      <c r="A734" s="23" t="s">
        <v>383</v>
      </c>
      <c r="B734" s="23" t="s">
        <v>16</v>
      </c>
      <c r="C734" s="23" t="s">
        <v>17</v>
      </c>
      <c r="D734" s="23">
        <v>1</v>
      </c>
      <c r="E734" s="23" t="s">
        <v>1617</v>
      </c>
      <c r="F734" s="23" t="s">
        <v>1615</v>
      </c>
      <c r="G734" s="23" t="s">
        <v>1618</v>
      </c>
      <c r="H734" s="23">
        <v>1</v>
      </c>
      <c r="I734" s="23" t="s">
        <v>2517</v>
      </c>
      <c r="J734" s="23">
        <v>1</v>
      </c>
      <c r="K734" s="23" t="s">
        <v>1826</v>
      </c>
    </row>
    <row r="735" spans="1:11" ht="236.25">
      <c r="A735" s="23" t="s">
        <v>383</v>
      </c>
      <c r="B735" s="23" t="s">
        <v>19</v>
      </c>
      <c r="C735" s="23" t="s">
        <v>20</v>
      </c>
      <c r="D735" s="23">
        <v>1</v>
      </c>
      <c r="E735" s="23" t="s">
        <v>1619</v>
      </c>
      <c r="F735" s="23" t="s">
        <v>1615</v>
      </c>
      <c r="G735" s="23" t="s">
        <v>1620</v>
      </c>
      <c r="H735" s="23">
        <v>1</v>
      </c>
      <c r="I735" s="23" t="s">
        <v>2518</v>
      </c>
      <c r="J735" s="23">
        <v>1</v>
      </c>
      <c r="K735" s="23" t="s">
        <v>1826</v>
      </c>
    </row>
    <row r="736" spans="1:11" ht="189">
      <c r="A736" s="23" t="s">
        <v>383</v>
      </c>
      <c r="B736" s="23" t="s">
        <v>22</v>
      </c>
      <c r="C736" s="23" t="s">
        <v>23</v>
      </c>
      <c r="D736" s="23">
        <v>1</v>
      </c>
      <c r="E736" s="23" t="s">
        <v>1621</v>
      </c>
      <c r="F736" s="23" t="s">
        <v>1615</v>
      </c>
      <c r="G736" s="23" t="s">
        <v>1622</v>
      </c>
      <c r="H736" s="23">
        <v>1</v>
      </c>
      <c r="I736" s="23" t="s">
        <v>2519</v>
      </c>
      <c r="J736" s="23">
        <v>1</v>
      </c>
      <c r="K736" s="23" t="s">
        <v>1826</v>
      </c>
    </row>
    <row r="737" spans="1:11" ht="220.5">
      <c r="A737" s="23" t="s">
        <v>383</v>
      </c>
      <c r="B737" s="23" t="s">
        <v>25</v>
      </c>
      <c r="C737" s="23" t="s">
        <v>26</v>
      </c>
      <c r="D737" s="23">
        <v>1</v>
      </c>
      <c r="E737" s="23" t="s">
        <v>1623</v>
      </c>
      <c r="F737" s="23" t="s">
        <v>1615</v>
      </c>
      <c r="G737" s="23" t="s">
        <v>1622</v>
      </c>
      <c r="H737" s="23">
        <v>1</v>
      </c>
      <c r="I737" s="23" t="s">
        <v>2520</v>
      </c>
      <c r="J737" s="23">
        <v>1</v>
      </c>
      <c r="K737" s="23" t="s">
        <v>1826</v>
      </c>
    </row>
    <row r="738" spans="1:11" ht="173.25">
      <c r="A738" s="23" t="s">
        <v>383</v>
      </c>
      <c r="B738" s="23" t="s">
        <v>28</v>
      </c>
      <c r="C738" s="23" t="s">
        <v>29</v>
      </c>
      <c r="D738" s="23">
        <v>1</v>
      </c>
      <c r="E738" s="23" t="s">
        <v>1624</v>
      </c>
      <c r="F738" s="23" t="s">
        <v>1615</v>
      </c>
      <c r="G738" s="23" t="s">
        <v>1625</v>
      </c>
      <c r="H738" s="23">
        <v>1</v>
      </c>
      <c r="I738" s="23" t="s">
        <v>2521</v>
      </c>
      <c r="J738" s="23">
        <v>1</v>
      </c>
      <c r="K738" s="23" t="s">
        <v>1826</v>
      </c>
    </row>
    <row r="739" spans="1:11" ht="330.75">
      <c r="A739" s="23" t="s">
        <v>383</v>
      </c>
      <c r="B739" s="23" t="s">
        <v>31</v>
      </c>
      <c r="C739" s="23" t="s">
        <v>32</v>
      </c>
      <c r="D739" s="23">
        <v>0.5</v>
      </c>
      <c r="E739" s="23" t="s">
        <v>1626</v>
      </c>
      <c r="F739" s="23" t="s">
        <v>1615</v>
      </c>
      <c r="G739" s="23" t="s">
        <v>1627</v>
      </c>
      <c r="H739" s="23">
        <v>0.5</v>
      </c>
      <c r="I739" s="23" t="s">
        <v>2522</v>
      </c>
      <c r="J739" s="23">
        <v>0.5</v>
      </c>
      <c r="K739" s="23" t="s">
        <v>1833</v>
      </c>
    </row>
    <row r="740" spans="1:11" ht="220.5">
      <c r="A740" s="23" t="s">
        <v>383</v>
      </c>
      <c r="B740" s="23" t="s">
        <v>34</v>
      </c>
      <c r="C740" s="23" t="s">
        <v>35</v>
      </c>
      <c r="D740" s="23">
        <v>1</v>
      </c>
      <c r="E740" s="23" t="s">
        <v>1628</v>
      </c>
      <c r="F740" s="23" t="s">
        <v>1615</v>
      </c>
      <c r="G740" s="23" t="s">
        <v>1625</v>
      </c>
      <c r="H740" s="23">
        <v>1</v>
      </c>
      <c r="I740" s="23" t="s">
        <v>2523</v>
      </c>
      <c r="J740" s="23">
        <v>1</v>
      </c>
      <c r="K740" s="23" t="s">
        <v>1826</v>
      </c>
    </row>
    <row r="741" spans="1:11" ht="189">
      <c r="A741" s="23" t="s">
        <v>383</v>
      </c>
      <c r="B741" s="23" t="s">
        <v>37</v>
      </c>
      <c r="C741" s="23" t="s">
        <v>38</v>
      </c>
      <c r="D741" s="23">
        <v>1</v>
      </c>
      <c r="E741" s="23" t="s">
        <v>1629</v>
      </c>
      <c r="F741" s="23" t="s">
        <v>1615</v>
      </c>
      <c r="G741" s="23" t="s">
        <v>1630</v>
      </c>
      <c r="H741" s="23">
        <v>1</v>
      </c>
      <c r="I741" s="23" t="s">
        <v>2524</v>
      </c>
      <c r="J741" s="23">
        <v>1</v>
      </c>
      <c r="K741" s="23" t="s">
        <v>1826</v>
      </c>
    </row>
    <row r="742" spans="1:11" ht="189">
      <c r="A742" s="23" t="s">
        <v>387</v>
      </c>
      <c r="B742" s="23" t="s">
        <v>13</v>
      </c>
      <c r="C742" s="23" t="s">
        <v>14</v>
      </c>
      <c r="D742" s="23">
        <v>1</v>
      </c>
      <c r="E742" s="23" t="s">
        <v>1631</v>
      </c>
      <c r="F742" s="23" t="s">
        <v>1632</v>
      </c>
      <c r="G742" s="23" t="s">
        <v>1633</v>
      </c>
      <c r="H742" s="23">
        <v>1</v>
      </c>
      <c r="I742" s="23" t="s">
        <v>2525</v>
      </c>
      <c r="J742" s="23">
        <v>1</v>
      </c>
      <c r="K742" s="23" t="s">
        <v>1826</v>
      </c>
    </row>
    <row r="743" spans="1:11" ht="189">
      <c r="A743" s="23" t="s">
        <v>387</v>
      </c>
      <c r="B743" s="23" t="s">
        <v>16</v>
      </c>
      <c r="C743" s="23" t="s">
        <v>17</v>
      </c>
      <c r="D743" s="23">
        <v>1</v>
      </c>
      <c r="E743" s="23" t="s">
        <v>1634</v>
      </c>
      <c r="F743" s="23" t="s">
        <v>1632</v>
      </c>
      <c r="G743" s="23" t="s">
        <v>1635</v>
      </c>
      <c r="H743" s="23">
        <v>1</v>
      </c>
      <c r="I743" s="23" t="s">
        <v>2526</v>
      </c>
      <c r="J743" s="23">
        <v>1</v>
      </c>
      <c r="K743" s="23" t="s">
        <v>1826</v>
      </c>
    </row>
    <row r="744" spans="1:11" ht="173.25">
      <c r="A744" s="23" t="s">
        <v>387</v>
      </c>
      <c r="B744" s="23" t="s">
        <v>19</v>
      </c>
      <c r="C744" s="23" t="s">
        <v>20</v>
      </c>
      <c r="D744" s="23">
        <v>1</v>
      </c>
      <c r="E744" s="23" t="s">
        <v>1636</v>
      </c>
      <c r="F744" s="23" t="s">
        <v>1632</v>
      </c>
      <c r="G744" s="23" t="s">
        <v>1637</v>
      </c>
      <c r="H744" s="23">
        <v>1</v>
      </c>
      <c r="I744" s="23" t="s">
        <v>2527</v>
      </c>
      <c r="J744" s="23">
        <v>1</v>
      </c>
      <c r="K744" s="23" t="s">
        <v>1826</v>
      </c>
    </row>
    <row r="745" spans="1:11" ht="220.5">
      <c r="A745" s="23" t="s">
        <v>387</v>
      </c>
      <c r="B745" s="23" t="s">
        <v>22</v>
      </c>
      <c r="C745" s="23" t="s">
        <v>23</v>
      </c>
      <c r="D745" s="23">
        <v>1</v>
      </c>
      <c r="E745" s="23" t="s">
        <v>1638</v>
      </c>
      <c r="F745" s="23" t="s">
        <v>1632</v>
      </c>
      <c r="G745" s="23" t="s">
        <v>1639</v>
      </c>
      <c r="H745" s="23">
        <v>1</v>
      </c>
      <c r="I745" s="23" t="s">
        <v>2528</v>
      </c>
      <c r="J745" s="23">
        <v>1</v>
      </c>
      <c r="K745" s="23" t="s">
        <v>1826</v>
      </c>
    </row>
    <row r="746" spans="1:11" ht="236.25">
      <c r="A746" s="23" t="s">
        <v>387</v>
      </c>
      <c r="B746" s="23" t="s">
        <v>25</v>
      </c>
      <c r="C746" s="23" t="s">
        <v>26</v>
      </c>
      <c r="D746" s="23">
        <v>1</v>
      </c>
      <c r="E746" s="23" t="s">
        <v>1640</v>
      </c>
      <c r="F746" s="23" t="s">
        <v>1632</v>
      </c>
      <c r="G746" s="23" t="s">
        <v>1641</v>
      </c>
      <c r="H746" s="23">
        <v>1</v>
      </c>
      <c r="I746" s="23" t="s">
        <v>2529</v>
      </c>
      <c r="J746" s="23">
        <v>1</v>
      </c>
      <c r="K746" s="23" t="s">
        <v>1826</v>
      </c>
    </row>
    <row r="747" spans="1:11" ht="189">
      <c r="A747" s="23" t="s">
        <v>387</v>
      </c>
      <c r="B747" s="23" t="s">
        <v>28</v>
      </c>
      <c r="C747" s="23" t="s">
        <v>29</v>
      </c>
      <c r="D747" s="23">
        <v>1</v>
      </c>
      <c r="E747" s="23" t="s">
        <v>1642</v>
      </c>
      <c r="F747" s="23" t="s">
        <v>1632</v>
      </c>
      <c r="G747" s="23" t="s">
        <v>1641</v>
      </c>
      <c r="H747" s="23">
        <v>1</v>
      </c>
      <c r="I747" s="23" t="s">
        <v>2530</v>
      </c>
      <c r="J747" s="23">
        <v>1</v>
      </c>
      <c r="K747" s="23" t="s">
        <v>1826</v>
      </c>
    </row>
    <row r="748" spans="1:11" ht="189">
      <c r="A748" s="23" t="s">
        <v>387</v>
      </c>
      <c r="B748" s="23" t="s">
        <v>31</v>
      </c>
      <c r="C748" s="23" t="s">
        <v>32</v>
      </c>
      <c r="D748" s="23">
        <v>0</v>
      </c>
      <c r="E748" s="23" t="s">
        <v>1643</v>
      </c>
      <c r="F748" s="23" t="s">
        <v>1632</v>
      </c>
      <c r="G748" s="23" t="s">
        <v>1644</v>
      </c>
      <c r="H748" s="23">
        <v>0</v>
      </c>
      <c r="I748" s="23" t="s">
        <v>2531</v>
      </c>
      <c r="J748" s="23">
        <v>0</v>
      </c>
      <c r="K748" s="23" t="s">
        <v>2093</v>
      </c>
    </row>
    <row r="749" spans="1:11" ht="204.75">
      <c r="A749" s="23" t="s">
        <v>387</v>
      </c>
      <c r="B749" s="23" t="s">
        <v>34</v>
      </c>
      <c r="C749" s="23" t="s">
        <v>35</v>
      </c>
      <c r="D749" s="23">
        <v>1</v>
      </c>
      <c r="E749" s="23" t="s">
        <v>1645</v>
      </c>
      <c r="F749" s="23" t="s">
        <v>1632</v>
      </c>
      <c r="G749" s="23" t="s">
        <v>1641</v>
      </c>
      <c r="H749" s="23">
        <v>1</v>
      </c>
      <c r="I749" s="23" t="s">
        <v>2532</v>
      </c>
      <c r="J749" s="23">
        <v>1</v>
      </c>
      <c r="K749" s="23" t="s">
        <v>1826</v>
      </c>
    </row>
    <row r="750" spans="1:11" ht="204.75">
      <c r="A750" s="23" t="s">
        <v>387</v>
      </c>
      <c r="B750" s="23" t="s">
        <v>37</v>
      </c>
      <c r="C750" s="23" t="s">
        <v>38</v>
      </c>
      <c r="D750" s="23">
        <v>1</v>
      </c>
      <c r="E750" s="23" t="s">
        <v>1646</v>
      </c>
      <c r="F750" s="23" t="s">
        <v>1632</v>
      </c>
      <c r="G750" s="23" t="s">
        <v>1647</v>
      </c>
      <c r="H750" s="23">
        <v>1</v>
      </c>
      <c r="I750" s="23" t="s">
        <v>2533</v>
      </c>
      <c r="J750" s="23">
        <v>1</v>
      </c>
      <c r="K750" s="23" t="s">
        <v>1826</v>
      </c>
    </row>
    <row r="751" spans="1:11" ht="220.5">
      <c r="A751" s="23" t="s">
        <v>391</v>
      </c>
      <c r="B751" s="23" t="s">
        <v>13</v>
      </c>
      <c r="C751" s="23" t="s">
        <v>14</v>
      </c>
      <c r="D751" s="23">
        <v>1</v>
      </c>
      <c r="E751" s="23" t="s">
        <v>1648</v>
      </c>
      <c r="F751" s="23" t="s">
        <v>1649</v>
      </c>
      <c r="G751" s="23" t="s">
        <v>1616</v>
      </c>
      <c r="H751" s="23">
        <v>1</v>
      </c>
      <c r="I751" s="23" t="s">
        <v>2534</v>
      </c>
      <c r="J751" s="23">
        <v>1</v>
      </c>
      <c r="K751" s="23" t="s">
        <v>1826</v>
      </c>
    </row>
    <row r="752" spans="1:11" ht="204.75">
      <c r="A752" s="23" t="s">
        <v>391</v>
      </c>
      <c r="B752" s="23" t="s">
        <v>16</v>
      </c>
      <c r="C752" s="23" t="s">
        <v>17</v>
      </c>
      <c r="D752" s="23">
        <v>1</v>
      </c>
      <c r="E752" s="23" t="s">
        <v>1650</v>
      </c>
      <c r="F752" s="23" t="s">
        <v>1649</v>
      </c>
      <c r="G752" s="23" t="s">
        <v>1651</v>
      </c>
      <c r="H752" s="23">
        <v>1</v>
      </c>
      <c r="I752" s="23" t="s">
        <v>2535</v>
      </c>
      <c r="J752" s="23">
        <v>1</v>
      </c>
      <c r="K752" s="23" t="s">
        <v>1826</v>
      </c>
    </row>
    <row r="753" spans="1:11" ht="173.25">
      <c r="A753" s="23" t="s">
        <v>391</v>
      </c>
      <c r="B753" s="23" t="s">
        <v>19</v>
      </c>
      <c r="C753" s="23" t="s">
        <v>20</v>
      </c>
      <c r="D753" s="23">
        <v>1</v>
      </c>
      <c r="E753" s="23" t="s">
        <v>1652</v>
      </c>
      <c r="F753" s="23" t="s">
        <v>1649</v>
      </c>
      <c r="G753" s="23" t="s">
        <v>1653</v>
      </c>
      <c r="H753" s="23">
        <v>1</v>
      </c>
      <c r="I753" s="23" t="s">
        <v>2536</v>
      </c>
      <c r="J753" s="23">
        <v>1</v>
      </c>
      <c r="K753" s="23" t="s">
        <v>1826</v>
      </c>
    </row>
    <row r="754" spans="1:11" ht="220.5">
      <c r="A754" s="23" t="s">
        <v>391</v>
      </c>
      <c r="B754" s="23" t="s">
        <v>22</v>
      </c>
      <c r="C754" s="23" t="s">
        <v>23</v>
      </c>
      <c r="D754" s="23">
        <v>1</v>
      </c>
      <c r="E754" s="23" t="s">
        <v>1654</v>
      </c>
      <c r="F754" s="23" t="s">
        <v>1649</v>
      </c>
      <c r="G754" s="23" t="s">
        <v>1655</v>
      </c>
      <c r="H754" s="23">
        <v>1</v>
      </c>
      <c r="I754" s="23" t="s">
        <v>2537</v>
      </c>
      <c r="J754" s="23">
        <v>1</v>
      </c>
      <c r="K754" s="23" t="s">
        <v>1826</v>
      </c>
    </row>
    <row r="755" spans="1:11" ht="236.25">
      <c r="A755" s="23" t="s">
        <v>391</v>
      </c>
      <c r="B755" s="23" t="s">
        <v>25</v>
      </c>
      <c r="C755" s="23" t="s">
        <v>26</v>
      </c>
      <c r="D755" s="23">
        <v>1</v>
      </c>
      <c r="E755" s="23" t="s">
        <v>1656</v>
      </c>
      <c r="F755" s="23" t="s">
        <v>1649</v>
      </c>
      <c r="G755" s="23" t="s">
        <v>1657</v>
      </c>
      <c r="H755" s="23">
        <v>1</v>
      </c>
      <c r="I755" s="23" t="s">
        <v>2538</v>
      </c>
      <c r="J755" s="23">
        <v>1</v>
      </c>
      <c r="K755" s="23" t="s">
        <v>1826</v>
      </c>
    </row>
    <row r="756" spans="1:11" ht="204.75">
      <c r="A756" s="23" t="s">
        <v>391</v>
      </c>
      <c r="B756" s="23" t="s">
        <v>28</v>
      </c>
      <c r="C756" s="23" t="s">
        <v>29</v>
      </c>
      <c r="D756" s="23">
        <v>1</v>
      </c>
      <c r="E756" s="23" t="s">
        <v>1658</v>
      </c>
      <c r="F756" s="23" t="s">
        <v>1649</v>
      </c>
      <c r="G756" s="23" t="s">
        <v>1659</v>
      </c>
      <c r="H756" s="23">
        <v>1</v>
      </c>
      <c r="I756" s="23" t="s">
        <v>2539</v>
      </c>
      <c r="J756" s="23">
        <v>1</v>
      </c>
      <c r="K756" s="23" t="s">
        <v>1826</v>
      </c>
    </row>
    <row r="757" spans="1:11" ht="204.75">
      <c r="A757" s="23" t="s">
        <v>391</v>
      </c>
      <c r="B757" s="23" t="s">
        <v>31</v>
      </c>
      <c r="C757" s="23" t="s">
        <v>32</v>
      </c>
      <c r="D757" s="23">
        <v>1</v>
      </c>
      <c r="E757" s="23" t="s">
        <v>1660</v>
      </c>
      <c r="F757" s="23" t="s">
        <v>1649</v>
      </c>
      <c r="G757" s="23" t="s">
        <v>1661</v>
      </c>
      <c r="H757" s="23">
        <v>1</v>
      </c>
      <c r="I757" s="23" t="s">
        <v>2540</v>
      </c>
      <c r="J757" s="23">
        <v>1</v>
      </c>
      <c r="K757" s="23" t="s">
        <v>1826</v>
      </c>
    </row>
    <row r="758" spans="1:11" ht="220.5">
      <c r="A758" s="23" t="s">
        <v>391</v>
      </c>
      <c r="B758" s="23" t="s">
        <v>34</v>
      </c>
      <c r="C758" s="23" t="s">
        <v>35</v>
      </c>
      <c r="D758" s="23">
        <v>1</v>
      </c>
      <c r="E758" s="23" t="s">
        <v>1662</v>
      </c>
      <c r="F758" s="23" t="s">
        <v>1649</v>
      </c>
      <c r="G758" s="23" t="s">
        <v>1663</v>
      </c>
      <c r="H758" s="23">
        <v>1</v>
      </c>
      <c r="I758" s="23" t="s">
        <v>2541</v>
      </c>
      <c r="J758" s="23">
        <v>1</v>
      </c>
      <c r="K758" s="23" t="s">
        <v>1826</v>
      </c>
    </row>
    <row r="759" spans="1:11" ht="173.25">
      <c r="A759" s="23" t="s">
        <v>391</v>
      </c>
      <c r="B759" s="23" t="s">
        <v>37</v>
      </c>
      <c r="C759" s="23" t="s">
        <v>38</v>
      </c>
      <c r="D759" s="23">
        <v>1</v>
      </c>
      <c r="E759" s="23" t="s">
        <v>1664</v>
      </c>
      <c r="F759" s="23" t="s">
        <v>1649</v>
      </c>
      <c r="G759" s="23" t="s">
        <v>1665</v>
      </c>
      <c r="H759" s="23">
        <v>1</v>
      </c>
      <c r="I759" s="23" t="s">
        <v>2542</v>
      </c>
      <c r="J759" s="23">
        <v>1</v>
      </c>
      <c r="K759" s="23" t="s">
        <v>1826</v>
      </c>
    </row>
    <row r="760" spans="1:11" ht="220.5">
      <c r="A760" s="23" t="s">
        <v>395</v>
      </c>
      <c r="B760" s="23" t="s">
        <v>13</v>
      </c>
      <c r="C760" s="23" t="s">
        <v>14</v>
      </c>
      <c r="D760" s="23">
        <v>1</v>
      </c>
      <c r="E760" s="23" t="s">
        <v>1666</v>
      </c>
      <c r="F760" s="23" t="s">
        <v>1667</v>
      </c>
      <c r="G760" s="23" t="s">
        <v>1616</v>
      </c>
      <c r="H760" s="23">
        <v>1</v>
      </c>
      <c r="I760" s="23" t="s">
        <v>2543</v>
      </c>
      <c r="J760" s="23">
        <v>1</v>
      </c>
      <c r="K760" s="23" t="s">
        <v>1826</v>
      </c>
    </row>
    <row r="761" spans="1:11" ht="173.25">
      <c r="A761" s="23" t="s">
        <v>395</v>
      </c>
      <c r="B761" s="23" t="s">
        <v>16</v>
      </c>
      <c r="C761" s="23" t="s">
        <v>17</v>
      </c>
      <c r="D761" s="23">
        <v>1</v>
      </c>
      <c r="E761" s="23" t="s">
        <v>1668</v>
      </c>
      <c r="F761" s="23" t="s">
        <v>1667</v>
      </c>
      <c r="G761" s="23" t="s">
        <v>1651</v>
      </c>
      <c r="H761" s="23">
        <v>1</v>
      </c>
      <c r="I761" s="23" t="s">
        <v>2544</v>
      </c>
      <c r="J761" s="23">
        <v>1</v>
      </c>
      <c r="K761" s="23" t="s">
        <v>1826</v>
      </c>
    </row>
    <row r="762" spans="1:11" ht="173.25">
      <c r="A762" s="23" t="s">
        <v>395</v>
      </c>
      <c r="B762" s="23" t="s">
        <v>19</v>
      </c>
      <c r="C762" s="23" t="s">
        <v>20</v>
      </c>
      <c r="D762" s="23">
        <v>1</v>
      </c>
      <c r="E762" s="23" t="s">
        <v>1669</v>
      </c>
      <c r="F762" s="23" t="s">
        <v>1667</v>
      </c>
      <c r="G762" s="23" t="s">
        <v>1653</v>
      </c>
      <c r="H762" s="23">
        <v>1</v>
      </c>
      <c r="I762" s="23" t="s">
        <v>2545</v>
      </c>
      <c r="J762" s="23">
        <v>1</v>
      </c>
      <c r="K762" s="23" t="s">
        <v>1826</v>
      </c>
    </row>
    <row r="763" spans="1:11" ht="236.25">
      <c r="A763" s="23" t="s">
        <v>395</v>
      </c>
      <c r="B763" s="23" t="s">
        <v>22</v>
      </c>
      <c r="C763" s="23" t="s">
        <v>23</v>
      </c>
      <c r="D763" s="23">
        <v>1</v>
      </c>
      <c r="E763" s="23" t="s">
        <v>1670</v>
      </c>
      <c r="F763" s="23" t="s">
        <v>1667</v>
      </c>
      <c r="G763" s="23" t="s">
        <v>1671</v>
      </c>
      <c r="H763" s="23">
        <v>1</v>
      </c>
      <c r="I763" s="23" t="s">
        <v>2546</v>
      </c>
      <c r="J763" s="23">
        <v>1</v>
      </c>
      <c r="K763" s="23" t="s">
        <v>1826</v>
      </c>
    </row>
    <row r="764" spans="1:11" ht="204.75">
      <c r="A764" s="23" t="s">
        <v>395</v>
      </c>
      <c r="B764" s="23" t="s">
        <v>25</v>
      </c>
      <c r="C764" s="23" t="s">
        <v>26</v>
      </c>
      <c r="D764" s="23">
        <v>1</v>
      </c>
      <c r="E764" s="23" t="s">
        <v>1672</v>
      </c>
      <c r="F764" s="23" t="s">
        <v>1667</v>
      </c>
      <c r="G764" s="23" t="s">
        <v>1673</v>
      </c>
      <c r="H764" s="23">
        <v>1</v>
      </c>
      <c r="I764" s="23" t="s">
        <v>2547</v>
      </c>
      <c r="J764" s="23">
        <v>1</v>
      </c>
      <c r="K764" s="23" t="s">
        <v>1826</v>
      </c>
    </row>
    <row r="765" spans="1:11" ht="173.25">
      <c r="A765" s="23" t="s">
        <v>395</v>
      </c>
      <c r="B765" s="23" t="s">
        <v>28</v>
      </c>
      <c r="C765" s="23" t="s">
        <v>29</v>
      </c>
      <c r="D765" s="23">
        <v>1</v>
      </c>
      <c r="E765" s="23" t="s">
        <v>1674</v>
      </c>
      <c r="F765" s="23" t="s">
        <v>1667</v>
      </c>
      <c r="G765" s="23" t="s">
        <v>1673</v>
      </c>
      <c r="H765" s="23">
        <v>1</v>
      </c>
      <c r="I765" s="23" t="s">
        <v>2548</v>
      </c>
      <c r="J765" s="23">
        <v>1</v>
      </c>
      <c r="K765" s="23" t="s">
        <v>1826</v>
      </c>
    </row>
    <row r="766" spans="1:11" ht="189">
      <c r="A766" s="23" t="s">
        <v>395</v>
      </c>
      <c r="B766" s="23" t="s">
        <v>31</v>
      </c>
      <c r="C766" s="23" t="s">
        <v>32</v>
      </c>
      <c r="D766" s="23">
        <v>1</v>
      </c>
      <c r="E766" s="23" t="s">
        <v>1675</v>
      </c>
      <c r="F766" s="23" t="s">
        <v>1667</v>
      </c>
      <c r="G766" s="23" t="s">
        <v>1676</v>
      </c>
      <c r="H766" s="23">
        <v>1</v>
      </c>
      <c r="I766" s="23" t="s">
        <v>2549</v>
      </c>
      <c r="J766" s="23">
        <v>1</v>
      </c>
      <c r="K766" s="23" t="s">
        <v>1826</v>
      </c>
    </row>
    <row r="767" spans="1:11" ht="189">
      <c r="A767" s="23" t="s">
        <v>395</v>
      </c>
      <c r="B767" s="23" t="s">
        <v>34</v>
      </c>
      <c r="C767" s="23" t="s">
        <v>35</v>
      </c>
      <c r="D767" s="23">
        <v>1</v>
      </c>
      <c r="E767" s="23" t="s">
        <v>1677</v>
      </c>
      <c r="F767" s="23" t="s">
        <v>1667</v>
      </c>
      <c r="G767" s="23" t="s">
        <v>1676</v>
      </c>
      <c r="H767" s="23">
        <v>1</v>
      </c>
      <c r="I767" s="23" t="s">
        <v>2550</v>
      </c>
      <c r="J767" s="23">
        <v>1</v>
      </c>
      <c r="K767" s="23" t="s">
        <v>1826</v>
      </c>
    </row>
    <row r="768" spans="1:11" ht="189">
      <c r="A768" s="23" t="s">
        <v>395</v>
      </c>
      <c r="B768" s="23" t="s">
        <v>37</v>
      </c>
      <c r="C768" s="23" t="s">
        <v>38</v>
      </c>
      <c r="D768" s="23">
        <v>1</v>
      </c>
      <c r="E768" s="23" t="s">
        <v>1678</v>
      </c>
      <c r="F768" s="23" t="s">
        <v>1667</v>
      </c>
      <c r="G768" s="23" t="s">
        <v>1679</v>
      </c>
      <c r="H768" s="23">
        <v>1</v>
      </c>
      <c r="I768" s="23" t="s">
        <v>2551</v>
      </c>
      <c r="J768" s="23">
        <v>1</v>
      </c>
      <c r="K768" s="23" t="s">
        <v>1826</v>
      </c>
    </row>
    <row r="769" spans="1:11" ht="189">
      <c r="A769" s="23" t="s">
        <v>399</v>
      </c>
      <c r="B769" s="23" t="s">
        <v>13</v>
      </c>
      <c r="C769" s="23" t="s">
        <v>14</v>
      </c>
      <c r="D769" s="23">
        <v>1</v>
      </c>
      <c r="E769" s="23" t="s">
        <v>1680</v>
      </c>
      <c r="F769" s="23" t="s">
        <v>1681</v>
      </c>
      <c r="G769" s="23" t="s">
        <v>1682</v>
      </c>
      <c r="H769" s="23">
        <v>1</v>
      </c>
      <c r="I769" s="23" t="s">
        <v>2552</v>
      </c>
      <c r="J769" s="23">
        <v>1</v>
      </c>
      <c r="K769" s="23" t="s">
        <v>1826</v>
      </c>
    </row>
    <row r="770" spans="1:11" ht="189">
      <c r="A770" s="23" t="s">
        <v>399</v>
      </c>
      <c r="B770" s="23" t="s">
        <v>16</v>
      </c>
      <c r="C770" s="23" t="s">
        <v>17</v>
      </c>
      <c r="D770" s="23">
        <v>1</v>
      </c>
      <c r="E770" s="23" t="s">
        <v>1683</v>
      </c>
      <c r="F770" s="23" t="s">
        <v>1681</v>
      </c>
      <c r="G770" s="23" t="s">
        <v>1684</v>
      </c>
      <c r="H770" s="23">
        <v>1</v>
      </c>
      <c r="I770" s="23" t="s">
        <v>2553</v>
      </c>
      <c r="J770" s="23">
        <v>1</v>
      </c>
      <c r="K770" s="23" t="s">
        <v>1826</v>
      </c>
    </row>
    <row r="771" spans="1:11" ht="204.75">
      <c r="A771" s="23" t="s">
        <v>399</v>
      </c>
      <c r="B771" s="23" t="s">
        <v>19</v>
      </c>
      <c r="C771" s="23" t="s">
        <v>20</v>
      </c>
      <c r="D771" s="23">
        <v>1</v>
      </c>
      <c r="E771" s="23" t="s">
        <v>1685</v>
      </c>
      <c r="F771" s="23" t="s">
        <v>1681</v>
      </c>
      <c r="G771" s="23" t="s">
        <v>1686</v>
      </c>
      <c r="H771" s="23">
        <v>1</v>
      </c>
      <c r="I771" s="23" t="s">
        <v>2554</v>
      </c>
      <c r="J771" s="23">
        <v>1</v>
      </c>
      <c r="K771" s="23" t="s">
        <v>1826</v>
      </c>
    </row>
    <row r="772" spans="1:11" ht="189">
      <c r="A772" s="23" t="s">
        <v>399</v>
      </c>
      <c r="B772" s="23" t="s">
        <v>22</v>
      </c>
      <c r="C772" s="23" t="s">
        <v>23</v>
      </c>
      <c r="D772" s="23">
        <v>1</v>
      </c>
      <c r="E772" s="23" t="s">
        <v>1687</v>
      </c>
      <c r="F772" s="23" t="s">
        <v>1681</v>
      </c>
      <c r="G772" s="23" t="s">
        <v>1686</v>
      </c>
      <c r="H772" s="23">
        <v>1</v>
      </c>
      <c r="I772" s="23" t="s">
        <v>2555</v>
      </c>
      <c r="J772" s="23">
        <v>1</v>
      </c>
      <c r="K772" s="23" t="s">
        <v>1826</v>
      </c>
    </row>
    <row r="773" spans="1:11" ht="189">
      <c r="A773" s="23" t="s">
        <v>399</v>
      </c>
      <c r="B773" s="23" t="s">
        <v>25</v>
      </c>
      <c r="C773" s="23" t="s">
        <v>26</v>
      </c>
      <c r="D773" s="23">
        <v>1</v>
      </c>
      <c r="E773" s="23" t="s">
        <v>1688</v>
      </c>
      <c r="F773" s="23" t="s">
        <v>1681</v>
      </c>
      <c r="G773" s="23" t="s">
        <v>1689</v>
      </c>
      <c r="H773" s="23">
        <v>1</v>
      </c>
      <c r="I773" s="23" t="s">
        <v>2556</v>
      </c>
      <c r="J773" s="23">
        <v>1</v>
      </c>
      <c r="K773" s="23" t="s">
        <v>1826</v>
      </c>
    </row>
    <row r="774" spans="1:11" ht="173.25">
      <c r="A774" s="23" t="s">
        <v>399</v>
      </c>
      <c r="B774" s="23" t="s">
        <v>28</v>
      </c>
      <c r="C774" s="23" t="s">
        <v>29</v>
      </c>
      <c r="D774" s="23">
        <v>1</v>
      </c>
      <c r="E774" s="23" t="s">
        <v>1690</v>
      </c>
      <c r="F774" s="23" t="s">
        <v>1681</v>
      </c>
      <c r="G774" s="23" t="s">
        <v>1689</v>
      </c>
      <c r="H774" s="23">
        <v>1</v>
      </c>
      <c r="I774" s="23" t="s">
        <v>2557</v>
      </c>
      <c r="J774" s="23">
        <v>1</v>
      </c>
      <c r="K774" s="23" t="s">
        <v>1826</v>
      </c>
    </row>
    <row r="775" spans="1:11" ht="173.25">
      <c r="A775" s="23" t="s">
        <v>399</v>
      </c>
      <c r="B775" s="23" t="s">
        <v>31</v>
      </c>
      <c r="C775" s="23" t="s">
        <v>32</v>
      </c>
      <c r="D775" s="23">
        <v>0</v>
      </c>
      <c r="E775" s="23" t="s">
        <v>1691</v>
      </c>
      <c r="F775" s="23" t="s">
        <v>1681</v>
      </c>
      <c r="G775" s="23" t="s">
        <v>1692</v>
      </c>
      <c r="H775" s="23">
        <v>0</v>
      </c>
      <c r="I775" s="23" t="s">
        <v>2558</v>
      </c>
      <c r="J775" s="23">
        <v>0</v>
      </c>
      <c r="K775" s="23" t="s">
        <v>2093</v>
      </c>
    </row>
    <row r="776" spans="1:11" ht="267.75">
      <c r="A776" s="23" t="s">
        <v>399</v>
      </c>
      <c r="B776" s="23" t="s">
        <v>34</v>
      </c>
      <c r="C776" s="23" t="s">
        <v>35</v>
      </c>
      <c r="D776" s="23">
        <v>0.5</v>
      </c>
      <c r="E776" s="23" t="s">
        <v>1693</v>
      </c>
      <c r="F776" s="23" t="s">
        <v>1681</v>
      </c>
      <c r="G776" s="23" t="s">
        <v>1694</v>
      </c>
      <c r="H776" s="23">
        <v>0.5</v>
      </c>
      <c r="I776" s="23" t="s">
        <v>2559</v>
      </c>
      <c r="J776" s="23">
        <v>0.5</v>
      </c>
      <c r="K776" s="23" t="s">
        <v>1833</v>
      </c>
    </row>
    <row r="777" spans="1:11" ht="267.75">
      <c r="A777" s="23" t="s">
        <v>399</v>
      </c>
      <c r="B777" s="23" t="s">
        <v>37</v>
      </c>
      <c r="C777" s="23" t="s">
        <v>38</v>
      </c>
      <c r="D777" s="23">
        <v>0.5</v>
      </c>
      <c r="E777" s="23" t="s">
        <v>1695</v>
      </c>
      <c r="F777" s="23" t="s">
        <v>1681</v>
      </c>
      <c r="G777" s="23" t="s">
        <v>1686</v>
      </c>
      <c r="H777" s="23">
        <v>0.5</v>
      </c>
      <c r="I777" s="23" t="s">
        <v>2560</v>
      </c>
      <c r="J777" s="23">
        <v>0.5</v>
      </c>
      <c r="K777" s="23" t="s">
        <v>1833</v>
      </c>
    </row>
    <row r="778" spans="1:11" ht="173.25">
      <c r="A778" s="23" t="s">
        <v>403</v>
      </c>
      <c r="B778" s="23" t="s">
        <v>13</v>
      </c>
      <c r="C778" s="23" t="s">
        <v>14</v>
      </c>
      <c r="D778" s="23">
        <v>1</v>
      </c>
      <c r="E778" s="23" t="s">
        <v>1696</v>
      </c>
      <c r="F778" s="23" t="s">
        <v>1697</v>
      </c>
      <c r="G778" s="23" t="s">
        <v>1616</v>
      </c>
      <c r="H778" s="23">
        <v>1</v>
      </c>
      <c r="I778" s="23" t="s">
        <v>2561</v>
      </c>
      <c r="J778" s="23">
        <v>1</v>
      </c>
      <c r="K778" s="23" t="s">
        <v>1826</v>
      </c>
    </row>
    <row r="779" spans="1:11" ht="204.75">
      <c r="A779" s="23" t="s">
        <v>403</v>
      </c>
      <c r="B779" s="23" t="s">
        <v>16</v>
      </c>
      <c r="C779" s="23" t="s">
        <v>17</v>
      </c>
      <c r="D779" s="23">
        <v>1</v>
      </c>
      <c r="E779" s="23" t="s">
        <v>1698</v>
      </c>
      <c r="F779" s="23" t="s">
        <v>1697</v>
      </c>
      <c r="G779" s="23" t="s">
        <v>1635</v>
      </c>
      <c r="H779" s="23">
        <v>1</v>
      </c>
      <c r="I779" s="23" t="s">
        <v>2562</v>
      </c>
      <c r="J779" s="23">
        <v>1</v>
      </c>
      <c r="K779" s="23" t="s">
        <v>1826</v>
      </c>
    </row>
    <row r="780" spans="1:11" ht="252">
      <c r="A780" s="23" t="s">
        <v>403</v>
      </c>
      <c r="B780" s="23" t="s">
        <v>19</v>
      </c>
      <c r="C780" s="23" t="s">
        <v>20</v>
      </c>
      <c r="D780" s="23">
        <v>0.5</v>
      </c>
      <c r="E780" s="23" t="s">
        <v>1699</v>
      </c>
      <c r="F780" s="23" t="s">
        <v>1697</v>
      </c>
      <c r="G780" s="23" t="s">
        <v>1635</v>
      </c>
      <c r="H780" s="23">
        <v>0.5</v>
      </c>
      <c r="I780" s="23" t="s">
        <v>2563</v>
      </c>
      <c r="J780" s="23">
        <v>0.5</v>
      </c>
      <c r="K780" s="23" t="s">
        <v>1833</v>
      </c>
    </row>
    <row r="781" spans="1:11" ht="267.75">
      <c r="A781" s="23" t="s">
        <v>403</v>
      </c>
      <c r="B781" s="23" t="s">
        <v>22</v>
      </c>
      <c r="C781" s="23" t="s">
        <v>23</v>
      </c>
      <c r="D781" s="23">
        <v>0.5</v>
      </c>
      <c r="E781" s="23" t="s">
        <v>1700</v>
      </c>
      <c r="F781" s="23" t="s">
        <v>1697</v>
      </c>
      <c r="G781" s="23" t="s">
        <v>1701</v>
      </c>
      <c r="H781" s="23">
        <v>0.5</v>
      </c>
      <c r="I781" s="23" t="s">
        <v>2564</v>
      </c>
      <c r="J781" s="23">
        <v>0.5</v>
      </c>
      <c r="K781" s="23" t="s">
        <v>1833</v>
      </c>
    </row>
    <row r="782" spans="1:11" ht="252">
      <c r="A782" s="23" t="s">
        <v>403</v>
      </c>
      <c r="B782" s="23" t="s">
        <v>25</v>
      </c>
      <c r="C782" s="23" t="s">
        <v>26</v>
      </c>
      <c r="D782" s="23">
        <v>0.5</v>
      </c>
      <c r="E782" s="23" t="s">
        <v>1702</v>
      </c>
      <c r="F782" s="23" t="s">
        <v>1697</v>
      </c>
      <c r="G782" s="23" t="s">
        <v>1665</v>
      </c>
      <c r="H782" s="23">
        <v>0.5</v>
      </c>
      <c r="I782" s="23" t="s">
        <v>2565</v>
      </c>
      <c r="J782" s="23">
        <v>0.5</v>
      </c>
      <c r="K782" s="23" t="s">
        <v>1833</v>
      </c>
    </row>
    <row r="783" spans="1:11" ht="252">
      <c r="A783" s="23" t="s">
        <v>403</v>
      </c>
      <c r="B783" s="23" t="s">
        <v>28</v>
      </c>
      <c r="C783" s="23" t="s">
        <v>29</v>
      </c>
      <c r="D783" s="23">
        <v>0.5</v>
      </c>
      <c r="E783" s="23" t="s">
        <v>1703</v>
      </c>
      <c r="F783" s="23" t="s">
        <v>1697</v>
      </c>
      <c r="G783" s="23" t="s">
        <v>1701</v>
      </c>
      <c r="H783" s="23">
        <v>0.5</v>
      </c>
      <c r="I783" s="23" t="s">
        <v>2566</v>
      </c>
      <c r="J783" s="23">
        <v>0.5</v>
      </c>
      <c r="K783" s="23" t="s">
        <v>1833</v>
      </c>
    </row>
    <row r="784" spans="1:11" ht="220.5">
      <c r="A784" s="23" t="s">
        <v>403</v>
      </c>
      <c r="B784" s="23" t="s">
        <v>31</v>
      </c>
      <c r="C784" s="23" t="s">
        <v>32</v>
      </c>
      <c r="D784" s="23">
        <v>0</v>
      </c>
      <c r="E784" s="23" t="s">
        <v>1704</v>
      </c>
      <c r="F784" s="23" t="s">
        <v>1697</v>
      </c>
      <c r="G784" s="23" t="s">
        <v>1705</v>
      </c>
      <c r="H784" s="23">
        <v>0</v>
      </c>
      <c r="I784" s="23" t="s">
        <v>2567</v>
      </c>
      <c r="J784" s="23">
        <v>0</v>
      </c>
      <c r="K784" s="23" t="s">
        <v>2093</v>
      </c>
    </row>
    <row r="785" spans="1:11" ht="267.75">
      <c r="A785" s="23" t="s">
        <v>403</v>
      </c>
      <c r="B785" s="23" t="s">
        <v>34</v>
      </c>
      <c r="C785" s="23" t="s">
        <v>35</v>
      </c>
      <c r="D785" s="23">
        <v>0.5</v>
      </c>
      <c r="E785" s="23" t="s">
        <v>1706</v>
      </c>
      <c r="F785" s="23" t="s">
        <v>1697</v>
      </c>
      <c r="G785" s="23" t="s">
        <v>1707</v>
      </c>
      <c r="H785" s="23">
        <v>0.5</v>
      </c>
      <c r="I785" s="23" t="s">
        <v>2568</v>
      </c>
      <c r="J785" s="23">
        <v>0.5</v>
      </c>
      <c r="K785" s="23" t="s">
        <v>1833</v>
      </c>
    </row>
    <row r="786" spans="1:11" ht="252">
      <c r="A786" s="23" t="s">
        <v>403</v>
      </c>
      <c r="B786" s="23" t="s">
        <v>37</v>
      </c>
      <c r="C786" s="23" t="s">
        <v>38</v>
      </c>
      <c r="D786" s="23">
        <v>0.5</v>
      </c>
      <c r="E786" s="23" t="s">
        <v>1708</v>
      </c>
      <c r="F786" s="23" t="s">
        <v>1697</v>
      </c>
      <c r="G786" s="23" t="s">
        <v>1651</v>
      </c>
      <c r="H786" s="23">
        <v>0.5</v>
      </c>
      <c r="I786" s="23" t="s">
        <v>2569</v>
      </c>
      <c r="J786" s="23">
        <v>0.5</v>
      </c>
      <c r="K786" s="23" t="s">
        <v>1833</v>
      </c>
    </row>
    <row r="787" spans="1:11" ht="173.25">
      <c r="A787" s="23" t="s">
        <v>407</v>
      </c>
      <c r="B787" s="23" t="s">
        <v>13</v>
      </c>
      <c r="C787" s="23" t="s">
        <v>14</v>
      </c>
      <c r="D787" s="23">
        <v>1</v>
      </c>
      <c r="E787" s="23" t="s">
        <v>1709</v>
      </c>
      <c r="F787" s="23" t="s">
        <v>1710</v>
      </c>
      <c r="G787" s="23" t="s">
        <v>1616</v>
      </c>
      <c r="H787" s="23">
        <v>1</v>
      </c>
      <c r="I787" s="23" t="s">
        <v>2570</v>
      </c>
      <c r="J787" s="23">
        <v>1</v>
      </c>
      <c r="K787" s="23" t="s">
        <v>1826</v>
      </c>
    </row>
    <row r="788" spans="1:11" ht="173.25">
      <c r="A788" s="23" t="s">
        <v>407</v>
      </c>
      <c r="B788" s="23" t="s">
        <v>16</v>
      </c>
      <c r="C788" s="23" t="s">
        <v>17</v>
      </c>
      <c r="D788" s="23">
        <v>1</v>
      </c>
      <c r="E788" s="23" t="s">
        <v>1711</v>
      </c>
      <c r="F788" s="23" t="s">
        <v>1710</v>
      </c>
      <c r="G788" s="23" t="s">
        <v>1712</v>
      </c>
      <c r="H788" s="23">
        <v>1</v>
      </c>
      <c r="I788" s="23" t="s">
        <v>2571</v>
      </c>
      <c r="J788" s="23">
        <v>1</v>
      </c>
      <c r="K788" s="23" t="s">
        <v>1826</v>
      </c>
    </row>
    <row r="789" spans="1:11" ht="220.5">
      <c r="A789" s="23" t="s">
        <v>407</v>
      </c>
      <c r="B789" s="23" t="s">
        <v>19</v>
      </c>
      <c r="C789" s="23" t="s">
        <v>20</v>
      </c>
      <c r="D789" s="23">
        <v>1</v>
      </c>
      <c r="E789" s="23" t="s">
        <v>1713</v>
      </c>
      <c r="F789" s="23" t="s">
        <v>1710</v>
      </c>
      <c r="G789" s="23" t="s">
        <v>1712</v>
      </c>
      <c r="H789" s="23">
        <v>1</v>
      </c>
      <c r="I789" s="23" t="s">
        <v>2572</v>
      </c>
      <c r="J789" s="23">
        <v>1</v>
      </c>
      <c r="K789" s="23" t="s">
        <v>1826</v>
      </c>
    </row>
    <row r="790" spans="1:11" ht="283.5">
      <c r="A790" s="23" t="s">
        <v>407</v>
      </c>
      <c r="B790" s="23" t="s">
        <v>22</v>
      </c>
      <c r="C790" s="23" t="s">
        <v>23</v>
      </c>
      <c r="D790" s="23">
        <v>0.5</v>
      </c>
      <c r="E790" s="23" t="s">
        <v>1714</v>
      </c>
      <c r="F790" s="23" t="s">
        <v>1710</v>
      </c>
      <c r="G790" s="23" t="s">
        <v>1715</v>
      </c>
      <c r="H790" s="23">
        <v>0.5</v>
      </c>
      <c r="I790" s="23" t="s">
        <v>2573</v>
      </c>
      <c r="J790" s="23">
        <v>0.5</v>
      </c>
      <c r="K790" s="23" t="s">
        <v>1833</v>
      </c>
    </row>
    <row r="791" spans="1:11" ht="267.75">
      <c r="A791" s="23" t="s">
        <v>407</v>
      </c>
      <c r="B791" s="23" t="s">
        <v>25</v>
      </c>
      <c r="C791" s="23" t="s">
        <v>26</v>
      </c>
      <c r="D791" s="23">
        <v>0.5</v>
      </c>
      <c r="E791" s="23" t="s">
        <v>1716</v>
      </c>
      <c r="F791" s="23" t="s">
        <v>1710</v>
      </c>
      <c r="G791" s="23" t="s">
        <v>1717</v>
      </c>
      <c r="H791" s="23">
        <v>0.5</v>
      </c>
      <c r="I791" s="23" t="s">
        <v>2574</v>
      </c>
      <c r="J791" s="23">
        <v>0.5</v>
      </c>
      <c r="K791" s="23" t="s">
        <v>1833</v>
      </c>
    </row>
    <row r="792" spans="1:11" ht="189">
      <c r="A792" s="23" t="s">
        <v>407</v>
      </c>
      <c r="B792" s="23" t="s">
        <v>28</v>
      </c>
      <c r="C792" s="23" t="s">
        <v>29</v>
      </c>
      <c r="D792" s="23">
        <v>1</v>
      </c>
      <c r="E792" s="23" t="s">
        <v>1718</v>
      </c>
      <c r="F792" s="23" t="s">
        <v>1710</v>
      </c>
      <c r="G792" s="23" t="s">
        <v>1717</v>
      </c>
      <c r="H792" s="23">
        <v>1</v>
      </c>
      <c r="I792" s="23" t="s">
        <v>2575</v>
      </c>
      <c r="J792" s="23">
        <v>1</v>
      </c>
      <c r="K792" s="23" t="s">
        <v>1826</v>
      </c>
    </row>
    <row r="793" spans="1:11" ht="157.5">
      <c r="A793" s="23" t="s">
        <v>407</v>
      </c>
      <c r="B793" s="23" t="s">
        <v>31</v>
      </c>
      <c r="C793" s="23" t="s">
        <v>32</v>
      </c>
      <c r="D793" s="23">
        <v>0</v>
      </c>
      <c r="E793" s="23" t="s">
        <v>1719</v>
      </c>
      <c r="F793" s="23" t="s">
        <v>1710</v>
      </c>
      <c r="G793" s="23" t="s">
        <v>1692</v>
      </c>
      <c r="H793" s="23">
        <v>0</v>
      </c>
      <c r="I793" s="23" t="s">
        <v>2576</v>
      </c>
      <c r="J793" s="23">
        <v>0</v>
      </c>
      <c r="K793" s="23" t="s">
        <v>2093</v>
      </c>
    </row>
    <row r="794" spans="1:11" ht="252">
      <c r="A794" s="23" t="s">
        <v>407</v>
      </c>
      <c r="B794" s="23" t="s">
        <v>34</v>
      </c>
      <c r="C794" s="23" t="s">
        <v>35</v>
      </c>
      <c r="D794" s="23">
        <v>0.5</v>
      </c>
      <c r="E794" s="23" t="s">
        <v>1720</v>
      </c>
      <c r="F794" s="23" t="s">
        <v>1710</v>
      </c>
      <c r="G794" s="23" t="s">
        <v>1721</v>
      </c>
      <c r="H794" s="23">
        <v>0.5</v>
      </c>
      <c r="I794" s="23" t="s">
        <v>2577</v>
      </c>
      <c r="J794" s="23">
        <v>0.5</v>
      </c>
      <c r="K794" s="23" t="s">
        <v>1833</v>
      </c>
    </row>
    <row r="795" spans="1:11" ht="267.75">
      <c r="A795" s="23" t="s">
        <v>407</v>
      </c>
      <c r="B795" s="23" t="s">
        <v>37</v>
      </c>
      <c r="C795" s="23" t="s">
        <v>38</v>
      </c>
      <c r="D795" s="23">
        <v>0.5</v>
      </c>
      <c r="E795" s="23" t="s">
        <v>1722</v>
      </c>
      <c r="F795" s="23" t="s">
        <v>1710</v>
      </c>
      <c r="G795" s="23" t="s">
        <v>1723</v>
      </c>
      <c r="H795" s="23">
        <v>0.5</v>
      </c>
      <c r="I795" s="23" t="s">
        <v>2578</v>
      </c>
      <c r="J795" s="23">
        <v>0.5</v>
      </c>
      <c r="K795" s="23" t="s">
        <v>1833</v>
      </c>
    </row>
    <row r="796" spans="1:11" ht="189">
      <c r="A796" s="23" t="s">
        <v>411</v>
      </c>
      <c r="B796" s="23" t="s">
        <v>13</v>
      </c>
      <c r="C796" s="23" t="s">
        <v>14</v>
      </c>
      <c r="D796" s="23">
        <v>1</v>
      </c>
      <c r="E796" s="23" t="s">
        <v>1724</v>
      </c>
      <c r="F796" s="23" t="s">
        <v>1725</v>
      </c>
      <c r="G796" s="23" t="s">
        <v>1616</v>
      </c>
      <c r="H796" s="23">
        <v>1</v>
      </c>
      <c r="I796" s="23" t="s">
        <v>2579</v>
      </c>
      <c r="J796" s="23">
        <v>1</v>
      </c>
      <c r="K796" s="23" t="s">
        <v>1826</v>
      </c>
    </row>
    <row r="797" spans="1:11" ht="204.75">
      <c r="A797" s="23" t="s">
        <v>411</v>
      </c>
      <c r="B797" s="23" t="s">
        <v>16</v>
      </c>
      <c r="C797" s="23" t="s">
        <v>17</v>
      </c>
      <c r="D797" s="23">
        <v>1</v>
      </c>
      <c r="E797" s="23" t="s">
        <v>1726</v>
      </c>
      <c r="F797" s="23" t="s">
        <v>1725</v>
      </c>
      <c r="G797" s="23" t="s">
        <v>1727</v>
      </c>
      <c r="H797" s="23">
        <v>1</v>
      </c>
      <c r="I797" s="23" t="s">
        <v>2580</v>
      </c>
      <c r="J797" s="23">
        <v>1</v>
      </c>
      <c r="K797" s="23" t="s">
        <v>1826</v>
      </c>
    </row>
    <row r="798" spans="1:11" ht="189">
      <c r="A798" s="23" t="s">
        <v>411</v>
      </c>
      <c r="B798" s="23" t="s">
        <v>19</v>
      </c>
      <c r="C798" s="23" t="s">
        <v>20</v>
      </c>
      <c r="D798" s="23">
        <v>1</v>
      </c>
      <c r="E798" s="23" t="s">
        <v>1728</v>
      </c>
      <c r="F798" s="23" t="s">
        <v>1725</v>
      </c>
      <c r="G798" s="23" t="s">
        <v>1729</v>
      </c>
      <c r="H798" s="23">
        <v>1</v>
      </c>
      <c r="I798" s="23" t="s">
        <v>2581</v>
      </c>
      <c r="J798" s="23">
        <v>1</v>
      </c>
      <c r="K798" s="23" t="s">
        <v>1826</v>
      </c>
    </row>
    <row r="799" spans="1:11" ht="220.5">
      <c r="A799" s="23" t="s">
        <v>411</v>
      </c>
      <c r="B799" s="23" t="s">
        <v>22</v>
      </c>
      <c r="C799" s="23" t="s">
        <v>23</v>
      </c>
      <c r="D799" s="23">
        <v>1</v>
      </c>
      <c r="E799" s="23" t="s">
        <v>1730</v>
      </c>
      <c r="F799" s="23" t="s">
        <v>1725</v>
      </c>
      <c r="G799" s="23" t="s">
        <v>1731</v>
      </c>
      <c r="H799" s="23">
        <v>1</v>
      </c>
      <c r="I799" s="23" t="s">
        <v>2582</v>
      </c>
      <c r="J799" s="23">
        <v>1</v>
      </c>
      <c r="K799" s="23" t="s">
        <v>1826</v>
      </c>
    </row>
    <row r="800" spans="1:11" ht="204.75">
      <c r="A800" s="23" t="s">
        <v>411</v>
      </c>
      <c r="B800" s="23" t="s">
        <v>25</v>
      </c>
      <c r="C800" s="23" t="s">
        <v>26</v>
      </c>
      <c r="D800" s="23">
        <v>1</v>
      </c>
      <c r="E800" s="23" t="s">
        <v>1732</v>
      </c>
      <c r="F800" s="23" t="s">
        <v>1725</v>
      </c>
      <c r="G800" s="23" t="s">
        <v>1733</v>
      </c>
      <c r="H800" s="23">
        <v>1</v>
      </c>
      <c r="I800" s="23" t="s">
        <v>2583</v>
      </c>
      <c r="J800" s="23">
        <v>1</v>
      </c>
      <c r="K800" s="23" t="s">
        <v>1826</v>
      </c>
    </row>
    <row r="801" spans="1:11" ht="189">
      <c r="A801" s="23" t="s">
        <v>411</v>
      </c>
      <c r="B801" s="23" t="s">
        <v>28</v>
      </c>
      <c r="C801" s="23" t="s">
        <v>29</v>
      </c>
      <c r="D801" s="23">
        <v>1</v>
      </c>
      <c r="E801" s="23" t="s">
        <v>1734</v>
      </c>
      <c r="F801" s="23" t="s">
        <v>1725</v>
      </c>
      <c r="G801" s="23" t="s">
        <v>1735</v>
      </c>
      <c r="H801" s="23">
        <v>1</v>
      </c>
      <c r="I801" s="23" t="s">
        <v>2584</v>
      </c>
      <c r="J801" s="23">
        <v>1</v>
      </c>
      <c r="K801" s="23" t="s">
        <v>1826</v>
      </c>
    </row>
    <row r="802" spans="1:11" ht="189">
      <c r="A802" s="23" t="s">
        <v>411</v>
      </c>
      <c r="B802" s="23" t="s">
        <v>31</v>
      </c>
      <c r="C802" s="23" t="s">
        <v>32</v>
      </c>
      <c r="D802" s="23">
        <v>1</v>
      </c>
      <c r="E802" s="23" t="s">
        <v>1736</v>
      </c>
      <c r="F802" s="23" t="s">
        <v>1725</v>
      </c>
      <c r="G802" s="23" t="s">
        <v>1737</v>
      </c>
      <c r="H802" s="23">
        <v>1</v>
      </c>
      <c r="I802" s="23" t="s">
        <v>2585</v>
      </c>
      <c r="J802" s="23">
        <v>1</v>
      </c>
      <c r="K802" s="23" t="s">
        <v>1826</v>
      </c>
    </row>
    <row r="803" spans="1:11" ht="220.5">
      <c r="A803" s="23" t="s">
        <v>411</v>
      </c>
      <c r="B803" s="23" t="s">
        <v>34</v>
      </c>
      <c r="C803" s="23" t="s">
        <v>35</v>
      </c>
      <c r="D803" s="23">
        <v>1</v>
      </c>
      <c r="E803" s="23" t="s">
        <v>1738</v>
      </c>
      <c r="F803" s="23" t="s">
        <v>1725</v>
      </c>
      <c r="G803" s="23" t="s">
        <v>1739</v>
      </c>
      <c r="H803" s="23">
        <v>1</v>
      </c>
      <c r="I803" s="23" t="s">
        <v>2586</v>
      </c>
      <c r="J803" s="23">
        <v>1</v>
      </c>
      <c r="K803" s="23" t="s">
        <v>1826</v>
      </c>
    </row>
    <row r="804" spans="1:11" ht="204.75">
      <c r="A804" s="23" t="s">
        <v>411</v>
      </c>
      <c r="B804" s="23" t="s">
        <v>37</v>
      </c>
      <c r="C804" s="23" t="s">
        <v>38</v>
      </c>
      <c r="D804" s="23">
        <v>1</v>
      </c>
      <c r="E804" s="23" t="s">
        <v>1740</v>
      </c>
      <c r="F804" s="23" t="s">
        <v>1725</v>
      </c>
      <c r="G804" s="23" t="s">
        <v>1741</v>
      </c>
      <c r="H804" s="23">
        <v>1</v>
      </c>
      <c r="I804" s="23" t="s">
        <v>2587</v>
      </c>
      <c r="J804" s="23">
        <v>1</v>
      </c>
      <c r="K804" s="23" t="s">
        <v>1826</v>
      </c>
    </row>
    <row r="805" spans="1:11" ht="189">
      <c r="A805" s="23" t="s">
        <v>415</v>
      </c>
      <c r="B805" s="23" t="s">
        <v>13</v>
      </c>
      <c r="C805" s="23" t="s">
        <v>14</v>
      </c>
      <c r="D805" s="23">
        <v>1</v>
      </c>
      <c r="E805" s="23" t="s">
        <v>1742</v>
      </c>
      <c r="F805" s="23" t="s">
        <v>1743</v>
      </c>
      <c r="G805" s="23" t="s">
        <v>1682</v>
      </c>
      <c r="H805" s="23">
        <v>1</v>
      </c>
      <c r="I805" s="23" t="s">
        <v>2588</v>
      </c>
      <c r="J805" s="23">
        <v>1</v>
      </c>
      <c r="K805" s="23" t="s">
        <v>1826</v>
      </c>
    </row>
    <row r="806" spans="1:11" ht="173.25">
      <c r="A806" s="23" t="s">
        <v>415</v>
      </c>
      <c r="B806" s="23" t="s">
        <v>16</v>
      </c>
      <c r="C806" s="23" t="s">
        <v>17</v>
      </c>
      <c r="D806" s="23">
        <v>1</v>
      </c>
      <c r="E806" s="23" t="s">
        <v>1744</v>
      </c>
      <c r="F806" s="23" t="s">
        <v>1743</v>
      </c>
      <c r="G806" s="23" t="s">
        <v>1637</v>
      </c>
      <c r="H806" s="23">
        <v>1</v>
      </c>
      <c r="I806" s="23" t="s">
        <v>2589</v>
      </c>
      <c r="J806" s="23">
        <v>1</v>
      </c>
      <c r="K806" s="23" t="s">
        <v>1826</v>
      </c>
    </row>
    <row r="807" spans="1:11" ht="189">
      <c r="A807" s="23" t="s">
        <v>415</v>
      </c>
      <c r="B807" s="23" t="s">
        <v>19</v>
      </c>
      <c r="C807" s="23" t="s">
        <v>20</v>
      </c>
      <c r="D807" s="23">
        <v>1</v>
      </c>
      <c r="E807" s="23" t="s">
        <v>1745</v>
      </c>
      <c r="F807" s="23" t="s">
        <v>1743</v>
      </c>
      <c r="G807" s="23" t="s">
        <v>1746</v>
      </c>
      <c r="H807" s="23">
        <v>1</v>
      </c>
      <c r="I807" s="23" t="s">
        <v>2590</v>
      </c>
      <c r="J807" s="23">
        <v>1</v>
      </c>
      <c r="K807" s="23" t="s">
        <v>1826</v>
      </c>
    </row>
    <row r="808" spans="1:11" ht="189">
      <c r="A808" s="23" t="s">
        <v>415</v>
      </c>
      <c r="B808" s="23" t="s">
        <v>22</v>
      </c>
      <c r="C808" s="23" t="s">
        <v>23</v>
      </c>
      <c r="D808" s="23">
        <v>1</v>
      </c>
      <c r="E808" s="23" t="s">
        <v>1747</v>
      </c>
      <c r="F808" s="23" t="s">
        <v>1743</v>
      </c>
      <c r="G808" s="23" t="s">
        <v>1641</v>
      </c>
      <c r="H808" s="23">
        <v>1</v>
      </c>
      <c r="I808" s="23" t="s">
        <v>2591</v>
      </c>
      <c r="J808" s="23">
        <v>1</v>
      </c>
      <c r="K808" s="23" t="s">
        <v>1826</v>
      </c>
    </row>
    <row r="809" spans="1:11" ht="189">
      <c r="A809" s="23" t="s">
        <v>415</v>
      </c>
      <c r="B809" s="23" t="s">
        <v>25</v>
      </c>
      <c r="C809" s="23" t="s">
        <v>26</v>
      </c>
      <c r="D809" s="23">
        <v>1</v>
      </c>
      <c r="E809" s="23" t="s">
        <v>1748</v>
      </c>
      <c r="F809" s="23" t="s">
        <v>1743</v>
      </c>
      <c r="G809" s="23" t="s">
        <v>1749</v>
      </c>
      <c r="H809" s="23">
        <v>1</v>
      </c>
      <c r="I809" s="23" t="s">
        <v>2592</v>
      </c>
      <c r="J809" s="23">
        <v>1</v>
      </c>
      <c r="K809" s="23" t="s">
        <v>1826</v>
      </c>
    </row>
    <row r="810" spans="1:11" ht="204.75">
      <c r="A810" s="23" t="s">
        <v>415</v>
      </c>
      <c r="B810" s="23" t="s">
        <v>28</v>
      </c>
      <c r="C810" s="23" t="s">
        <v>29</v>
      </c>
      <c r="D810" s="23">
        <v>1</v>
      </c>
      <c r="E810" s="23" t="s">
        <v>1750</v>
      </c>
      <c r="F810" s="23" t="s">
        <v>1743</v>
      </c>
      <c r="G810" s="23" t="s">
        <v>1673</v>
      </c>
      <c r="H810" s="23">
        <v>1</v>
      </c>
      <c r="I810" s="23" t="s">
        <v>2593</v>
      </c>
      <c r="J810" s="23">
        <v>1</v>
      </c>
      <c r="K810" s="23" t="s">
        <v>1826</v>
      </c>
    </row>
    <row r="811" spans="1:11" ht="204.75">
      <c r="A811" s="23" t="s">
        <v>415</v>
      </c>
      <c r="B811" s="23" t="s">
        <v>31</v>
      </c>
      <c r="C811" s="23" t="s">
        <v>32</v>
      </c>
      <c r="D811" s="23">
        <v>1</v>
      </c>
      <c r="E811" s="23" t="s">
        <v>1751</v>
      </c>
      <c r="F811" s="23" t="s">
        <v>1743</v>
      </c>
      <c r="G811" s="23" t="s">
        <v>1752</v>
      </c>
      <c r="H811" s="23">
        <v>1</v>
      </c>
      <c r="I811" s="23" t="s">
        <v>2594</v>
      </c>
      <c r="J811" s="23">
        <v>1</v>
      </c>
      <c r="K811" s="23" t="s">
        <v>1826</v>
      </c>
    </row>
    <row r="812" spans="1:11" ht="189">
      <c r="A812" s="23" t="s">
        <v>415</v>
      </c>
      <c r="B812" s="23" t="s">
        <v>34</v>
      </c>
      <c r="C812" s="23" t="s">
        <v>35</v>
      </c>
      <c r="D812" s="23">
        <v>1</v>
      </c>
      <c r="E812" s="23" t="s">
        <v>1753</v>
      </c>
      <c r="F812" s="23" t="s">
        <v>1743</v>
      </c>
      <c r="G812" s="23" t="s">
        <v>1673</v>
      </c>
      <c r="H812" s="23">
        <v>1</v>
      </c>
      <c r="I812" s="23" t="s">
        <v>2595</v>
      </c>
      <c r="J812" s="23">
        <v>1</v>
      </c>
      <c r="K812" s="23" t="s">
        <v>1826</v>
      </c>
    </row>
    <row r="813" spans="1:11" ht="299.25">
      <c r="A813" s="23" t="s">
        <v>415</v>
      </c>
      <c r="B813" s="23" t="s">
        <v>37</v>
      </c>
      <c r="C813" s="23" t="s">
        <v>38</v>
      </c>
      <c r="D813" s="23">
        <v>0.5</v>
      </c>
      <c r="E813" s="23" t="s">
        <v>1754</v>
      </c>
      <c r="F813" s="23" t="s">
        <v>1743</v>
      </c>
      <c r="G813" s="23" t="s">
        <v>1692</v>
      </c>
      <c r="H813" s="23">
        <v>0.5</v>
      </c>
      <c r="I813" s="23" t="s">
        <v>2596</v>
      </c>
      <c r="J813" s="23">
        <v>0.5</v>
      </c>
      <c r="K813" s="23" t="s">
        <v>1833</v>
      </c>
    </row>
    <row r="814" spans="1:11" ht="189">
      <c r="A814" s="23" t="s">
        <v>419</v>
      </c>
      <c r="B814" s="23" t="s">
        <v>13</v>
      </c>
      <c r="C814" s="23" t="s">
        <v>14</v>
      </c>
      <c r="D814" s="23">
        <v>1</v>
      </c>
      <c r="E814" s="23" t="s">
        <v>1755</v>
      </c>
      <c r="F814" s="23" t="s">
        <v>1756</v>
      </c>
      <c r="G814" s="23" t="s">
        <v>1682</v>
      </c>
      <c r="H814" s="23">
        <v>1</v>
      </c>
      <c r="I814" s="23" t="s">
        <v>2597</v>
      </c>
      <c r="J814" s="23">
        <v>1</v>
      </c>
      <c r="K814" s="23" t="s">
        <v>1826</v>
      </c>
    </row>
    <row r="815" spans="1:11" ht="204.75">
      <c r="A815" s="23" t="s">
        <v>419</v>
      </c>
      <c r="B815" s="23" t="s">
        <v>16</v>
      </c>
      <c r="C815" s="23" t="s">
        <v>17</v>
      </c>
      <c r="D815" s="23">
        <v>1</v>
      </c>
      <c r="E815" s="23" t="s">
        <v>1757</v>
      </c>
      <c r="F815" s="23" t="s">
        <v>1756</v>
      </c>
      <c r="G815" s="23" t="s">
        <v>1758</v>
      </c>
      <c r="H815" s="23">
        <v>1</v>
      </c>
      <c r="I815" s="23" t="s">
        <v>2598</v>
      </c>
      <c r="J815" s="23">
        <v>1</v>
      </c>
      <c r="K815" s="23" t="s">
        <v>1826</v>
      </c>
    </row>
    <row r="816" spans="1:11" ht="173.25">
      <c r="A816" s="23" t="s">
        <v>419</v>
      </c>
      <c r="B816" s="23" t="s">
        <v>19</v>
      </c>
      <c r="C816" s="23" t="s">
        <v>20</v>
      </c>
      <c r="D816" s="23">
        <v>1</v>
      </c>
      <c r="E816" s="23" t="s">
        <v>1759</v>
      </c>
      <c r="F816" s="23" t="s">
        <v>1756</v>
      </c>
      <c r="G816" s="23" t="s">
        <v>1760</v>
      </c>
      <c r="H816" s="23">
        <v>1</v>
      </c>
      <c r="I816" s="23" t="s">
        <v>2599</v>
      </c>
      <c r="J816" s="23">
        <v>1</v>
      </c>
      <c r="K816" s="23" t="s">
        <v>1826</v>
      </c>
    </row>
    <row r="817" spans="1:11" ht="173.25">
      <c r="A817" s="23" t="s">
        <v>419</v>
      </c>
      <c r="B817" s="23" t="s">
        <v>22</v>
      </c>
      <c r="C817" s="23" t="s">
        <v>23</v>
      </c>
      <c r="D817" s="23">
        <v>1</v>
      </c>
      <c r="E817" s="23" t="s">
        <v>1761</v>
      </c>
      <c r="F817" s="23" t="s">
        <v>1756</v>
      </c>
      <c r="G817" s="23" t="s">
        <v>1762</v>
      </c>
      <c r="H817" s="23">
        <v>1</v>
      </c>
      <c r="I817" s="23" t="s">
        <v>2600</v>
      </c>
      <c r="J817" s="23">
        <v>1</v>
      </c>
      <c r="K817" s="23" t="s">
        <v>1826</v>
      </c>
    </row>
    <row r="818" spans="1:11" ht="157.5">
      <c r="A818" s="23" t="s">
        <v>419</v>
      </c>
      <c r="B818" s="23" t="s">
        <v>25</v>
      </c>
      <c r="C818" s="23" t="s">
        <v>26</v>
      </c>
      <c r="D818" s="23">
        <v>1</v>
      </c>
      <c r="E818" s="23" t="s">
        <v>1763</v>
      </c>
      <c r="F818" s="23" t="s">
        <v>1756</v>
      </c>
      <c r="G818" s="23" t="s">
        <v>1764</v>
      </c>
      <c r="H818" s="23">
        <v>1</v>
      </c>
      <c r="I818" s="23" t="s">
        <v>2601</v>
      </c>
      <c r="J818" s="23">
        <v>1</v>
      </c>
      <c r="K818" s="23" t="s">
        <v>1826</v>
      </c>
    </row>
    <row r="819" spans="1:11" ht="173.25">
      <c r="A819" s="23" t="s">
        <v>419</v>
      </c>
      <c r="B819" s="23" t="s">
        <v>28</v>
      </c>
      <c r="C819" s="23" t="s">
        <v>29</v>
      </c>
      <c r="D819" s="23">
        <v>1</v>
      </c>
      <c r="E819" s="23" t="s">
        <v>1765</v>
      </c>
      <c r="F819" s="23" t="s">
        <v>1756</v>
      </c>
      <c r="G819" s="23" t="s">
        <v>1766</v>
      </c>
      <c r="H819" s="23">
        <v>1</v>
      </c>
      <c r="I819" s="23" t="s">
        <v>2602</v>
      </c>
      <c r="J819" s="23">
        <v>1</v>
      </c>
      <c r="K819" s="23" t="s">
        <v>1826</v>
      </c>
    </row>
    <row r="820" spans="1:11" ht="189">
      <c r="A820" s="23" t="s">
        <v>419</v>
      </c>
      <c r="B820" s="23" t="s">
        <v>31</v>
      </c>
      <c r="C820" s="23" t="s">
        <v>32</v>
      </c>
      <c r="D820" s="23">
        <v>1</v>
      </c>
      <c r="E820" s="23" t="s">
        <v>1767</v>
      </c>
      <c r="F820" s="23" t="s">
        <v>1756</v>
      </c>
      <c r="G820" s="23" t="s">
        <v>1768</v>
      </c>
      <c r="H820" s="23">
        <v>1</v>
      </c>
      <c r="I820" s="23" t="s">
        <v>2603</v>
      </c>
      <c r="J820" s="23">
        <v>1</v>
      </c>
      <c r="K820" s="23" t="s">
        <v>1826</v>
      </c>
    </row>
    <row r="821" spans="1:11" ht="204.75">
      <c r="A821" s="23" t="s">
        <v>419</v>
      </c>
      <c r="B821" s="23" t="s">
        <v>34</v>
      </c>
      <c r="C821" s="23" t="s">
        <v>35</v>
      </c>
      <c r="D821" s="23">
        <v>1</v>
      </c>
      <c r="E821" s="23" t="s">
        <v>1769</v>
      </c>
      <c r="F821" s="23" t="s">
        <v>1756</v>
      </c>
      <c r="G821" s="23" t="s">
        <v>1770</v>
      </c>
      <c r="H821" s="23">
        <v>1</v>
      </c>
      <c r="I821" s="23" t="s">
        <v>2604</v>
      </c>
      <c r="J821" s="23">
        <v>1</v>
      </c>
      <c r="K821" s="23" t="s">
        <v>1826</v>
      </c>
    </row>
    <row r="822" spans="1:11" ht="267.75">
      <c r="A822" s="23" t="s">
        <v>419</v>
      </c>
      <c r="B822" s="23" t="s">
        <v>37</v>
      </c>
      <c r="C822" s="23" t="s">
        <v>38</v>
      </c>
      <c r="D822" s="23">
        <v>0.5</v>
      </c>
      <c r="E822" s="23" t="s">
        <v>1771</v>
      </c>
      <c r="F822" s="23" t="s">
        <v>1756</v>
      </c>
      <c r="G822" s="23" t="s">
        <v>1772</v>
      </c>
      <c r="H822" s="23">
        <v>0.5</v>
      </c>
      <c r="I822" s="23" t="s">
        <v>2605</v>
      </c>
      <c r="J822" s="23">
        <v>0.5</v>
      </c>
      <c r="K822" s="23" t="s">
        <v>1833</v>
      </c>
    </row>
    <row r="823" spans="1:11" ht="189">
      <c r="A823" s="23" t="s">
        <v>423</v>
      </c>
      <c r="B823" s="23" t="s">
        <v>13</v>
      </c>
      <c r="C823" s="23" t="s">
        <v>14</v>
      </c>
      <c r="D823" s="23">
        <v>1</v>
      </c>
      <c r="E823" s="23" t="s">
        <v>1773</v>
      </c>
      <c r="F823" s="23" t="s">
        <v>1774</v>
      </c>
      <c r="G823" s="23" t="s">
        <v>1775</v>
      </c>
      <c r="H823" s="23">
        <v>1</v>
      </c>
      <c r="I823" s="23" t="s">
        <v>2606</v>
      </c>
      <c r="J823" s="23">
        <v>1</v>
      </c>
      <c r="K823" s="23" t="s">
        <v>1826</v>
      </c>
    </row>
    <row r="824" spans="1:11" ht="173.25">
      <c r="A824" s="23" t="s">
        <v>423</v>
      </c>
      <c r="B824" s="23" t="s">
        <v>16</v>
      </c>
      <c r="C824" s="23" t="s">
        <v>17</v>
      </c>
      <c r="D824" s="23">
        <v>1</v>
      </c>
      <c r="E824" s="23" t="s">
        <v>1776</v>
      </c>
      <c r="F824" s="23" t="s">
        <v>1774</v>
      </c>
      <c r="G824" s="23" t="s">
        <v>1777</v>
      </c>
      <c r="H824" s="23">
        <v>1</v>
      </c>
      <c r="I824" s="23" t="s">
        <v>2607</v>
      </c>
      <c r="J824" s="23">
        <v>1</v>
      </c>
      <c r="K824" s="23" t="s">
        <v>1826</v>
      </c>
    </row>
    <row r="825" spans="1:11" ht="189">
      <c r="A825" s="23" t="s">
        <v>423</v>
      </c>
      <c r="B825" s="23" t="s">
        <v>19</v>
      </c>
      <c r="C825" s="23" t="s">
        <v>20</v>
      </c>
      <c r="D825" s="23">
        <v>1</v>
      </c>
      <c r="E825" s="23" t="s">
        <v>1778</v>
      </c>
      <c r="F825" s="23" t="s">
        <v>1774</v>
      </c>
      <c r="G825" s="23" t="s">
        <v>1779</v>
      </c>
      <c r="H825" s="23">
        <v>1</v>
      </c>
      <c r="I825" s="23" t="s">
        <v>2608</v>
      </c>
      <c r="J825" s="23">
        <v>1</v>
      </c>
      <c r="K825" s="23" t="s">
        <v>1826</v>
      </c>
    </row>
    <row r="826" spans="1:11" ht="204.75">
      <c r="A826" s="23" t="s">
        <v>423</v>
      </c>
      <c r="B826" s="23" t="s">
        <v>22</v>
      </c>
      <c r="C826" s="23" t="s">
        <v>23</v>
      </c>
      <c r="D826" s="23">
        <v>1</v>
      </c>
      <c r="E826" s="23" t="s">
        <v>1780</v>
      </c>
      <c r="F826" s="23" t="s">
        <v>1774</v>
      </c>
      <c r="G826" s="23" t="s">
        <v>1781</v>
      </c>
      <c r="H826" s="23">
        <v>1</v>
      </c>
      <c r="I826" s="23" t="s">
        <v>2609</v>
      </c>
      <c r="J826" s="23">
        <v>1</v>
      </c>
      <c r="K826" s="23" t="s">
        <v>1826</v>
      </c>
    </row>
    <row r="827" spans="1:11" ht="204.75">
      <c r="A827" s="23" t="s">
        <v>423</v>
      </c>
      <c r="B827" s="23" t="s">
        <v>25</v>
      </c>
      <c r="C827" s="23" t="s">
        <v>26</v>
      </c>
      <c r="D827" s="23">
        <v>1</v>
      </c>
      <c r="E827" s="23" t="s">
        <v>1782</v>
      </c>
      <c r="F827" s="23" t="s">
        <v>1774</v>
      </c>
      <c r="G827" s="23" t="s">
        <v>1783</v>
      </c>
      <c r="H827" s="23">
        <v>1</v>
      </c>
      <c r="I827" s="23" t="s">
        <v>2610</v>
      </c>
      <c r="J827" s="23">
        <v>1</v>
      </c>
      <c r="K827" s="23" t="s">
        <v>1826</v>
      </c>
    </row>
    <row r="828" spans="1:11" ht="189">
      <c r="A828" s="23" t="s">
        <v>423</v>
      </c>
      <c r="B828" s="23" t="s">
        <v>28</v>
      </c>
      <c r="C828" s="23" t="s">
        <v>29</v>
      </c>
      <c r="D828" s="23">
        <v>1</v>
      </c>
      <c r="E828" s="23" t="s">
        <v>1784</v>
      </c>
      <c r="F828" s="23" t="s">
        <v>1774</v>
      </c>
      <c r="G828" s="23" t="s">
        <v>1785</v>
      </c>
      <c r="H828" s="23">
        <v>1</v>
      </c>
      <c r="I828" s="23" t="s">
        <v>2611</v>
      </c>
      <c r="J828" s="23">
        <v>1</v>
      </c>
      <c r="K828" s="23" t="s">
        <v>1826</v>
      </c>
    </row>
    <row r="829" spans="1:11" ht="189">
      <c r="A829" s="23" t="s">
        <v>423</v>
      </c>
      <c r="B829" s="23" t="s">
        <v>31</v>
      </c>
      <c r="C829" s="23" t="s">
        <v>32</v>
      </c>
      <c r="D829" s="23">
        <v>1</v>
      </c>
      <c r="E829" s="23" t="s">
        <v>1786</v>
      </c>
      <c r="F829" s="23" t="s">
        <v>1774</v>
      </c>
      <c r="G829" s="23" t="s">
        <v>1787</v>
      </c>
      <c r="H829" s="23">
        <v>1</v>
      </c>
      <c r="I829" s="23" t="s">
        <v>2612</v>
      </c>
      <c r="J829" s="23">
        <v>1</v>
      </c>
      <c r="K829" s="23" t="s">
        <v>1826</v>
      </c>
    </row>
    <row r="830" spans="1:11" ht="204.75">
      <c r="A830" s="23" t="s">
        <v>423</v>
      </c>
      <c r="B830" s="23" t="s">
        <v>34</v>
      </c>
      <c r="C830" s="23" t="s">
        <v>35</v>
      </c>
      <c r="D830" s="23">
        <v>1</v>
      </c>
      <c r="E830" s="23" t="s">
        <v>1788</v>
      </c>
      <c r="F830" s="23" t="s">
        <v>1774</v>
      </c>
      <c r="G830" s="23" t="s">
        <v>1787</v>
      </c>
      <c r="H830" s="23">
        <v>1</v>
      </c>
      <c r="I830" s="23" t="s">
        <v>2613</v>
      </c>
      <c r="J830" s="23">
        <v>1</v>
      </c>
      <c r="K830" s="23" t="s">
        <v>1826</v>
      </c>
    </row>
    <row r="831" spans="1:11" ht="267.75">
      <c r="A831" s="23" t="s">
        <v>423</v>
      </c>
      <c r="B831" s="23" t="s">
        <v>37</v>
      </c>
      <c r="C831" s="23" t="s">
        <v>38</v>
      </c>
      <c r="D831" s="23">
        <v>0.5</v>
      </c>
      <c r="E831" s="23" t="s">
        <v>1789</v>
      </c>
      <c r="F831" s="23" t="s">
        <v>1774</v>
      </c>
      <c r="G831" s="23" t="s">
        <v>1790</v>
      </c>
      <c r="H831" s="23">
        <v>0.5</v>
      </c>
      <c r="I831" s="23" t="s">
        <v>2614</v>
      </c>
      <c r="J831" s="23">
        <v>0.5</v>
      </c>
      <c r="K831" s="23" t="s">
        <v>1833</v>
      </c>
    </row>
    <row r="832" spans="1:11" ht="173.25">
      <c r="A832" s="23" t="s">
        <v>427</v>
      </c>
      <c r="B832" s="23" t="s">
        <v>13</v>
      </c>
      <c r="C832" s="23" t="s">
        <v>14</v>
      </c>
      <c r="D832" s="23">
        <v>1</v>
      </c>
      <c r="E832" s="23" t="s">
        <v>1791</v>
      </c>
      <c r="F832" s="23" t="s">
        <v>1792</v>
      </c>
      <c r="G832" s="23" t="s">
        <v>1775</v>
      </c>
      <c r="H832" s="23">
        <v>1</v>
      </c>
      <c r="I832" s="23" t="s">
        <v>2615</v>
      </c>
      <c r="J832" s="23">
        <v>1</v>
      </c>
      <c r="K832" s="23" t="s">
        <v>1826</v>
      </c>
    </row>
    <row r="833" spans="1:11" ht="189">
      <c r="A833" s="23" t="s">
        <v>427</v>
      </c>
      <c r="B833" s="23" t="s">
        <v>16</v>
      </c>
      <c r="C833" s="23" t="s">
        <v>17</v>
      </c>
      <c r="D833" s="23">
        <v>1</v>
      </c>
      <c r="E833" s="23" t="s">
        <v>1793</v>
      </c>
      <c r="F833" s="23" t="s">
        <v>1792</v>
      </c>
      <c r="G833" s="23" t="s">
        <v>1712</v>
      </c>
      <c r="H833" s="23">
        <v>1</v>
      </c>
      <c r="I833" s="23" t="s">
        <v>2616</v>
      </c>
      <c r="J833" s="23">
        <v>1</v>
      </c>
      <c r="K833" s="23" t="s">
        <v>1826</v>
      </c>
    </row>
    <row r="834" spans="1:11" ht="189">
      <c r="A834" s="23" t="s">
        <v>427</v>
      </c>
      <c r="B834" s="23" t="s">
        <v>19</v>
      </c>
      <c r="C834" s="23" t="s">
        <v>20</v>
      </c>
      <c r="D834" s="23">
        <v>1</v>
      </c>
      <c r="E834" s="23" t="s">
        <v>1794</v>
      </c>
      <c r="F834" s="23" t="s">
        <v>1792</v>
      </c>
      <c r="G834" s="23" t="s">
        <v>1749</v>
      </c>
      <c r="H834" s="23">
        <v>1</v>
      </c>
      <c r="I834" s="23" t="s">
        <v>2617</v>
      </c>
      <c r="J834" s="23">
        <v>1</v>
      </c>
      <c r="K834" s="23" t="s">
        <v>1826</v>
      </c>
    </row>
    <row r="835" spans="1:11" ht="220.5">
      <c r="A835" s="23" t="s">
        <v>427</v>
      </c>
      <c r="B835" s="23" t="s">
        <v>22</v>
      </c>
      <c r="C835" s="23" t="s">
        <v>23</v>
      </c>
      <c r="D835" s="23">
        <v>1</v>
      </c>
      <c r="E835" s="23" t="s">
        <v>1795</v>
      </c>
      <c r="F835" s="23" t="s">
        <v>1792</v>
      </c>
      <c r="G835" s="23" t="s">
        <v>1796</v>
      </c>
      <c r="H835" s="23">
        <v>1</v>
      </c>
      <c r="I835" s="23" t="s">
        <v>2618</v>
      </c>
      <c r="J835" s="23">
        <v>1</v>
      </c>
      <c r="K835" s="23" t="s">
        <v>1826</v>
      </c>
    </row>
    <row r="836" spans="1:11" ht="220.5">
      <c r="A836" s="23" t="s">
        <v>427</v>
      </c>
      <c r="B836" s="23" t="s">
        <v>25</v>
      </c>
      <c r="C836" s="23" t="s">
        <v>26</v>
      </c>
      <c r="D836" s="23">
        <v>1</v>
      </c>
      <c r="E836" s="23" t="s">
        <v>1797</v>
      </c>
      <c r="F836" s="23" t="s">
        <v>1792</v>
      </c>
      <c r="G836" s="23" t="s">
        <v>1796</v>
      </c>
      <c r="H836" s="23">
        <v>1</v>
      </c>
      <c r="I836" s="23" t="s">
        <v>2619</v>
      </c>
      <c r="J836" s="23">
        <v>1</v>
      </c>
      <c r="K836" s="23" t="s">
        <v>1826</v>
      </c>
    </row>
    <row r="837" spans="1:11" ht="189">
      <c r="A837" s="23" t="s">
        <v>427</v>
      </c>
      <c r="B837" s="23" t="s">
        <v>28</v>
      </c>
      <c r="C837" s="23" t="s">
        <v>29</v>
      </c>
      <c r="D837" s="23">
        <v>1</v>
      </c>
      <c r="E837" s="23" t="s">
        <v>1798</v>
      </c>
      <c r="F837" s="23" t="s">
        <v>1792</v>
      </c>
      <c r="G837" s="23" t="s">
        <v>1796</v>
      </c>
      <c r="H837" s="23">
        <v>1</v>
      </c>
      <c r="I837" s="23" t="s">
        <v>2620</v>
      </c>
      <c r="J837" s="23">
        <v>1</v>
      </c>
      <c r="K837" s="23" t="s">
        <v>1826</v>
      </c>
    </row>
    <row r="838" spans="1:11" ht="204.75">
      <c r="A838" s="23" t="s">
        <v>427</v>
      </c>
      <c r="B838" s="23" t="s">
        <v>31</v>
      </c>
      <c r="C838" s="23" t="s">
        <v>32</v>
      </c>
      <c r="D838" s="23">
        <v>1</v>
      </c>
      <c r="E838" s="23" t="s">
        <v>1799</v>
      </c>
      <c r="F838" s="23" t="s">
        <v>1792</v>
      </c>
      <c r="G838" s="23" t="s">
        <v>1800</v>
      </c>
      <c r="H838" s="23">
        <v>1</v>
      </c>
      <c r="I838" s="23" t="s">
        <v>2621</v>
      </c>
      <c r="J838" s="23">
        <v>1</v>
      </c>
      <c r="K838" s="23" t="s">
        <v>1826</v>
      </c>
    </row>
    <row r="839" spans="1:11" ht="204.75">
      <c r="A839" s="23" t="s">
        <v>427</v>
      </c>
      <c r="B839" s="23" t="s">
        <v>34</v>
      </c>
      <c r="C839" s="23" t="s">
        <v>35</v>
      </c>
      <c r="D839" s="23">
        <v>1</v>
      </c>
      <c r="E839" s="23" t="s">
        <v>1801</v>
      </c>
      <c r="F839" s="23" t="s">
        <v>1792</v>
      </c>
      <c r="G839" s="23" t="s">
        <v>1802</v>
      </c>
      <c r="H839" s="23">
        <v>1</v>
      </c>
      <c r="I839" s="23" t="s">
        <v>2622</v>
      </c>
      <c r="J839" s="23">
        <v>1</v>
      </c>
      <c r="K839" s="23" t="s">
        <v>1826</v>
      </c>
    </row>
    <row r="840" spans="1:11" ht="157.5">
      <c r="A840" s="23" t="s">
        <v>427</v>
      </c>
      <c r="B840" s="23" t="s">
        <v>37</v>
      </c>
      <c r="C840" s="23" t="s">
        <v>38</v>
      </c>
      <c r="D840" s="23">
        <v>1</v>
      </c>
      <c r="E840" s="23" t="s">
        <v>1803</v>
      </c>
      <c r="F840" s="23" t="s">
        <v>1792</v>
      </c>
      <c r="G840" s="23" t="s">
        <v>1804</v>
      </c>
      <c r="H840" s="23">
        <v>1</v>
      </c>
      <c r="I840" s="23" t="s">
        <v>2623</v>
      </c>
      <c r="J840" s="23">
        <v>1</v>
      </c>
      <c r="K840" s="23" t="s">
        <v>1826</v>
      </c>
    </row>
    <row r="841" spans="1:11" ht="189">
      <c r="A841" s="23" t="s">
        <v>431</v>
      </c>
      <c r="B841" s="23" t="s">
        <v>13</v>
      </c>
      <c r="C841" s="23" t="s">
        <v>14</v>
      </c>
      <c r="D841" s="23">
        <v>1</v>
      </c>
      <c r="E841" s="23" t="s">
        <v>1805</v>
      </c>
      <c r="F841" s="23" t="s">
        <v>1806</v>
      </c>
      <c r="G841" s="23" t="s">
        <v>1682</v>
      </c>
      <c r="H841" s="23">
        <v>1</v>
      </c>
      <c r="I841" s="23" t="s">
        <v>2624</v>
      </c>
      <c r="J841" s="23">
        <v>1</v>
      </c>
      <c r="K841" s="23" t="s">
        <v>1826</v>
      </c>
    </row>
    <row r="842" spans="1:11" ht="189">
      <c r="A842" s="23" t="s">
        <v>431</v>
      </c>
      <c r="B842" s="23" t="s">
        <v>16</v>
      </c>
      <c r="C842" s="23" t="s">
        <v>17</v>
      </c>
      <c r="D842" s="23">
        <v>1</v>
      </c>
      <c r="E842" s="23" t="s">
        <v>1807</v>
      </c>
      <c r="F842" s="23" t="s">
        <v>1806</v>
      </c>
      <c r="G842" s="23" t="s">
        <v>1746</v>
      </c>
      <c r="H842" s="23">
        <v>1</v>
      </c>
      <c r="I842" s="23" t="s">
        <v>2625</v>
      </c>
      <c r="J842" s="23">
        <v>1</v>
      </c>
      <c r="K842" s="23" t="s">
        <v>1826</v>
      </c>
    </row>
    <row r="843" spans="1:11" ht="189">
      <c r="A843" s="23" t="s">
        <v>431</v>
      </c>
      <c r="B843" s="23" t="s">
        <v>19</v>
      </c>
      <c r="C843" s="23" t="s">
        <v>20</v>
      </c>
      <c r="D843" s="23">
        <v>1</v>
      </c>
      <c r="E843" s="23" t="s">
        <v>1808</v>
      </c>
      <c r="F843" s="23" t="s">
        <v>1806</v>
      </c>
      <c r="G843" s="23" t="s">
        <v>1712</v>
      </c>
      <c r="H843" s="23">
        <v>1</v>
      </c>
      <c r="I843" s="23" t="s">
        <v>2626</v>
      </c>
      <c r="J843" s="23">
        <v>1</v>
      </c>
      <c r="K843" s="23" t="s">
        <v>1826</v>
      </c>
    </row>
    <row r="844" spans="1:11" ht="236.25">
      <c r="A844" s="23" t="s">
        <v>431</v>
      </c>
      <c r="B844" s="23" t="s">
        <v>22</v>
      </c>
      <c r="C844" s="23" t="s">
        <v>23</v>
      </c>
      <c r="D844" s="23">
        <v>1</v>
      </c>
      <c r="E844" s="23" t="s">
        <v>1809</v>
      </c>
      <c r="F844" s="23" t="s">
        <v>1806</v>
      </c>
      <c r="G844" s="23" t="s">
        <v>1810</v>
      </c>
      <c r="H844" s="23">
        <v>1</v>
      </c>
      <c r="I844" s="23" t="s">
        <v>2627</v>
      </c>
      <c r="J844" s="23">
        <v>1</v>
      </c>
      <c r="K844" s="23" t="s">
        <v>1826</v>
      </c>
    </row>
    <row r="845" spans="1:11" ht="189">
      <c r="A845" s="23" t="s">
        <v>431</v>
      </c>
      <c r="B845" s="23" t="s">
        <v>25</v>
      </c>
      <c r="C845" s="23" t="s">
        <v>26</v>
      </c>
      <c r="D845" s="23">
        <v>1</v>
      </c>
      <c r="E845" s="23" t="s">
        <v>1811</v>
      </c>
      <c r="F845" s="23" t="s">
        <v>1806</v>
      </c>
      <c r="G845" s="23" t="s">
        <v>1812</v>
      </c>
      <c r="H845" s="23">
        <v>1</v>
      </c>
      <c r="I845" s="23" t="s">
        <v>2628</v>
      </c>
      <c r="J845" s="23">
        <v>1</v>
      </c>
      <c r="K845" s="23" t="s">
        <v>1826</v>
      </c>
    </row>
    <row r="846" spans="1:11" ht="189">
      <c r="A846" s="23" t="s">
        <v>431</v>
      </c>
      <c r="B846" s="23" t="s">
        <v>28</v>
      </c>
      <c r="C846" s="23" t="s">
        <v>29</v>
      </c>
      <c r="D846" s="23">
        <v>1</v>
      </c>
      <c r="E846" s="23" t="s">
        <v>1813</v>
      </c>
      <c r="F846" s="23" t="s">
        <v>1806</v>
      </c>
      <c r="G846" s="23" t="s">
        <v>1814</v>
      </c>
      <c r="H846" s="23">
        <v>1</v>
      </c>
      <c r="I846" s="23" t="s">
        <v>2629</v>
      </c>
      <c r="J846" s="23">
        <v>1</v>
      </c>
      <c r="K846" s="23" t="s">
        <v>1826</v>
      </c>
    </row>
    <row r="847" spans="1:11" ht="189">
      <c r="A847" s="23" t="s">
        <v>431</v>
      </c>
      <c r="B847" s="23" t="s">
        <v>31</v>
      </c>
      <c r="C847" s="23" t="s">
        <v>32</v>
      </c>
      <c r="D847" s="23">
        <v>1</v>
      </c>
      <c r="E847" s="23" t="s">
        <v>1815</v>
      </c>
      <c r="F847" s="23" t="s">
        <v>1806</v>
      </c>
      <c r="G847" s="23" t="s">
        <v>1816</v>
      </c>
      <c r="H847" s="23">
        <v>1</v>
      </c>
      <c r="I847" s="23" t="s">
        <v>2630</v>
      </c>
      <c r="J847" s="23">
        <v>1</v>
      </c>
      <c r="K847" s="23" t="s">
        <v>1826</v>
      </c>
    </row>
    <row r="848" spans="1:11" ht="204.75">
      <c r="A848" s="23" t="s">
        <v>431</v>
      </c>
      <c r="B848" s="23" t="s">
        <v>34</v>
      </c>
      <c r="C848" s="23" t="s">
        <v>35</v>
      </c>
      <c r="D848" s="23">
        <v>1</v>
      </c>
      <c r="E848" s="23" t="s">
        <v>1817</v>
      </c>
      <c r="F848" s="23" t="s">
        <v>1806</v>
      </c>
      <c r="G848" s="23" t="s">
        <v>1796</v>
      </c>
      <c r="H848" s="23">
        <v>1</v>
      </c>
      <c r="I848" s="23" t="s">
        <v>2631</v>
      </c>
      <c r="J848" s="23">
        <v>1</v>
      </c>
      <c r="K848" s="23" t="s">
        <v>1826</v>
      </c>
    </row>
    <row r="849" spans="1:11" ht="126">
      <c r="A849" s="23" t="s">
        <v>431</v>
      </c>
      <c r="B849" s="23" t="s">
        <v>37</v>
      </c>
      <c r="C849" s="23" t="s">
        <v>38</v>
      </c>
      <c r="D849" s="23">
        <v>1</v>
      </c>
      <c r="E849" s="23" t="s">
        <v>1818</v>
      </c>
      <c r="F849" s="23" t="s">
        <v>1806</v>
      </c>
      <c r="G849" s="23" t="s">
        <v>1804</v>
      </c>
      <c r="H849" s="23">
        <v>1</v>
      </c>
      <c r="I849" s="23" t="s">
        <v>2632</v>
      </c>
      <c r="J849" s="23">
        <v>1</v>
      </c>
      <c r="K849" s="23" t="s">
        <v>1826</v>
      </c>
    </row>
  </sheetData>
  <mergeCells count="1">
    <mergeCell ref="A1:K1"/>
  </mergeCells>
  <conditionalFormatting sqref="H4:H849">
    <cfRule type="expression" dxfId="11" priority="4">
      <formula>H4=1</formula>
    </cfRule>
    <cfRule type="expression" dxfId="10" priority="5">
      <formula>H4=0.5</formula>
    </cfRule>
    <cfRule type="expression" dxfId="9" priority="6">
      <formula>H4=0</formula>
    </cfRule>
  </conditionalFormatting>
  <conditionalFormatting sqref="J4:J849">
    <cfRule type="expression" dxfId="8" priority="1">
      <formula>J4=1</formula>
    </cfRule>
    <cfRule type="expression" dxfId="7" priority="2">
      <formula>J4=0.5</formula>
    </cfRule>
    <cfRule type="expression" dxfId="6" priority="3">
      <formula>J4=0</formula>
    </cfRule>
  </conditionalFormatting>
  <dataValidations count="1">
    <dataValidation type="list" sqref="H733:H849 H4:H678 J733:J849 J4:J678" xr:uid="{00000000-0002-0000-0200-000000000000}">
      <formula1>"1,0.5,0,N/A"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O97"/>
  <sheetViews>
    <sheetView tabSelected="1" topLeftCell="A16" workbookViewId="0">
      <selection activeCell="E19" sqref="E19"/>
    </sheetView>
  </sheetViews>
  <sheetFormatPr defaultRowHeight="15.75"/>
  <cols>
    <col min="1" max="1" width="11" style="1" customWidth="1"/>
    <col min="2" max="2" width="9" style="1" customWidth="1"/>
    <col min="3" max="3" width="40" style="1" customWidth="1"/>
    <col min="4" max="4" width="16" style="1" customWidth="1"/>
    <col min="5" max="5" width="35" style="1" customWidth="1"/>
    <col min="6" max="14" width="8" style="1" customWidth="1"/>
    <col min="15" max="15" width="45" style="1" customWidth="1"/>
    <col min="16" max="16384" width="9" style="1"/>
  </cols>
  <sheetData>
    <row r="1" spans="1:15" s="7" customFormat="1" ht="20.25">
      <c r="A1" s="29" t="s">
        <v>1819</v>
      </c>
      <c r="B1" s="29"/>
      <c r="C1" s="29"/>
      <c r="D1" s="29"/>
      <c r="E1" s="29"/>
      <c r="F1" s="29"/>
      <c r="G1" s="29"/>
      <c r="H1" s="29"/>
      <c r="I1" s="29"/>
      <c r="J1" s="29"/>
      <c r="K1" s="29"/>
      <c r="L1" s="29"/>
      <c r="M1" s="29"/>
      <c r="N1" s="29"/>
      <c r="O1" s="29"/>
    </row>
    <row r="3" spans="1:15" s="22" customFormat="1" ht="37.5">
      <c r="A3" s="21" t="s">
        <v>41</v>
      </c>
      <c r="B3" s="21" t="s">
        <v>42</v>
      </c>
      <c r="C3" s="21" t="s">
        <v>43</v>
      </c>
      <c r="D3" s="21" t="s">
        <v>1820</v>
      </c>
      <c r="E3" s="21" t="s">
        <v>45</v>
      </c>
      <c r="F3" s="21" t="s">
        <v>13</v>
      </c>
      <c r="G3" s="21" t="s">
        <v>16</v>
      </c>
      <c r="H3" s="21" t="s">
        <v>19</v>
      </c>
      <c r="I3" s="21" t="s">
        <v>22</v>
      </c>
      <c r="J3" s="21" t="s">
        <v>25</v>
      </c>
      <c r="K3" s="21" t="s">
        <v>28</v>
      </c>
      <c r="L3" s="21" t="s">
        <v>31</v>
      </c>
      <c r="M3" s="21" t="s">
        <v>34</v>
      </c>
      <c r="N3" s="21" t="s">
        <v>37</v>
      </c>
      <c r="O3" s="21" t="s">
        <v>1821</v>
      </c>
    </row>
    <row r="4" spans="1:15" ht="110.25">
      <c r="A4" s="9" t="s">
        <v>51</v>
      </c>
      <c r="B4" s="9">
        <v>2017</v>
      </c>
      <c r="C4" s="9" t="s">
        <v>52</v>
      </c>
      <c r="D4" s="9" t="s">
        <v>53</v>
      </c>
      <c r="E4" s="9" t="s">
        <v>54</v>
      </c>
      <c r="F4" s="9">
        <v>1</v>
      </c>
      <c r="G4" s="9">
        <v>1</v>
      </c>
      <c r="H4" s="9">
        <v>1</v>
      </c>
      <c r="I4" s="9">
        <v>1</v>
      </c>
      <c r="J4" s="9">
        <v>1</v>
      </c>
      <c r="K4" s="9">
        <v>1</v>
      </c>
      <c r="L4" s="9">
        <v>0.5</v>
      </c>
      <c r="M4" s="9">
        <v>1</v>
      </c>
      <c r="N4" s="9">
        <v>1</v>
      </c>
      <c r="O4" s="9" t="s">
        <v>2633</v>
      </c>
    </row>
    <row r="5" spans="1:15" ht="173.25">
      <c r="A5" s="9" t="s">
        <v>56</v>
      </c>
      <c r="B5" s="9">
        <v>2018</v>
      </c>
      <c r="C5" s="9" t="s">
        <v>57</v>
      </c>
      <c r="D5" s="9" t="s">
        <v>53</v>
      </c>
      <c r="E5" s="9" t="s">
        <v>58</v>
      </c>
      <c r="F5" s="9">
        <v>1</v>
      </c>
      <c r="G5" s="9">
        <v>1</v>
      </c>
      <c r="H5" s="9">
        <v>1</v>
      </c>
      <c r="I5" s="9">
        <v>1</v>
      </c>
      <c r="J5" s="9">
        <v>0.5</v>
      </c>
      <c r="K5" s="9">
        <v>1</v>
      </c>
      <c r="L5" s="9">
        <v>0.5</v>
      </c>
      <c r="M5" s="9">
        <v>1</v>
      </c>
      <c r="N5" s="9">
        <v>1</v>
      </c>
      <c r="O5" s="9" t="s">
        <v>2634</v>
      </c>
    </row>
    <row r="6" spans="1:15" ht="157.5">
      <c r="A6" s="9" t="s">
        <v>60</v>
      </c>
      <c r="B6" s="9">
        <v>2019</v>
      </c>
      <c r="C6" s="9" t="s">
        <v>61</v>
      </c>
      <c r="D6" s="9" t="s">
        <v>53</v>
      </c>
      <c r="E6" s="9" t="s">
        <v>62</v>
      </c>
      <c r="F6" s="9">
        <v>1</v>
      </c>
      <c r="G6" s="9">
        <v>1</v>
      </c>
      <c r="H6" s="9">
        <v>1</v>
      </c>
      <c r="I6" s="9">
        <v>1</v>
      </c>
      <c r="J6" s="9">
        <v>1</v>
      </c>
      <c r="K6" s="9">
        <v>1</v>
      </c>
      <c r="L6" s="9">
        <v>0.5</v>
      </c>
      <c r="M6" s="9">
        <v>1</v>
      </c>
      <c r="N6" s="9">
        <v>0.5</v>
      </c>
      <c r="O6" s="9" t="s">
        <v>2635</v>
      </c>
    </row>
    <row r="7" spans="1:15" ht="204.75">
      <c r="A7" s="9" t="s">
        <v>64</v>
      </c>
      <c r="B7" s="9">
        <v>2020</v>
      </c>
      <c r="C7" s="9" t="s">
        <v>65</v>
      </c>
      <c r="D7" s="9" t="s">
        <v>53</v>
      </c>
      <c r="E7" s="9" t="s">
        <v>66</v>
      </c>
      <c r="F7" s="9">
        <v>1</v>
      </c>
      <c r="G7" s="9">
        <v>1</v>
      </c>
      <c r="H7" s="9">
        <v>1</v>
      </c>
      <c r="I7" s="9">
        <v>1</v>
      </c>
      <c r="J7" s="9">
        <v>1</v>
      </c>
      <c r="K7" s="9">
        <v>1</v>
      </c>
      <c r="L7" s="9">
        <v>0.5</v>
      </c>
      <c r="M7" s="9">
        <v>0.5</v>
      </c>
      <c r="N7" s="9">
        <v>0.5</v>
      </c>
      <c r="O7" s="9" t="s">
        <v>2636</v>
      </c>
    </row>
    <row r="8" spans="1:15" ht="204.75">
      <c r="A8" s="9" t="s">
        <v>68</v>
      </c>
      <c r="B8" s="9">
        <v>2021</v>
      </c>
      <c r="C8" s="9" t="s">
        <v>69</v>
      </c>
      <c r="D8" s="9" t="s">
        <v>53</v>
      </c>
      <c r="E8" s="9" t="s">
        <v>70</v>
      </c>
      <c r="F8" s="9">
        <v>1</v>
      </c>
      <c r="G8" s="9">
        <v>1</v>
      </c>
      <c r="H8" s="9">
        <v>1</v>
      </c>
      <c r="I8" s="9">
        <v>1</v>
      </c>
      <c r="J8" s="9">
        <v>1</v>
      </c>
      <c r="K8" s="9">
        <v>1</v>
      </c>
      <c r="L8" s="9">
        <v>0.5</v>
      </c>
      <c r="M8" s="9">
        <v>0.5</v>
      </c>
      <c r="N8" s="9">
        <v>0.5</v>
      </c>
      <c r="O8" s="9" t="s">
        <v>2637</v>
      </c>
    </row>
    <row r="9" spans="1:15" ht="204.75">
      <c r="A9" s="9" t="s">
        <v>72</v>
      </c>
      <c r="B9" s="9">
        <v>2021</v>
      </c>
      <c r="C9" s="9" t="s">
        <v>73</v>
      </c>
      <c r="D9" s="9" t="s">
        <v>53</v>
      </c>
      <c r="E9" s="9" t="s">
        <v>74</v>
      </c>
      <c r="F9" s="9">
        <v>1</v>
      </c>
      <c r="G9" s="9">
        <v>1</v>
      </c>
      <c r="H9" s="9">
        <v>1</v>
      </c>
      <c r="I9" s="9">
        <v>1</v>
      </c>
      <c r="J9" s="9">
        <v>1</v>
      </c>
      <c r="K9" s="9">
        <v>1</v>
      </c>
      <c r="L9" s="9">
        <v>0.5</v>
      </c>
      <c r="M9" s="9">
        <v>0.5</v>
      </c>
      <c r="N9" s="9">
        <v>0.5</v>
      </c>
      <c r="O9" s="9" t="s">
        <v>2638</v>
      </c>
    </row>
    <row r="10" spans="1:15" ht="204.75">
      <c r="A10" s="9" t="s">
        <v>76</v>
      </c>
      <c r="B10" s="9">
        <v>2022</v>
      </c>
      <c r="C10" s="9" t="s">
        <v>77</v>
      </c>
      <c r="D10" s="9" t="s">
        <v>53</v>
      </c>
      <c r="E10" s="9" t="s">
        <v>78</v>
      </c>
      <c r="F10" s="9">
        <v>1</v>
      </c>
      <c r="G10" s="9">
        <v>1</v>
      </c>
      <c r="H10" s="9">
        <v>1</v>
      </c>
      <c r="I10" s="9">
        <v>1</v>
      </c>
      <c r="J10" s="9">
        <v>1</v>
      </c>
      <c r="K10" s="9">
        <v>1</v>
      </c>
      <c r="L10" s="9">
        <v>0.5</v>
      </c>
      <c r="M10" s="9">
        <v>0.5</v>
      </c>
      <c r="N10" s="9">
        <v>0.5</v>
      </c>
      <c r="O10" s="9" t="s">
        <v>2639</v>
      </c>
    </row>
    <row r="11" spans="1:15" ht="189">
      <c r="A11" s="9" t="s">
        <v>80</v>
      </c>
      <c r="B11" s="9">
        <v>2023</v>
      </c>
      <c r="C11" s="9" t="s">
        <v>81</v>
      </c>
      <c r="D11" s="9" t="s">
        <v>53</v>
      </c>
      <c r="E11" s="9" t="s">
        <v>82</v>
      </c>
      <c r="F11" s="9">
        <v>1</v>
      </c>
      <c r="G11" s="9">
        <v>1</v>
      </c>
      <c r="H11" s="9">
        <v>1</v>
      </c>
      <c r="I11" s="9">
        <v>1</v>
      </c>
      <c r="J11" s="9">
        <v>1</v>
      </c>
      <c r="K11" s="9">
        <v>1</v>
      </c>
      <c r="L11" s="9">
        <v>0.5</v>
      </c>
      <c r="M11" s="9">
        <v>0.5</v>
      </c>
      <c r="N11" s="9">
        <v>0.5</v>
      </c>
      <c r="O11" s="9" t="s">
        <v>2640</v>
      </c>
    </row>
    <row r="12" spans="1:15" ht="173.25">
      <c r="A12" s="9" t="s">
        <v>84</v>
      </c>
      <c r="B12" s="9">
        <v>2023</v>
      </c>
      <c r="C12" s="9" t="s">
        <v>85</v>
      </c>
      <c r="D12" s="9" t="s">
        <v>53</v>
      </c>
      <c r="E12" s="9" t="s">
        <v>86</v>
      </c>
      <c r="F12" s="9">
        <v>1</v>
      </c>
      <c r="G12" s="9">
        <v>1</v>
      </c>
      <c r="H12" s="9">
        <v>1</v>
      </c>
      <c r="I12" s="9">
        <v>1</v>
      </c>
      <c r="J12" s="9">
        <v>1</v>
      </c>
      <c r="K12" s="9">
        <v>1</v>
      </c>
      <c r="L12" s="9">
        <v>0.5</v>
      </c>
      <c r="M12" s="9">
        <v>0.5</v>
      </c>
      <c r="N12" s="9">
        <v>0.5</v>
      </c>
      <c r="O12" s="9" t="s">
        <v>2641</v>
      </c>
    </row>
    <row r="13" spans="1:15" ht="157.5">
      <c r="A13" s="9" t="s">
        <v>88</v>
      </c>
      <c r="B13" s="9">
        <v>2024</v>
      </c>
      <c r="C13" s="9" t="s">
        <v>89</v>
      </c>
      <c r="D13" s="9" t="s">
        <v>53</v>
      </c>
      <c r="E13" s="9" t="s">
        <v>90</v>
      </c>
      <c r="F13" s="9">
        <v>1</v>
      </c>
      <c r="G13" s="9">
        <v>1</v>
      </c>
      <c r="H13" s="9">
        <v>1</v>
      </c>
      <c r="I13" s="9">
        <v>1</v>
      </c>
      <c r="J13" s="9">
        <v>1</v>
      </c>
      <c r="K13" s="9">
        <v>1</v>
      </c>
      <c r="L13" s="9">
        <v>0.5</v>
      </c>
      <c r="M13" s="9">
        <v>1</v>
      </c>
      <c r="N13" s="9">
        <v>0.5</v>
      </c>
      <c r="O13" s="9" t="s">
        <v>2642</v>
      </c>
    </row>
    <row r="14" spans="1:15" ht="189">
      <c r="A14" s="9" t="s">
        <v>92</v>
      </c>
      <c r="B14" s="9">
        <v>2024</v>
      </c>
      <c r="C14" s="9" t="s">
        <v>93</v>
      </c>
      <c r="D14" s="9" t="s">
        <v>53</v>
      </c>
      <c r="E14" s="9" t="s">
        <v>94</v>
      </c>
      <c r="F14" s="9">
        <v>1</v>
      </c>
      <c r="G14" s="9">
        <v>1</v>
      </c>
      <c r="H14" s="9">
        <v>1</v>
      </c>
      <c r="I14" s="9">
        <v>1</v>
      </c>
      <c r="J14" s="9">
        <v>1</v>
      </c>
      <c r="K14" s="9">
        <v>1</v>
      </c>
      <c r="L14" s="9">
        <v>0.5</v>
      </c>
      <c r="M14" s="9">
        <v>0.5</v>
      </c>
      <c r="N14" s="9">
        <v>0.5</v>
      </c>
      <c r="O14" s="9" t="s">
        <v>2643</v>
      </c>
    </row>
    <row r="15" spans="1:15" ht="157.5">
      <c r="A15" s="9" t="s">
        <v>96</v>
      </c>
      <c r="B15" s="9">
        <v>2024</v>
      </c>
      <c r="C15" s="9" t="s">
        <v>97</v>
      </c>
      <c r="D15" s="9" t="s">
        <v>53</v>
      </c>
      <c r="E15" s="9" t="s">
        <v>98</v>
      </c>
      <c r="F15" s="9">
        <v>1</v>
      </c>
      <c r="G15" s="9">
        <v>1</v>
      </c>
      <c r="H15" s="9">
        <v>1</v>
      </c>
      <c r="I15" s="9">
        <v>1</v>
      </c>
      <c r="J15" s="9">
        <v>1</v>
      </c>
      <c r="K15" s="9">
        <v>1</v>
      </c>
      <c r="L15" s="9">
        <v>0.5</v>
      </c>
      <c r="M15" s="9">
        <v>1</v>
      </c>
      <c r="N15" s="9">
        <v>0.5</v>
      </c>
      <c r="O15" s="9" t="s">
        <v>2644</v>
      </c>
    </row>
    <row r="16" spans="1:15" ht="220.5">
      <c r="A16" s="9" t="s">
        <v>100</v>
      </c>
      <c r="B16" s="9">
        <v>2024</v>
      </c>
      <c r="C16" s="9" t="s">
        <v>101</v>
      </c>
      <c r="D16" s="9" t="s">
        <v>53</v>
      </c>
      <c r="E16" s="9" t="s">
        <v>102</v>
      </c>
      <c r="F16" s="9">
        <v>1</v>
      </c>
      <c r="G16" s="9">
        <v>1</v>
      </c>
      <c r="H16" s="9">
        <v>1</v>
      </c>
      <c r="I16" s="9">
        <v>1</v>
      </c>
      <c r="J16" s="9">
        <v>1</v>
      </c>
      <c r="K16" s="9">
        <v>1</v>
      </c>
      <c r="L16" s="9">
        <v>0.5</v>
      </c>
      <c r="M16" s="9">
        <v>0.5</v>
      </c>
      <c r="N16" s="9">
        <v>0.5</v>
      </c>
      <c r="O16" s="9" t="s">
        <v>2645</v>
      </c>
    </row>
    <row r="17" spans="1:15" ht="78.75">
      <c r="A17" s="9" t="s">
        <v>104</v>
      </c>
      <c r="B17" s="9">
        <v>2024</v>
      </c>
      <c r="C17" s="9" t="s">
        <v>105</v>
      </c>
      <c r="D17" s="9" t="s">
        <v>106</v>
      </c>
      <c r="E17" s="9" t="s">
        <v>107</v>
      </c>
      <c r="F17" s="9"/>
      <c r="G17" s="9"/>
      <c r="H17" s="9"/>
      <c r="I17" s="9"/>
      <c r="J17" s="9"/>
      <c r="K17" s="9"/>
      <c r="L17" s="9"/>
      <c r="M17" s="9"/>
      <c r="N17" s="9"/>
      <c r="O17" s="9" t="s">
        <v>2646</v>
      </c>
    </row>
    <row r="18" spans="1:15" ht="94.5">
      <c r="A18" s="9" t="s">
        <v>109</v>
      </c>
      <c r="B18" s="9">
        <v>2024</v>
      </c>
      <c r="C18" s="9" t="s">
        <v>110</v>
      </c>
      <c r="D18" s="9" t="s">
        <v>111</v>
      </c>
      <c r="E18" s="9" t="s">
        <v>112</v>
      </c>
      <c r="F18" s="9"/>
      <c r="G18" s="9"/>
      <c r="H18" s="9"/>
      <c r="I18" s="9"/>
      <c r="J18" s="9"/>
      <c r="K18" s="9"/>
      <c r="L18" s="9"/>
      <c r="M18" s="9"/>
      <c r="N18" s="9"/>
      <c r="O18" s="9" t="s">
        <v>2647</v>
      </c>
    </row>
    <row r="19" spans="1:15" ht="204.75">
      <c r="A19" s="9" t="s">
        <v>114</v>
      </c>
      <c r="B19" s="9">
        <v>2024</v>
      </c>
      <c r="C19" s="9" t="s">
        <v>115</v>
      </c>
      <c r="D19" s="9" t="s">
        <v>53</v>
      </c>
      <c r="E19" s="9" t="s">
        <v>116</v>
      </c>
      <c r="F19" s="9">
        <v>1</v>
      </c>
      <c r="G19" s="9">
        <v>1</v>
      </c>
      <c r="H19" s="9">
        <v>1</v>
      </c>
      <c r="I19" s="9">
        <v>1</v>
      </c>
      <c r="J19" s="9">
        <v>1</v>
      </c>
      <c r="K19" s="9">
        <v>1</v>
      </c>
      <c r="L19" s="9">
        <v>0.5</v>
      </c>
      <c r="M19" s="9">
        <v>0.5</v>
      </c>
      <c r="N19" s="9">
        <v>0.5</v>
      </c>
      <c r="O19" s="9" t="s">
        <v>2648</v>
      </c>
    </row>
    <row r="20" spans="1:15" ht="189">
      <c r="A20" s="9" t="s">
        <v>118</v>
      </c>
      <c r="B20" s="9">
        <v>2024</v>
      </c>
      <c r="C20" s="9" t="s">
        <v>119</v>
      </c>
      <c r="D20" s="9" t="s">
        <v>53</v>
      </c>
      <c r="E20" s="9" t="s">
        <v>120</v>
      </c>
      <c r="F20" s="9">
        <v>1</v>
      </c>
      <c r="G20" s="9">
        <v>1</v>
      </c>
      <c r="H20" s="9">
        <v>1</v>
      </c>
      <c r="I20" s="9">
        <v>1</v>
      </c>
      <c r="J20" s="9">
        <v>1</v>
      </c>
      <c r="K20" s="9">
        <v>1</v>
      </c>
      <c r="L20" s="9">
        <v>0.5</v>
      </c>
      <c r="M20" s="9">
        <v>0.5</v>
      </c>
      <c r="N20" s="9">
        <v>0.5</v>
      </c>
      <c r="O20" s="9" t="s">
        <v>2649</v>
      </c>
    </row>
    <row r="21" spans="1:15" ht="110.25">
      <c r="A21" s="9" t="s">
        <v>122</v>
      </c>
      <c r="B21" s="9">
        <v>2024</v>
      </c>
      <c r="C21" s="9" t="s">
        <v>123</v>
      </c>
      <c r="D21" s="9" t="s">
        <v>53</v>
      </c>
      <c r="E21" s="9" t="s">
        <v>124</v>
      </c>
      <c r="F21" s="9">
        <v>1</v>
      </c>
      <c r="G21" s="9">
        <v>1</v>
      </c>
      <c r="H21" s="9">
        <v>1</v>
      </c>
      <c r="I21" s="9">
        <v>1</v>
      </c>
      <c r="J21" s="9">
        <v>1</v>
      </c>
      <c r="K21" s="9">
        <v>1</v>
      </c>
      <c r="L21" s="9">
        <v>0.5</v>
      </c>
      <c r="M21" s="9">
        <v>1</v>
      </c>
      <c r="N21" s="9">
        <v>1</v>
      </c>
      <c r="O21" s="9" t="s">
        <v>2650</v>
      </c>
    </row>
    <row r="22" spans="1:15" ht="78.75">
      <c r="A22" s="9" t="s">
        <v>126</v>
      </c>
      <c r="B22" s="9">
        <v>2025</v>
      </c>
      <c r="C22" s="9" t="s">
        <v>127</v>
      </c>
      <c r="D22" s="9" t="s">
        <v>53</v>
      </c>
      <c r="E22" s="9" t="s">
        <v>128</v>
      </c>
      <c r="F22" s="9">
        <v>1</v>
      </c>
      <c r="G22" s="9">
        <v>1</v>
      </c>
      <c r="H22" s="9">
        <v>1</v>
      </c>
      <c r="I22" s="9">
        <v>1</v>
      </c>
      <c r="J22" s="9">
        <v>1</v>
      </c>
      <c r="K22" s="9">
        <v>1</v>
      </c>
      <c r="L22" s="9">
        <v>1</v>
      </c>
      <c r="M22" s="9">
        <v>1</v>
      </c>
      <c r="N22" s="9">
        <v>1</v>
      </c>
      <c r="O22" s="9" t="s">
        <v>2651</v>
      </c>
    </row>
    <row r="23" spans="1:15" ht="189">
      <c r="A23" s="9" t="s">
        <v>130</v>
      </c>
      <c r="B23" s="9">
        <v>2025</v>
      </c>
      <c r="C23" s="9" t="s">
        <v>131</v>
      </c>
      <c r="D23" s="9" t="s">
        <v>53</v>
      </c>
      <c r="E23" s="9" t="s">
        <v>132</v>
      </c>
      <c r="F23" s="9">
        <v>1</v>
      </c>
      <c r="G23" s="9">
        <v>1</v>
      </c>
      <c r="H23" s="9">
        <v>1</v>
      </c>
      <c r="I23" s="9">
        <v>1</v>
      </c>
      <c r="J23" s="9">
        <v>1</v>
      </c>
      <c r="K23" s="9">
        <v>1</v>
      </c>
      <c r="L23" s="9">
        <v>0.5</v>
      </c>
      <c r="M23" s="9">
        <v>0.5</v>
      </c>
      <c r="N23" s="9">
        <v>0.5</v>
      </c>
      <c r="O23" s="9" t="s">
        <v>2652</v>
      </c>
    </row>
    <row r="24" spans="1:15" ht="141.75">
      <c r="A24" s="9" t="s">
        <v>134</v>
      </c>
      <c r="B24" s="9">
        <v>2025</v>
      </c>
      <c r="C24" s="9" t="s">
        <v>135</v>
      </c>
      <c r="D24" s="9" t="s">
        <v>53</v>
      </c>
      <c r="E24" s="9" t="s">
        <v>136</v>
      </c>
      <c r="F24" s="9">
        <v>1</v>
      </c>
      <c r="G24" s="9">
        <v>1</v>
      </c>
      <c r="H24" s="9">
        <v>1</v>
      </c>
      <c r="I24" s="9">
        <v>1</v>
      </c>
      <c r="J24" s="9">
        <v>1</v>
      </c>
      <c r="K24" s="9">
        <v>1</v>
      </c>
      <c r="L24" s="9">
        <v>1</v>
      </c>
      <c r="M24" s="9">
        <v>0.5</v>
      </c>
      <c r="N24" s="9">
        <v>0.5</v>
      </c>
      <c r="O24" s="9" t="s">
        <v>2653</v>
      </c>
    </row>
    <row r="25" spans="1:15" ht="157.5">
      <c r="A25" s="9" t="s">
        <v>138</v>
      </c>
      <c r="B25" s="9">
        <v>2025</v>
      </c>
      <c r="C25" s="9" t="s">
        <v>139</v>
      </c>
      <c r="D25" s="9" t="s">
        <v>53</v>
      </c>
      <c r="E25" s="9" t="s">
        <v>140</v>
      </c>
      <c r="F25" s="9">
        <v>1</v>
      </c>
      <c r="G25" s="9">
        <v>1</v>
      </c>
      <c r="H25" s="9">
        <v>1</v>
      </c>
      <c r="I25" s="9">
        <v>1</v>
      </c>
      <c r="J25" s="9">
        <v>1</v>
      </c>
      <c r="K25" s="9">
        <v>1</v>
      </c>
      <c r="L25" s="9">
        <v>1</v>
      </c>
      <c r="M25" s="9">
        <v>0.5</v>
      </c>
      <c r="N25" s="9">
        <v>0.5</v>
      </c>
      <c r="O25" s="9" t="s">
        <v>2654</v>
      </c>
    </row>
    <row r="26" spans="1:15" ht="110.25">
      <c r="A26" s="9" t="s">
        <v>142</v>
      </c>
      <c r="B26" s="9">
        <v>2025</v>
      </c>
      <c r="C26" s="9" t="s">
        <v>143</v>
      </c>
      <c r="D26" s="9" t="s">
        <v>53</v>
      </c>
      <c r="E26" s="9" t="s">
        <v>144</v>
      </c>
      <c r="F26" s="9">
        <v>1</v>
      </c>
      <c r="G26" s="9">
        <v>1</v>
      </c>
      <c r="H26" s="9">
        <v>1</v>
      </c>
      <c r="I26" s="9">
        <v>1</v>
      </c>
      <c r="J26" s="9">
        <v>1</v>
      </c>
      <c r="K26" s="9">
        <v>1</v>
      </c>
      <c r="L26" s="9">
        <v>1</v>
      </c>
      <c r="M26" s="9">
        <v>1</v>
      </c>
      <c r="N26" s="9">
        <v>0.5</v>
      </c>
      <c r="O26" s="9" t="s">
        <v>2655</v>
      </c>
    </row>
    <row r="27" spans="1:15" ht="189">
      <c r="A27" s="9" t="s">
        <v>146</v>
      </c>
      <c r="B27" s="9">
        <v>2025</v>
      </c>
      <c r="C27" s="9" t="s">
        <v>147</v>
      </c>
      <c r="D27" s="9" t="s">
        <v>53</v>
      </c>
      <c r="E27" s="9" t="s">
        <v>148</v>
      </c>
      <c r="F27" s="9">
        <v>1</v>
      </c>
      <c r="G27" s="9">
        <v>1</v>
      </c>
      <c r="H27" s="9">
        <v>1</v>
      </c>
      <c r="I27" s="9">
        <v>1</v>
      </c>
      <c r="J27" s="9">
        <v>1</v>
      </c>
      <c r="K27" s="9">
        <v>1</v>
      </c>
      <c r="L27" s="9">
        <v>0.5</v>
      </c>
      <c r="M27" s="9">
        <v>0.5</v>
      </c>
      <c r="N27" s="9">
        <v>0.5</v>
      </c>
      <c r="O27" s="9" t="s">
        <v>2656</v>
      </c>
    </row>
    <row r="28" spans="1:15" ht="141.75">
      <c r="A28" s="9" t="s">
        <v>150</v>
      </c>
      <c r="B28" s="9">
        <v>2026</v>
      </c>
      <c r="C28" s="9" t="s">
        <v>151</v>
      </c>
      <c r="D28" s="9" t="s">
        <v>53</v>
      </c>
      <c r="E28" s="9" t="s">
        <v>152</v>
      </c>
      <c r="F28" s="9">
        <v>1</v>
      </c>
      <c r="G28" s="9">
        <v>1</v>
      </c>
      <c r="H28" s="9">
        <v>1</v>
      </c>
      <c r="I28" s="9">
        <v>1</v>
      </c>
      <c r="J28" s="9">
        <v>1</v>
      </c>
      <c r="K28" s="9">
        <v>1</v>
      </c>
      <c r="L28" s="9">
        <v>1</v>
      </c>
      <c r="M28" s="9">
        <v>0.5</v>
      </c>
      <c r="N28" s="9">
        <v>0.5</v>
      </c>
      <c r="O28" s="9" t="s">
        <v>2657</v>
      </c>
    </row>
    <row r="29" spans="1:15" ht="78.75">
      <c r="A29" s="9" t="s">
        <v>154</v>
      </c>
      <c r="B29" s="9">
        <v>2018</v>
      </c>
      <c r="C29" s="9" t="s">
        <v>155</v>
      </c>
      <c r="D29" s="9" t="s">
        <v>53</v>
      </c>
      <c r="E29" s="9" t="s">
        <v>156</v>
      </c>
      <c r="F29" s="9">
        <v>1</v>
      </c>
      <c r="G29" s="9">
        <v>1</v>
      </c>
      <c r="H29" s="9">
        <v>1</v>
      </c>
      <c r="I29" s="9" t="s">
        <v>157</v>
      </c>
      <c r="J29" s="9" t="s">
        <v>157</v>
      </c>
      <c r="K29" s="9">
        <v>1</v>
      </c>
      <c r="L29" s="9">
        <v>1</v>
      </c>
      <c r="M29" s="9">
        <v>1</v>
      </c>
      <c r="N29" s="9" t="s">
        <v>157</v>
      </c>
      <c r="O29" s="9" t="s">
        <v>2658</v>
      </c>
    </row>
    <row r="30" spans="1:15" ht="110.25">
      <c r="A30" s="9" t="s">
        <v>159</v>
      </c>
      <c r="B30" s="9">
        <v>2019</v>
      </c>
      <c r="C30" s="9" t="s">
        <v>160</v>
      </c>
      <c r="D30" s="9" t="s">
        <v>53</v>
      </c>
      <c r="E30" s="9" t="s">
        <v>161</v>
      </c>
      <c r="F30" s="9">
        <v>1</v>
      </c>
      <c r="G30" s="9">
        <v>1</v>
      </c>
      <c r="H30" s="9">
        <v>1</v>
      </c>
      <c r="I30" s="9">
        <v>1</v>
      </c>
      <c r="J30" s="9">
        <v>1</v>
      </c>
      <c r="K30" s="9">
        <v>1</v>
      </c>
      <c r="L30" s="9">
        <v>0.5</v>
      </c>
      <c r="M30" s="9">
        <v>1</v>
      </c>
      <c r="N30" s="9">
        <v>1</v>
      </c>
      <c r="O30" s="9" t="s">
        <v>2659</v>
      </c>
    </row>
    <row r="31" spans="1:15" ht="110.25">
      <c r="A31" s="9" t="s">
        <v>163</v>
      </c>
      <c r="B31" s="9">
        <v>2019</v>
      </c>
      <c r="C31" s="9" t="s">
        <v>164</v>
      </c>
      <c r="D31" s="9" t="s">
        <v>53</v>
      </c>
      <c r="E31" s="9" t="s">
        <v>165</v>
      </c>
      <c r="F31" s="9">
        <v>1</v>
      </c>
      <c r="G31" s="9">
        <v>1</v>
      </c>
      <c r="H31" s="9">
        <v>1</v>
      </c>
      <c r="I31" s="9">
        <v>1</v>
      </c>
      <c r="J31" s="9">
        <v>1</v>
      </c>
      <c r="K31" s="9">
        <v>1</v>
      </c>
      <c r="L31" s="9">
        <v>1</v>
      </c>
      <c r="M31" s="9">
        <v>1</v>
      </c>
      <c r="N31" s="9">
        <v>0.5</v>
      </c>
      <c r="O31" s="9" t="s">
        <v>2660</v>
      </c>
    </row>
    <row r="32" spans="1:15" ht="252">
      <c r="A32" s="9" t="s">
        <v>167</v>
      </c>
      <c r="B32" s="9">
        <v>2021</v>
      </c>
      <c r="C32" s="9" t="s">
        <v>168</v>
      </c>
      <c r="D32" s="9" t="s">
        <v>53</v>
      </c>
      <c r="E32" s="9" t="s">
        <v>169</v>
      </c>
      <c r="F32" s="9">
        <v>1</v>
      </c>
      <c r="G32" s="9">
        <v>1</v>
      </c>
      <c r="H32" s="9">
        <v>0.5</v>
      </c>
      <c r="I32" s="9" t="s">
        <v>157</v>
      </c>
      <c r="J32" s="9" t="s">
        <v>157</v>
      </c>
      <c r="K32" s="9">
        <v>0.5</v>
      </c>
      <c r="L32" s="9">
        <v>1</v>
      </c>
      <c r="M32" s="9">
        <v>0.5</v>
      </c>
      <c r="N32" s="9">
        <v>0.5</v>
      </c>
      <c r="O32" s="9" t="s">
        <v>2661</v>
      </c>
    </row>
    <row r="33" spans="1:15" ht="78.75">
      <c r="A33" s="9" t="s">
        <v>171</v>
      </c>
      <c r="B33" s="9">
        <v>2021</v>
      </c>
      <c r="C33" s="9" t="s">
        <v>172</v>
      </c>
      <c r="D33" s="9" t="s">
        <v>53</v>
      </c>
      <c r="E33" s="9" t="s">
        <v>173</v>
      </c>
      <c r="F33" s="9">
        <v>1</v>
      </c>
      <c r="G33" s="9">
        <v>1</v>
      </c>
      <c r="H33" s="9">
        <v>1</v>
      </c>
      <c r="I33" s="9">
        <v>1</v>
      </c>
      <c r="J33" s="9">
        <v>1</v>
      </c>
      <c r="K33" s="9">
        <v>1</v>
      </c>
      <c r="L33" s="9">
        <v>1</v>
      </c>
      <c r="M33" s="9">
        <v>1</v>
      </c>
      <c r="N33" s="9">
        <v>1</v>
      </c>
      <c r="O33" s="9" t="s">
        <v>2651</v>
      </c>
    </row>
    <row r="34" spans="1:15" ht="110.25">
      <c r="A34" s="9" t="s">
        <v>175</v>
      </c>
      <c r="B34" s="9">
        <v>2022</v>
      </c>
      <c r="C34" s="9" t="s">
        <v>176</v>
      </c>
      <c r="D34" s="9" t="s">
        <v>177</v>
      </c>
      <c r="E34" s="9" t="s">
        <v>178</v>
      </c>
      <c r="F34" s="9"/>
      <c r="G34" s="9"/>
      <c r="H34" s="9"/>
      <c r="I34" s="9"/>
      <c r="J34" s="9"/>
      <c r="K34" s="9"/>
      <c r="L34" s="9"/>
      <c r="M34" s="9"/>
      <c r="N34" s="9"/>
      <c r="O34" s="9" t="s">
        <v>2662</v>
      </c>
    </row>
    <row r="35" spans="1:15" ht="189">
      <c r="A35" s="9" t="s">
        <v>180</v>
      </c>
      <c r="B35" s="9">
        <v>2022</v>
      </c>
      <c r="C35" s="9" t="s">
        <v>181</v>
      </c>
      <c r="D35" s="9" t="s">
        <v>53</v>
      </c>
      <c r="E35" s="9" t="s">
        <v>182</v>
      </c>
      <c r="F35" s="9">
        <v>1</v>
      </c>
      <c r="G35" s="9">
        <v>1</v>
      </c>
      <c r="H35" s="9">
        <v>1</v>
      </c>
      <c r="I35" s="9">
        <v>1</v>
      </c>
      <c r="J35" s="9">
        <v>1</v>
      </c>
      <c r="K35" s="9">
        <v>1</v>
      </c>
      <c r="L35" s="9">
        <v>0</v>
      </c>
      <c r="M35" s="9">
        <v>0.5</v>
      </c>
      <c r="N35" s="9">
        <v>0.5</v>
      </c>
      <c r="O35" s="9" t="s">
        <v>2663</v>
      </c>
    </row>
    <row r="36" spans="1:15" ht="78.75">
      <c r="A36" s="9" t="s">
        <v>184</v>
      </c>
      <c r="B36" s="9">
        <v>2023</v>
      </c>
      <c r="C36" s="9" t="s">
        <v>185</v>
      </c>
      <c r="D36" s="9" t="s">
        <v>186</v>
      </c>
      <c r="E36" s="9" t="s">
        <v>187</v>
      </c>
      <c r="F36" s="9"/>
      <c r="G36" s="9"/>
      <c r="H36" s="9"/>
      <c r="I36" s="9"/>
      <c r="J36" s="9"/>
      <c r="K36" s="9"/>
      <c r="L36" s="9"/>
      <c r="M36" s="9"/>
      <c r="N36" s="9"/>
      <c r="O36" s="9" t="s">
        <v>2664</v>
      </c>
    </row>
    <row r="37" spans="1:15" ht="173.25">
      <c r="A37" s="9" t="s">
        <v>189</v>
      </c>
      <c r="B37" s="9">
        <v>2023</v>
      </c>
      <c r="C37" s="9" t="s">
        <v>190</v>
      </c>
      <c r="D37" s="9" t="s">
        <v>53</v>
      </c>
      <c r="E37" s="9" t="s">
        <v>191</v>
      </c>
      <c r="F37" s="9">
        <v>1</v>
      </c>
      <c r="G37" s="9">
        <v>1</v>
      </c>
      <c r="H37" s="9">
        <v>1</v>
      </c>
      <c r="I37" s="9">
        <v>1</v>
      </c>
      <c r="J37" s="9">
        <v>1</v>
      </c>
      <c r="K37" s="9">
        <v>1</v>
      </c>
      <c r="L37" s="9">
        <v>0.5</v>
      </c>
      <c r="M37" s="9">
        <v>0.5</v>
      </c>
      <c r="N37" s="9">
        <v>1</v>
      </c>
      <c r="O37" s="9" t="s">
        <v>2665</v>
      </c>
    </row>
    <row r="38" spans="1:15" ht="94.5">
      <c r="A38" s="9" t="s">
        <v>193</v>
      </c>
      <c r="B38" s="9">
        <v>2024</v>
      </c>
      <c r="C38" s="9" t="s">
        <v>194</v>
      </c>
      <c r="D38" s="9" t="s">
        <v>53</v>
      </c>
      <c r="E38" s="9" t="s">
        <v>195</v>
      </c>
      <c r="F38" s="9">
        <v>1</v>
      </c>
      <c r="G38" s="9">
        <v>1</v>
      </c>
      <c r="H38" s="9">
        <v>1</v>
      </c>
      <c r="I38" s="9">
        <v>1</v>
      </c>
      <c r="J38" s="9">
        <v>1</v>
      </c>
      <c r="K38" s="9">
        <v>1</v>
      </c>
      <c r="L38" s="9">
        <v>0</v>
      </c>
      <c r="M38" s="9">
        <v>1</v>
      </c>
      <c r="N38" s="9">
        <v>1</v>
      </c>
      <c r="O38" s="9" t="s">
        <v>2666</v>
      </c>
    </row>
    <row r="39" spans="1:15" ht="204.75">
      <c r="A39" s="9" t="s">
        <v>197</v>
      </c>
      <c r="B39" s="9">
        <v>2025</v>
      </c>
      <c r="C39" s="9" t="s">
        <v>198</v>
      </c>
      <c r="D39" s="9" t="s">
        <v>53</v>
      </c>
      <c r="E39" s="9" t="s">
        <v>199</v>
      </c>
      <c r="F39" s="9">
        <v>1</v>
      </c>
      <c r="G39" s="9">
        <v>1</v>
      </c>
      <c r="H39" s="9">
        <v>1</v>
      </c>
      <c r="I39" s="9">
        <v>1</v>
      </c>
      <c r="J39" s="9">
        <v>1</v>
      </c>
      <c r="K39" s="9">
        <v>1</v>
      </c>
      <c r="L39" s="9">
        <v>0.5</v>
      </c>
      <c r="M39" s="9">
        <v>0.5</v>
      </c>
      <c r="N39" s="9">
        <v>0.5</v>
      </c>
      <c r="O39" s="9" t="s">
        <v>2667</v>
      </c>
    </row>
    <row r="40" spans="1:15" ht="173.25">
      <c r="A40" s="9" t="s">
        <v>201</v>
      </c>
      <c r="B40" s="9">
        <v>2026</v>
      </c>
      <c r="C40" s="9" t="s">
        <v>202</v>
      </c>
      <c r="D40" s="9" t="s">
        <v>53</v>
      </c>
      <c r="E40" s="9" t="s">
        <v>203</v>
      </c>
      <c r="F40" s="9">
        <v>1</v>
      </c>
      <c r="G40" s="9">
        <v>1</v>
      </c>
      <c r="H40" s="9">
        <v>1</v>
      </c>
      <c r="I40" s="9">
        <v>1</v>
      </c>
      <c r="J40" s="9">
        <v>1</v>
      </c>
      <c r="K40" s="9">
        <v>1</v>
      </c>
      <c r="L40" s="9">
        <v>0</v>
      </c>
      <c r="M40" s="9">
        <v>0.5</v>
      </c>
      <c r="N40" s="9">
        <v>0.5</v>
      </c>
      <c r="O40" s="9" t="s">
        <v>2668</v>
      </c>
    </row>
    <row r="41" spans="1:15" ht="78.75">
      <c r="A41" s="9" t="s">
        <v>205</v>
      </c>
      <c r="B41" s="9">
        <v>2026</v>
      </c>
      <c r="C41" s="9" t="s">
        <v>206</v>
      </c>
      <c r="D41" s="9" t="s">
        <v>53</v>
      </c>
      <c r="E41" s="9" t="s">
        <v>207</v>
      </c>
      <c r="F41" s="9">
        <v>1</v>
      </c>
      <c r="G41" s="9">
        <v>1</v>
      </c>
      <c r="H41" s="9">
        <v>1</v>
      </c>
      <c r="I41" s="9">
        <v>1</v>
      </c>
      <c r="J41" s="9">
        <v>1</v>
      </c>
      <c r="K41" s="9">
        <v>1</v>
      </c>
      <c r="L41" s="9">
        <v>1</v>
      </c>
      <c r="M41" s="9">
        <v>1</v>
      </c>
      <c r="N41" s="9">
        <v>1</v>
      </c>
      <c r="O41" s="9" t="s">
        <v>2651</v>
      </c>
    </row>
    <row r="42" spans="1:15" ht="157.5">
      <c r="A42" s="9" t="s">
        <v>209</v>
      </c>
      <c r="B42" s="9">
        <v>2026</v>
      </c>
      <c r="C42" s="9" t="s">
        <v>210</v>
      </c>
      <c r="D42" s="9" t="s">
        <v>53</v>
      </c>
      <c r="E42" s="9" t="s">
        <v>211</v>
      </c>
      <c r="F42" s="9">
        <v>1</v>
      </c>
      <c r="G42" s="9">
        <v>1</v>
      </c>
      <c r="H42" s="9">
        <v>1</v>
      </c>
      <c r="I42" s="9">
        <v>1</v>
      </c>
      <c r="J42" s="9">
        <v>1</v>
      </c>
      <c r="K42" s="9">
        <v>1</v>
      </c>
      <c r="L42" s="9">
        <v>0</v>
      </c>
      <c r="M42" s="9">
        <v>1</v>
      </c>
      <c r="N42" s="9">
        <v>0.5</v>
      </c>
      <c r="O42" s="9" t="s">
        <v>2669</v>
      </c>
    </row>
    <row r="43" spans="1:15" ht="78.75">
      <c r="A43" s="9" t="s">
        <v>213</v>
      </c>
      <c r="B43" s="9">
        <v>2026</v>
      </c>
      <c r="C43" s="9" t="s">
        <v>214</v>
      </c>
      <c r="D43" s="9" t="s">
        <v>215</v>
      </c>
      <c r="E43" s="9" t="s">
        <v>216</v>
      </c>
      <c r="F43" s="9"/>
      <c r="G43" s="9"/>
      <c r="H43" s="9"/>
      <c r="I43" s="9"/>
      <c r="J43" s="9"/>
      <c r="K43" s="9"/>
      <c r="L43" s="9"/>
      <c r="M43" s="9"/>
      <c r="N43" s="9"/>
      <c r="O43" s="9" t="s">
        <v>2670</v>
      </c>
    </row>
    <row r="44" spans="1:15" ht="110.25">
      <c r="A44" s="9" t="s">
        <v>218</v>
      </c>
      <c r="B44" s="9">
        <v>2026</v>
      </c>
      <c r="C44" s="9" t="s">
        <v>219</v>
      </c>
      <c r="D44" s="9" t="s">
        <v>53</v>
      </c>
      <c r="E44" s="9" t="s">
        <v>220</v>
      </c>
      <c r="F44" s="9">
        <v>1</v>
      </c>
      <c r="G44" s="9">
        <v>1</v>
      </c>
      <c r="H44" s="9">
        <v>1</v>
      </c>
      <c r="I44" s="9">
        <v>1</v>
      </c>
      <c r="J44" s="9">
        <v>1</v>
      </c>
      <c r="K44" s="9">
        <v>1</v>
      </c>
      <c r="L44" s="9">
        <v>1</v>
      </c>
      <c r="M44" s="9">
        <v>1</v>
      </c>
      <c r="N44" s="9">
        <v>0.5</v>
      </c>
      <c r="O44" s="9" t="s">
        <v>2671</v>
      </c>
    </row>
    <row r="45" spans="1:15" ht="236.25">
      <c r="A45" s="9" t="s">
        <v>222</v>
      </c>
      <c r="B45" s="9">
        <v>2017</v>
      </c>
      <c r="C45" s="9" t="s">
        <v>223</v>
      </c>
      <c r="D45" s="9" t="s">
        <v>53</v>
      </c>
      <c r="E45" s="9" t="s">
        <v>224</v>
      </c>
      <c r="F45" s="9">
        <v>1</v>
      </c>
      <c r="G45" s="9">
        <v>1</v>
      </c>
      <c r="H45" s="9">
        <v>1</v>
      </c>
      <c r="I45" s="9">
        <v>1</v>
      </c>
      <c r="J45" s="9">
        <v>0.5</v>
      </c>
      <c r="K45" s="9">
        <v>1</v>
      </c>
      <c r="L45" s="9">
        <v>0</v>
      </c>
      <c r="M45" s="9">
        <v>0.5</v>
      </c>
      <c r="N45" s="9">
        <v>0.5</v>
      </c>
      <c r="O45" s="9" t="s">
        <v>2672</v>
      </c>
    </row>
    <row r="46" spans="1:15" ht="110.25">
      <c r="A46" s="9" t="s">
        <v>226</v>
      </c>
      <c r="B46" s="9">
        <v>2019</v>
      </c>
      <c r="C46" s="9" t="s">
        <v>227</v>
      </c>
      <c r="D46" s="9" t="s">
        <v>53</v>
      </c>
      <c r="E46" s="9" t="s">
        <v>228</v>
      </c>
      <c r="F46" s="9">
        <v>1</v>
      </c>
      <c r="G46" s="9">
        <v>1</v>
      </c>
      <c r="H46" s="9">
        <v>1</v>
      </c>
      <c r="I46" s="9">
        <v>1</v>
      </c>
      <c r="J46" s="9">
        <v>1</v>
      </c>
      <c r="K46" s="9">
        <v>1</v>
      </c>
      <c r="L46" s="9">
        <v>1</v>
      </c>
      <c r="M46" s="9">
        <v>1</v>
      </c>
      <c r="N46" s="9">
        <v>0.5</v>
      </c>
      <c r="O46" s="9" t="s">
        <v>2673</v>
      </c>
    </row>
    <row r="47" spans="1:15" ht="204.75">
      <c r="A47" s="9" t="s">
        <v>230</v>
      </c>
      <c r="B47" s="9">
        <v>2020</v>
      </c>
      <c r="C47" s="9" t="s">
        <v>231</v>
      </c>
      <c r="D47" s="9" t="s">
        <v>53</v>
      </c>
      <c r="E47" s="9" t="s">
        <v>232</v>
      </c>
      <c r="F47" s="9">
        <v>1</v>
      </c>
      <c r="G47" s="9">
        <v>1</v>
      </c>
      <c r="H47" s="9">
        <v>1</v>
      </c>
      <c r="I47" s="9">
        <v>1</v>
      </c>
      <c r="J47" s="9">
        <v>0.5</v>
      </c>
      <c r="K47" s="9">
        <v>1</v>
      </c>
      <c r="L47" s="9">
        <v>1</v>
      </c>
      <c r="M47" s="9">
        <v>0.5</v>
      </c>
      <c r="N47" s="9">
        <v>0.5</v>
      </c>
      <c r="O47" s="9" t="s">
        <v>2674</v>
      </c>
    </row>
    <row r="48" spans="1:15" ht="299.25">
      <c r="A48" s="9" t="s">
        <v>234</v>
      </c>
      <c r="B48" s="9">
        <v>2020</v>
      </c>
      <c r="C48" s="9" t="s">
        <v>235</v>
      </c>
      <c r="D48" s="9" t="s">
        <v>53</v>
      </c>
      <c r="E48" s="9" t="s">
        <v>236</v>
      </c>
      <c r="F48" s="9">
        <v>1</v>
      </c>
      <c r="G48" s="9">
        <v>1</v>
      </c>
      <c r="H48" s="9">
        <v>0.5</v>
      </c>
      <c r="I48" s="9">
        <v>0.5</v>
      </c>
      <c r="J48" s="9">
        <v>0.5</v>
      </c>
      <c r="K48" s="9">
        <v>1</v>
      </c>
      <c r="L48" s="9">
        <v>0</v>
      </c>
      <c r="M48" s="9">
        <v>1</v>
      </c>
      <c r="N48" s="9">
        <v>0.5</v>
      </c>
      <c r="O48" s="9" t="s">
        <v>2675</v>
      </c>
    </row>
    <row r="49" spans="1:15" ht="330.75">
      <c r="A49" s="9" t="s">
        <v>238</v>
      </c>
      <c r="B49" s="9">
        <v>2020</v>
      </c>
      <c r="C49" s="9" t="s">
        <v>239</v>
      </c>
      <c r="D49" s="9" t="s">
        <v>53</v>
      </c>
      <c r="E49" s="9" t="s">
        <v>240</v>
      </c>
      <c r="F49" s="9">
        <v>1</v>
      </c>
      <c r="G49" s="9">
        <v>0.5</v>
      </c>
      <c r="H49" s="9">
        <v>0.5</v>
      </c>
      <c r="I49" s="9" t="s">
        <v>157</v>
      </c>
      <c r="J49" s="9" t="s">
        <v>157</v>
      </c>
      <c r="K49" s="9">
        <v>0.5</v>
      </c>
      <c r="L49" s="9">
        <v>1</v>
      </c>
      <c r="M49" s="9">
        <v>0.5</v>
      </c>
      <c r="N49" s="9">
        <v>0.5</v>
      </c>
      <c r="O49" s="9" t="s">
        <v>2676</v>
      </c>
    </row>
    <row r="50" spans="1:15" ht="283.5">
      <c r="A50" s="9" t="s">
        <v>242</v>
      </c>
      <c r="B50" s="9">
        <v>2021</v>
      </c>
      <c r="C50" s="9" t="s">
        <v>243</v>
      </c>
      <c r="D50" s="9" t="s">
        <v>53</v>
      </c>
      <c r="E50" s="9" t="s">
        <v>244</v>
      </c>
      <c r="F50" s="9">
        <v>1</v>
      </c>
      <c r="G50" s="9">
        <v>1</v>
      </c>
      <c r="H50" s="9">
        <v>0.5</v>
      </c>
      <c r="I50" s="9" t="s">
        <v>157</v>
      </c>
      <c r="J50" s="9" t="s">
        <v>157</v>
      </c>
      <c r="K50" s="9">
        <v>0.5</v>
      </c>
      <c r="L50" s="9">
        <v>0</v>
      </c>
      <c r="M50" s="9">
        <v>0.5</v>
      </c>
      <c r="N50" s="9">
        <v>0.5</v>
      </c>
      <c r="O50" s="9" t="s">
        <v>2677</v>
      </c>
    </row>
    <row r="51" spans="1:15" ht="126">
      <c r="A51" s="9" t="s">
        <v>246</v>
      </c>
      <c r="B51" s="9">
        <v>2021</v>
      </c>
      <c r="C51" s="9" t="s">
        <v>247</v>
      </c>
      <c r="D51" s="9" t="s">
        <v>53</v>
      </c>
      <c r="E51" s="9" t="s">
        <v>248</v>
      </c>
      <c r="F51" s="9">
        <v>1</v>
      </c>
      <c r="G51" s="9">
        <v>1</v>
      </c>
      <c r="H51" s="9">
        <v>1</v>
      </c>
      <c r="I51" s="9">
        <v>1</v>
      </c>
      <c r="J51" s="9">
        <v>1</v>
      </c>
      <c r="K51" s="9">
        <v>1</v>
      </c>
      <c r="L51" s="9">
        <v>0.5</v>
      </c>
      <c r="M51" s="9">
        <v>1</v>
      </c>
      <c r="N51" s="9">
        <v>1</v>
      </c>
      <c r="O51" s="9" t="s">
        <v>2678</v>
      </c>
    </row>
    <row r="52" spans="1:15" ht="126">
      <c r="A52" s="9" t="s">
        <v>250</v>
      </c>
      <c r="B52" s="9">
        <v>2021</v>
      </c>
      <c r="C52" s="9" t="s">
        <v>251</v>
      </c>
      <c r="D52" s="9" t="s">
        <v>53</v>
      </c>
      <c r="E52" s="9" t="s">
        <v>252</v>
      </c>
      <c r="F52" s="9">
        <v>1</v>
      </c>
      <c r="G52" s="9">
        <v>1</v>
      </c>
      <c r="H52" s="9">
        <v>1</v>
      </c>
      <c r="I52" s="9">
        <v>1</v>
      </c>
      <c r="J52" s="9">
        <v>1</v>
      </c>
      <c r="K52" s="9">
        <v>1</v>
      </c>
      <c r="L52" s="9">
        <v>1</v>
      </c>
      <c r="M52" s="9">
        <v>1</v>
      </c>
      <c r="N52" s="9">
        <v>0.5</v>
      </c>
      <c r="O52" s="9" t="s">
        <v>2679</v>
      </c>
    </row>
    <row r="53" spans="1:15" ht="173.25">
      <c r="A53" s="9" t="s">
        <v>254</v>
      </c>
      <c r="B53" s="9">
        <v>2022</v>
      </c>
      <c r="C53" s="9" t="s">
        <v>255</v>
      </c>
      <c r="D53" s="9" t="s">
        <v>53</v>
      </c>
      <c r="E53" s="9" t="s">
        <v>256</v>
      </c>
      <c r="F53" s="9">
        <v>1</v>
      </c>
      <c r="G53" s="9">
        <v>1</v>
      </c>
      <c r="H53" s="9">
        <v>1</v>
      </c>
      <c r="I53" s="9">
        <v>1</v>
      </c>
      <c r="J53" s="9">
        <v>1</v>
      </c>
      <c r="K53" s="9">
        <v>1</v>
      </c>
      <c r="L53" s="9">
        <v>0.5</v>
      </c>
      <c r="M53" s="9">
        <v>0.5</v>
      </c>
      <c r="N53" s="9">
        <v>1</v>
      </c>
      <c r="O53" s="9" t="s">
        <v>2680</v>
      </c>
    </row>
    <row r="54" spans="1:15" ht="236.25">
      <c r="A54" s="9" t="s">
        <v>258</v>
      </c>
      <c r="B54" s="9">
        <v>2023</v>
      </c>
      <c r="C54" s="9" t="s">
        <v>259</v>
      </c>
      <c r="D54" s="9" t="s">
        <v>53</v>
      </c>
      <c r="E54" s="9" t="s">
        <v>260</v>
      </c>
      <c r="F54" s="9">
        <v>1</v>
      </c>
      <c r="G54" s="9">
        <v>1</v>
      </c>
      <c r="H54" s="9">
        <v>1</v>
      </c>
      <c r="I54" s="9">
        <v>1</v>
      </c>
      <c r="J54" s="9">
        <v>1</v>
      </c>
      <c r="K54" s="9">
        <v>1</v>
      </c>
      <c r="L54" s="9">
        <v>0.5</v>
      </c>
      <c r="M54" s="9">
        <v>0.5</v>
      </c>
      <c r="N54" s="9">
        <v>0.5</v>
      </c>
      <c r="O54" s="9" t="s">
        <v>2681</v>
      </c>
    </row>
    <row r="55" spans="1:15" ht="157.5">
      <c r="A55" s="9" t="s">
        <v>262</v>
      </c>
      <c r="B55" s="9">
        <v>2022</v>
      </c>
      <c r="C55" s="9" t="s">
        <v>263</v>
      </c>
      <c r="D55" s="9" t="s">
        <v>53</v>
      </c>
      <c r="E55" s="9" t="s">
        <v>264</v>
      </c>
      <c r="F55" s="9">
        <v>1</v>
      </c>
      <c r="G55" s="9">
        <v>1</v>
      </c>
      <c r="H55" s="9">
        <v>1</v>
      </c>
      <c r="I55" s="9">
        <v>1</v>
      </c>
      <c r="J55" s="9">
        <v>0.5</v>
      </c>
      <c r="K55" s="9">
        <v>1</v>
      </c>
      <c r="L55" s="9">
        <v>0.5</v>
      </c>
      <c r="M55" s="9">
        <v>1</v>
      </c>
      <c r="N55" s="9">
        <v>1</v>
      </c>
      <c r="O55" s="9" t="s">
        <v>2682</v>
      </c>
    </row>
    <row r="56" spans="1:15" ht="126">
      <c r="A56" s="9" t="s">
        <v>266</v>
      </c>
      <c r="B56" s="9">
        <v>2023</v>
      </c>
      <c r="C56" s="9" t="s">
        <v>267</v>
      </c>
      <c r="D56" s="9" t="s">
        <v>53</v>
      </c>
      <c r="E56" s="9" t="s">
        <v>268</v>
      </c>
      <c r="F56" s="9">
        <v>1</v>
      </c>
      <c r="G56" s="9">
        <v>1</v>
      </c>
      <c r="H56" s="9">
        <v>1</v>
      </c>
      <c r="I56" s="9">
        <v>1</v>
      </c>
      <c r="J56" s="9">
        <v>1</v>
      </c>
      <c r="K56" s="9">
        <v>1</v>
      </c>
      <c r="L56" s="9">
        <v>1</v>
      </c>
      <c r="M56" s="9">
        <v>0.5</v>
      </c>
      <c r="N56" s="9">
        <v>1</v>
      </c>
      <c r="O56" s="9" t="s">
        <v>2683</v>
      </c>
    </row>
    <row r="57" spans="1:15" ht="173.25">
      <c r="A57" s="9" t="s">
        <v>270</v>
      </c>
      <c r="B57" s="9">
        <v>2023</v>
      </c>
      <c r="C57" s="9" t="s">
        <v>271</v>
      </c>
      <c r="D57" s="9" t="s">
        <v>53</v>
      </c>
      <c r="E57" s="9" t="s">
        <v>272</v>
      </c>
      <c r="F57" s="9">
        <v>1</v>
      </c>
      <c r="G57" s="9">
        <v>1</v>
      </c>
      <c r="H57" s="9">
        <v>1</v>
      </c>
      <c r="I57" s="9">
        <v>1</v>
      </c>
      <c r="J57" s="9">
        <v>1</v>
      </c>
      <c r="K57" s="9">
        <v>1</v>
      </c>
      <c r="L57" s="9">
        <v>1</v>
      </c>
      <c r="M57" s="9">
        <v>0.5</v>
      </c>
      <c r="N57" s="9">
        <v>0.5</v>
      </c>
      <c r="O57" s="9" t="s">
        <v>2684</v>
      </c>
    </row>
    <row r="58" spans="1:15" ht="126">
      <c r="A58" s="9" t="s">
        <v>274</v>
      </c>
      <c r="B58" s="9">
        <v>2024</v>
      </c>
      <c r="C58" s="9" t="s">
        <v>275</v>
      </c>
      <c r="D58" s="9" t="s">
        <v>53</v>
      </c>
      <c r="E58" s="9" t="s">
        <v>276</v>
      </c>
      <c r="F58" s="9">
        <v>1</v>
      </c>
      <c r="G58" s="9">
        <v>1</v>
      </c>
      <c r="H58" s="9">
        <v>1</v>
      </c>
      <c r="I58" s="9">
        <v>1</v>
      </c>
      <c r="J58" s="9">
        <v>1</v>
      </c>
      <c r="K58" s="9">
        <v>1</v>
      </c>
      <c r="L58" s="9">
        <v>1</v>
      </c>
      <c r="M58" s="9">
        <v>1</v>
      </c>
      <c r="N58" s="9">
        <v>1</v>
      </c>
      <c r="O58" s="9" t="s">
        <v>2651</v>
      </c>
    </row>
    <row r="59" spans="1:15" ht="189">
      <c r="A59" s="9" t="s">
        <v>278</v>
      </c>
      <c r="B59" s="9">
        <v>2024</v>
      </c>
      <c r="C59" s="9" t="s">
        <v>279</v>
      </c>
      <c r="D59" s="9" t="s">
        <v>53</v>
      </c>
      <c r="E59" s="9" t="s">
        <v>280</v>
      </c>
      <c r="F59" s="9">
        <v>1</v>
      </c>
      <c r="G59" s="9">
        <v>1</v>
      </c>
      <c r="H59" s="9">
        <v>1</v>
      </c>
      <c r="I59" s="9">
        <v>1</v>
      </c>
      <c r="J59" s="9">
        <v>1</v>
      </c>
      <c r="K59" s="9">
        <v>1</v>
      </c>
      <c r="L59" s="9">
        <v>0.5</v>
      </c>
      <c r="M59" s="9">
        <v>0.5</v>
      </c>
      <c r="N59" s="9">
        <v>1</v>
      </c>
      <c r="O59" s="9" t="s">
        <v>2685</v>
      </c>
    </row>
    <row r="60" spans="1:15" ht="78.75">
      <c r="A60" s="9" t="s">
        <v>282</v>
      </c>
      <c r="B60" s="9">
        <v>2024</v>
      </c>
      <c r="C60" s="9" t="s">
        <v>283</v>
      </c>
      <c r="D60" s="9" t="s">
        <v>53</v>
      </c>
      <c r="E60" s="9" t="s">
        <v>284</v>
      </c>
      <c r="F60" s="9">
        <v>1</v>
      </c>
      <c r="G60" s="9">
        <v>1</v>
      </c>
      <c r="H60" s="9">
        <v>1</v>
      </c>
      <c r="I60" s="9">
        <v>1</v>
      </c>
      <c r="J60" s="9">
        <v>1</v>
      </c>
      <c r="K60" s="9">
        <v>1</v>
      </c>
      <c r="L60" s="9">
        <v>1</v>
      </c>
      <c r="M60" s="9">
        <v>1</v>
      </c>
      <c r="N60" s="9">
        <v>1</v>
      </c>
      <c r="O60" s="9" t="s">
        <v>2651</v>
      </c>
    </row>
    <row r="61" spans="1:15" ht="315">
      <c r="A61" s="9" t="s">
        <v>286</v>
      </c>
      <c r="B61" s="9">
        <v>2024</v>
      </c>
      <c r="C61" s="9" t="s">
        <v>287</v>
      </c>
      <c r="D61" s="9" t="s">
        <v>53</v>
      </c>
      <c r="E61" s="9" t="s">
        <v>288</v>
      </c>
      <c r="F61" s="9">
        <v>1</v>
      </c>
      <c r="G61" s="9">
        <v>1</v>
      </c>
      <c r="H61" s="9">
        <v>0.5</v>
      </c>
      <c r="I61" s="9">
        <v>0.5</v>
      </c>
      <c r="J61" s="9">
        <v>0.5</v>
      </c>
      <c r="K61" s="9">
        <v>1</v>
      </c>
      <c r="L61" s="9">
        <v>1</v>
      </c>
      <c r="M61" s="9">
        <v>0.5</v>
      </c>
      <c r="N61" s="9">
        <v>0.5</v>
      </c>
      <c r="O61" s="9" t="s">
        <v>2686</v>
      </c>
    </row>
    <row r="62" spans="1:15" ht="78.75">
      <c r="A62" s="9" t="s">
        <v>290</v>
      </c>
      <c r="B62" s="9">
        <v>2025</v>
      </c>
      <c r="C62" s="9" t="s">
        <v>291</v>
      </c>
      <c r="D62" s="9" t="s">
        <v>53</v>
      </c>
      <c r="E62" s="9" t="s">
        <v>292</v>
      </c>
      <c r="F62" s="9">
        <v>1</v>
      </c>
      <c r="G62" s="9">
        <v>1</v>
      </c>
      <c r="H62" s="9">
        <v>1</v>
      </c>
      <c r="I62" s="9">
        <v>1</v>
      </c>
      <c r="J62" s="9">
        <v>1</v>
      </c>
      <c r="K62" s="9">
        <v>1</v>
      </c>
      <c r="L62" s="9">
        <v>1</v>
      </c>
      <c r="M62" s="9">
        <v>1</v>
      </c>
      <c r="N62" s="9">
        <v>1</v>
      </c>
      <c r="O62" s="9" t="s">
        <v>2651</v>
      </c>
    </row>
    <row r="63" spans="1:15" ht="78.75">
      <c r="A63" s="9" t="s">
        <v>294</v>
      </c>
      <c r="B63" s="9">
        <v>2025</v>
      </c>
      <c r="C63" s="9" t="s">
        <v>295</v>
      </c>
      <c r="D63" s="9" t="s">
        <v>53</v>
      </c>
      <c r="E63" s="9" t="s">
        <v>296</v>
      </c>
      <c r="F63" s="9">
        <v>1</v>
      </c>
      <c r="G63" s="9">
        <v>1</v>
      </c>
      <c r="H63" s="9">
        <v>1</v>
      </c>
      <c r="I63" s="9">
        <v>1</v>
      </c>
      <c r="J63" s="9">
        <v>1</v>
      </c>
      <c r="K63" s="9">
        <v>1</v>
      </c>
      <c r="L63" s="9">
        <v>1</v>
      </c>
      <c r="M63" s="9">
        <v>1</v>
      </c>
      <c r="N63" s="9">
        <v>1</v>
      </c>
      <c r="O63" s="9" t="s">
        <v>2651</v>
      </c>
    </row>
    <row r="64" spans="1:15" ht="283.5">
      <c r="A64" s="9" t="s">
        <v>298</v>
      </c>
      <c r="B64" s="9">
        <v>2025</v>
      </c>
      <c r="C64" s="9" t="s">
        <v>299</v>
      </c>
      <c r="D64" s="9" t="s">
        <v>53</v>
      </c>
      <c r="E64" s="9" t="s">
        <v>300</v>
      </c>
      <c r="F64" s="9">
        <v>1</v>
      </c>
      <c r="G64" s="9">
        <v>1</v>
      </c>
      <c r="H64" s="9">
        <v>0.5</v>
      </c>
      <c r="I64" s="9">
        <v>1</v>
      </c>
      <c r="J64" s="9">
        <v>0.5</v>
      </c>
      <c r="K64" s="9">
        <v>1</v>
      </c>
      <c r="L64" s="9">
        <v>1</v>
      </c>
      <c r="M64" s="9">
        <v>0.5</v>
      </c>
      <c r="N64" s="9">
        <v>0.5</v>
      </c>
      <c r="O64" s="9" t="s">
        <v>2687</v>
      </c>
    </row>
    <row r="65" spans="1:15" ht="267.75">
      <c r="A65" s="9" t="s">
        <v>302</v>
      </c>
      <c r="B65" s="9">
        <v>2025</v>
      </c>
      <c r="C65" s="9" t="s">
        <v>303</v>
      </c>
      <c r="D65" s="9" t="s">
        <v>53</v>
      </c>
      <c r="E65" s="9" t="s">
        <v>304</v>
      </c>
      <c r="F65" s="9">
        <v>1</v>
      </c>
      <c r="G65" s="9">
        <v>1</v>
      </c>
      <c r="H65" s="9">
        <v>0.5</v>
      </c>
      <c r="I65" s="9">
        <v>1</v>
      </c>
      <c r="J65" s="9">
        <v>0</v>
      </c>
      <c r="K65" s="9">
        <v>0.5</v>
      </c>
      <c r="L65" s="9">
        <v>1</v>
      </c>
      <c r="M65" s="9">
        <v>0.5</v>
      </c>
      <c r="N65" s="9">
        <v>1</v>
      </c>
      <c r="O65" s="9" t="s">
        <v>2688</v>
      </c>
    </row>
    <row r="66" spans="1:15" ht="110.25">
      <c r="A66" s="9" t="s">
        <v>306</v>
      </c>
      <c r="B66" s="9">
        <v>2025</v>
      </c>
      <c r="C66" s="9" t="s">
        <v>307</v>
      </c>
      <c r="D66" s="9" t="s">
        <v>53</v>
      </c>
      <c r="E66" s="9" t="s">
        <v>308</v>
      </c>
      <c r="F66" s="9">
        <v>1</v>
      </c>
      <c r="G66" s="9">
        <v>1</v>
      </c>
      <c r="H66" s="9">
        <v>1</v>
      </c>
      <c r="I66" s="9">
        <v>1</v>
      </c>
      <c r="J66" s="9">
        <v>1</v>
      </c>
      <c r="K66" s="9">
        <v>1</v>
      </c>
      <c r="L66" s="9">
        <v>1</v>
      </c>
      <c r="M66" s="9">
        <v>1</v>
      </c>
      <c r="N66" s="9">
        <v>1</v>
      </c>
      <c r="O66" s="9" t="s">
        <v>2651</v>
      </c>
    </row>
    <row r="67" spans="1:15" ht="141.75">
      <c r="A67" s="9" t="s">
        <v>310</v>
      </c>
      <c r="B67" s="9">
        <v>2026</v>
      </c>
      <c r="C67" s="9" t="s">
        <v>311</v>
      </c>
      <c r="D67" s="9" t="s">
        <v>312</v>
      </c>
      <c r="E67" s="9" t="s">
        <v>313</v>
      </c>
      <c r="F67" s="9"/>
      <c r="G67" s="9"/>
      <c r="H67" s="9"/>
      <c r="I67" s="9"/>
      <c r="J67" s="9"/>
      <c r="K67" s="9"/>
      <c r="L67" s="9"/>
      <c r="M67" s="9"/>
      <c r="N67" s="9"/>
      <c r="O67" s="9" t="s">
        <v>2689</v>
      </c>
    </row>
    <row r="68" spans="1:15" ht="173.25">
      <c r="A68" s="9" t="s">
        <v>315</v>
      </c>
      <c r="B68" s="9">
        <v>2016</v>
      </c>
      <c r="C68" s="9" t="s">
        <v>316</v>
      </c>
      <c r="D68" s="9" t="s">
        <v>53</v>
      </c>
      <c r="E68" s="9" t="s">
        <v>317</v>
      </c>
      <c r="F68" s="9">
        <v>1</v>
      </c>
      <c r="G68" s="9">
        <v>1</v>
      </c>
      <c r="H68" s="9">
        <v>1</v>
      </c>
      <c r="I68" s="9">
        <v>1</v>
      </c>
      <c r="J68" s="9">
        <v>1</v>
      </c>
      <c r="K68" s="9">
        <v>1</v>
      </c>
      <c r="L68" s="9">
        <v>0.5</v>
      </c>
      <c r="M68" s="9">
        <v>1</v>
      </c>
      <c r="N68" s="9">
        <v>0.5</v>
      </c>
      <c r="O68" s="9" t="s">
        <v>2690</v>
      </c>
    </row>
    <row r="69" spans="1:15" ht="94.5">
      <c r="A69" s="9" t="s">
        <v>319</v>
      </c>
      <c r="B69" s="9">
        <v>2018</v>
      </c>
      <c r="C69" s="9" t="s">
        <v>320</v>
      </c>
      <c r="D69" s="9" t="s">
        <v>53</v>
      </c>
      <c r="E69" s="9" t="s">
        <v>321</v>
      </c>
      <c r="F69" s="9">
        <v>1</v>
      </c>
      <c r="G69" s="9">
        <v>1</v>
      </c>
      <c r="H69" s="9">
        <v>1</v>
      </c>
      <c r="I69" s="9">
        <v>1</v>
      </c>
      <c r="J69" s="9">
        <v>1</v>
      </c>
      <c r="K69" s="9">
        <v>1</v>
      </c>
      <c r="L69" s="9">
        <v>1</v>
      </c>
      <c r="M69" s="9">
        <v>1</v>
      </c>
      <c r="N69" s="9">
        <v>1</v>
      </c>
      <c r="O69" s="9" t="s">
        <v>2651</v>
      </c>
    </row>
    <row r="70" spans="1:15" ht="110.25">
      <c r="A70" s="9" t="s">
        <v>323</v>
      </c>
      <c r="B70" s="9">
        <v>2018</v>
      </c>
      <c r="C70" s="9" t="s">
        <v>324</v>
      </c>
      <c r="D70" s="9" t="s">
        <v>53</v>
      </c>
      <c r="E70" s="9" t="s">
        <v>325</v>
      </c>
      <c r="F70" s="9">
        <v>1</v>
      </c>
      <c r="G70" s="9">
        <v>1</v>
      </c>
      <c r="H70" s="9">
        <v>1</v>
      </c>
      <c r="I70" s="9">
        <v>1</v>
      </c>
      <c r="J70" s="9">
        <v>1</v>
      </c>
      <c r="K70" s="9">
        <v>1</v>
      </c>
      <c r="L70" s="9">
        <v>1</v>
      </c>
      <c r="M70" s="9">
        <v>1</v>
      </c>
      <c r="N70" s="9">
        <v>0.5</v>
      </c>
      <c r="O70" s="9" t="s">
        <v>2691</v>
      </c>
    </row>
    <row r="71" spans="1:15" ht="220.5">
      <c r="A71" s="9" t="s">
        <v>327</v>
      </c>
      <c r="B71" s="9">
        <v>2019</v>
      </c>
      <c r="C71" s="9" t="s">
        <v>328</v>
      </c>
      <c r="D71" s="9" t="s">
        <v>53</v>
      </c>
      <c r="E71" s="9" t="s">
        <v>329</v>
      </c>
      <c r="F71" s="9">
        <v>1</v>
      </c>
      <c r="G71" s="9">
        <v>1</v>
      </c>
      <c r="H71" s="9">
        <v>1</v>
      </c>
      <c r="I71" s="9">
        <v>1</v>
      </c>
      <c r="J71" s="9">
        <v>0.5</v>
      </c>
      <c r="K71" s="9">
        <v>1</v>
      </c>
      <c r="L71" s="9">
        <v>0</v>
      </c>
      <c r="M71" s="9">
        <v>0.5</v>
      </c>
      <c r="N71" s="9">
        <v>0.5</v>
      </c>
      <c r="O71" s="9" t="s">
        <v>2692</v>
      </c>
    </row>
    <row r="72" spans="1:15" ht="78.75">
      <c r="A72" s="9" t="s">
        <v>331</v>
      </c>
      <c r="B72" s="9">
        <v>2020</v>
      </c>
      <c r="C72" s="9" t="s">
        <v>332</v>
      </c>
      <c r="D72" s="9" t="s">
        <v>53</v>
      </c>
      <c r="E72" s="9" t="s">
        <v>333</v>
      </c>
      <c r="F72" s="9">
        <v>1</v>
      </c>
      <c r="G72" s="9">
        <v>1</v>
      </c>
      <c r="H72" s="9">
        <v>1</v>
      </c>
      <c r="I72" s="9">
        <v>1</v>
      </c>
      <c r="J72" s="9">
        <v>1</v>
      </c>
      <c r="K72" s="9">
        <v>1</v>
      </c>
      <c r="L72" s="9">
        <v>1</v>
      </c>
      <c r="M72" s="9">
        <v>1</v>
      </c>
      <c r="N72" s="9">
        <v>1</v>
      </c>
      <c r="O72" s="9" t="s">
        <v>2651</v>
      </c>
    </row>
    <row r="73" spans="1:15" ht="110.25">
      <c r="A73" s="9" t="s">
        <v>335</v>
      </c>
      <c r="B73" s="9">
        <v>2020</v>
      </c>
      <c r="C73" s="9" t="s">
        <v>336</v>
      </c>
      <c r="D73" s="9" t="s">
        <v>53</v>
      </c>
      <c r="E73" s="9" t="s">
        <v>337</v>
      </c>
      <c r="F73" s="9">
        <v>1</v>
      </c>
      <c r="G73" s="9">
        <v>1</v>
      </c>
      <c r="H73" s="9">
        <v>1</v>
      </c>
      <c r="I73" s="9">
        <v>1</v>
      </c>
      <c r="J73" s="9">
        <v>1</v>
      </c>
      <c r="K73" s="9">
        <v>1</v>
      </c>
      <c r="L73" s="9">
        <v>1</v>
      </c>
      <c r="M73" s="9">
        <v>0.5</v>
      </c>
      <c r="N73" s="9">
        <v>1</v>
      </c>
      <c r="O73" s="9" t="s">
        <v>2693</v>
      </c>
    </row>
    <row r="74" spans="1:15" ht="110.25">
      <c r="A74" s="9" t="s">
        <v>339</v>
      </c>
      <c r="B74" s="9">
        <v>2021</v>
      </c>
      <c r="C74" s="9" t="s">
        <v>340</v>
      </c>
      <c r="D74" s="9" t="s">
        <v>53</v>
      </c>
      <c r="E74" s="9" t="s">
        <v>341</v>
      </c>
      <c r="F74" s="9">
        <v>1</v>
      </c>
      <c r="G74" s="9">
        <v>1</v>
      </c>
      <c r="H74" s="9">
        <v>1</v>
      </c>
      <c r="I74" s="9">
        <v>1</v>
      </c>
      <c r="J74" s="9">
        <v>1</v>
      </c>
      <c r="K74" s="9">
        <v>1</v>
      </c>
      <c r="L74" s="9">
        <v>1</v>
      </c>
      <c r="M74" s="9">
        <v>0.5</v>
      </c>
      <c r="N74" s="9">
        <v>1</v>
      </c>
      <c r="O74" s="9" t="s">
        <v>2694</v>
      </c>
    </row>
    <row r="75" spans="1:15" ht="220.5">
      <c r="A75" s="9" t="s">
        <v>343</v>
      </c>
      <c r="B75" s="9">
        <v>2022</v>
      </c>
      <c r="C75" s="9" t="s">
        <v>344</v>
      </c>
      <c r="D75" s="9" t="s">
        <v>53</v>
      </c>
      <c r="E75" s="9" t="s">
        <v>345</v>
      </c>
      <c r="F75" s="9">
        <v>1</v>
      </c>
      <c r="G75" s="9">
        <v>1</v>
      </c>
      <c r="H75" s="9">
        <v>1</v>
      </c>
      <c r="I75" s="9">
        <v>1</v>
      </c>
      <c r="J75" s="9">
        <v>1</v>
      </c>
      <c r="K75" s="9">
        <v>1</v>
      </c>
      <c r="L75" s="9">
        <v>0.5</v>
      </c>
      <c r="M75" s="9">
        <v>0.5</v>
      </c>
      <c r="N75" s="9">
        <v>0.5</v>
      </c>
      <c r="O75" s="9" t="s">
        <v>2695</v>
      </c>
    </row>
    <row r="76" spans="1:15" ht="126">
      <c r="A76" s="9" t="s">
        <v>347</v>
      </c>
      <c r="B76" s="9">
        <v>2022</v>
      </c>
      <c r="C76" s="9" t="s">
        <v>348</v>
      </c>
      <c r="D76" s="9" t="s">
        <v>53</v>
      </c>
      <c r="E76" s="9" t="s">
        <v>349</v>
      </c>
      <c r="F76" s="9">
        <v>1</v>
      </c>
      <c r="G76" s="9">
        <v>1</v>
      </c>
      <c r="H76" s="9">
        <v>1</v>
      </c>
      <c r="I76" s="9">
        <v>1</v>
      </c>
      <c r="J76" s="9">
        <v>1</v>
      </c>
      <c r="K76" s="9">
        <v>1</v>
      </c>
      <c r="L76" s="9">
        <v>1</v>
      </c>
      <c r="M76" s="9">
        <v>0.5</v>
      </c>
      <c r="N76" s="9">
        <v>1</v>
      </c>
      <c r="O76" s="9" t="s">
        <v>2696</v>
      </c>
    </row>
    <row r="77" spans="1:15" ht="126">
      <c r="A77" s="9" t="s">
        <v>351</v>
      </c>
      <c r="B77" s="9">
        <v>2022</v>
      </c>
      <c r="C77" s="9" t="s">
        <v>352</v>
      </c>
      <c r="D77" s="9" t="s">
        <v>53</v>
      </c>
      <c r="E77" s="9" t="s">
        <v>353</v>
      </c>
      <c r="F77" s="9">
        <v>1</v>
      </c>
      <c r="G77" s="9">
        <v>1</v>
      </c>
      <c r="H77" s="9">
        <v>1</v>
      </c>
      <c r="I77" s="9">
        <v>1</v>
      </c>
      <c r="J77" s="9">
        <v>1</v>
      </c>
      <c r="K77" s="9">
        <v>1</v>
      </c>
      <c r="L77" s="9">
        <v>1</v>
      </c>
      <c r="M77" s="9">
        <v>1</v>
      </c>
      <c r="N77" s="9">
        <v>0.5</v>
      </c>
      <c r="O77" s="9" t="s">
        <v>2697</v>
      </c>
    </row>
    <row r="78" spans="1:15" ht="94.5">
      <c r="A78" s="9" t="s">
        <v>355</v>
      </c>
      <c r="B78" s="9">
        <v>2022</v>
      </c>
      <c r="C78" s="9" t="s">
        <v>356</v>
      </c>
      <c r="D78" s="9" t="s">
        <v>53</v>
      </c>
      <c r="E78" s="9" t="s">
        <v>357</v>
      </c>
      <c r="F78" s="9">
        <v>1</v>
      </c>
      <c r="G78" s="9">
        <v>1</v>
      </c>
      <c r="H78" s="9">
        <v>1</v>
      </c>
      <c r="I78" s="9">
        <v>1</v>
      </c>
      <c r="J78" s="9">
        <v>1</v>
      </c>
      <c r="K78" s="9">
        <v>1</v>
      </c>
      <c r="L78" s="9">
        <v>1</v>
      </c>
      <c r="M78" s="9">
        <v>1</v>
      </c>
      <c r="N78" s="9">
        <v>1</v>
      </c>
      <c r="O78" s="9" t="s">
        <v>2651</v>
      </c>
    </row>
    <row r="79" spans="1:15" ht="26.45" customHeight="1">
      <c r="A79" s="3" t="s">
        <v>359</v>
      </c>
      <c r="B79" s="3">
        <v>2022</v>
      </c>
      <c r="C79" s="3" t="s">
        <v>360</v>
      </c>
      <c r="D79" s="9" t="s">
        <v>53</v>
      </c>
      <c r="E79" s="9" t="s">
        <v>361</v>
      </c>
      <c r="F79" s="9">
        <v>1</v>
      </c>
      <c r="G79" s="9">
        <v>1</v>
      </c>
      <c r="H79" s="9">
        <v>1</v>
      </c>
      <c r="I79" s="9">
        <v>1</v>
      </c>
      <c r="J79" s="9">
        <v>1</v>
      </c>
      <c r="K79" s="9">
        <v>1</v>
      </c>
      <c r="L79" s="9">
        <v>1</v>
      </c>
      <c r="M79" s="9">
        <v>1</v>
      </c>
      <c r="N79" s="9">
        <v>1</v>
      </c>
      <c r="O79" s="9" t="s">
        <v>2651</v>
      </c>
    </row>
    <row r="80" spans="1:15" ht="39.6" customHeight="1">
      <c r="A80" s="3" t="s">
        <v>363</v>
      </c>
      <c r="B80" s="3">
        <v>2022</v>
      </c>
      <c r="C80" s="3" t="s">
        <v>364</v>
      </c>
      <c r="D80" s="9" t="s">
        <v>53</v>
      </c>
      <c r="E80" s="9" t="s">
        <v>365</v>
      </c>
      <c r="F80" s="9">
        <v>1</v>
      </c>
      <c r="G80" s="9">
        <v>1</v>
      </c>
      <c r="H80" s="9">
        <v>1</v>
      </c>
      <c r="I80" s="9">
        <v>1</v>
      </c>
      <c r="J80" s="9">
        <v>1</v>
      </c>
      <c r="K80" s="9">
        <v>1</v>
      </c>
      <c r="L80" s="9">
        <v>1</v>
      </c>
      <c r="M80" s="9">
        <v>0.5</v>
      </c>
      <c r="N80" s="9">
        <v>1</v>
      </c>
      <c r="O80" s="9" t="s">
        <v>2698</v>
      </c>
    </row>
    <row r="81" spans="1:15" ht="26.45" customHeight="1">
      <c r="A81" s="3" t="s">
        <v>367</v>
      </c>
      <c r="B81" s="3">
        <v>2023</v>
      </c>
      <c r="C81" s="3" t="s">
        <v>368</v>
      </c>
      <c r="D81" s="9" t="s">
        <v>53</v>
      </c>
      <c r="E81" s="9" t="s">
        <v>369</v>
      </c>
      <c r="F81" s="9">
        <v>1</v>
      </c>
      <c r="G81" s="9">
        <v>1</v>
      </c>
      <c r="H81" s="9">
        <v>1</v>
      </c>
      <c r="I81" s="9">
        <v>1</v>
      </c>
      <c r="J81" s="9">
        <v>1</v>
      </c>
      <c r="K81" s="9">
        <v>1</v>
      </c>
      <c r="L81" s="9">
        <v>1</v>
      </c>
      <c r="M81" s="9">
        <v>1</v>
      </c>
      <c r="N81" s="9">
        <v>1</v>
      </c>
      <c r="O81" s="9" t="s">
        <v>2651</v>
      </c>
    </row>
    <row r="82" spans="1:15" ht="39.6" customHeight="1">
      <c r="A82" s="3" t="s">
        <v>371</v>
      </c>
      <c r="B82" s="3">
        <v>2023</v>
      </c>
      <c r="C82" s="3" t="s">
        <v>372</v>
      </c>
      <c r="D82" s="9" t="s">
        <v>53</v>
      </c>
      <c r="E82" s="9" t="s">
        <v>373</v>
      </c>
      <c r="F82" s="9">
        <v>1</v>
      </c>
      <c r="G82" s="9">
        <v>1</v>
      </c>
      <c r="H82" s="9">
        <v>1</v>
      </c>
      <c r="I82" s="9">
        <v>1</v>
      </c>
      <c r="J82" s="9">
        <v>1</v>
      </c>
      <c r="K82" s="9">
        <v>1</v>
      </c>
      <c r="L82" s="9">
        <v>1</v>
      </c>
      <c r="M82" s="9">
        <v>1</v>
      </c>
      <c r="N82" s="9">
        <v>0.5</v>
      </c>
      <c r="O82" s="9" t="s">
        <v>2699</v>
      </c>
    </row>
    <row r="83" spans="1:15" ht="26.45" customHeight="1">
      <c r="A83" s="3" t="s">
        <v>375</v>
      </c>
      <c r="B83" s="3">
        <v>2023</v>
      </c>
      <c r="C83" s="3" t="s">
        <v>376</v>
      </c>
      <c r="D83" s="9" t="s">
        <v>53</v>
      </c>
      <c r="E83" s="9" t="s">
        <v>377</v>
      </c>
      <c r="F83" s="9">
        <v>1</v>
      </c>
      <c r="G83" s="9">
        <v>1</v>
      </c>
      <c r="H83" s="9">
        <v>1</v>
      </c>
      <c r="I83" s="9">
        <v>1</v>
      </c>
      <c r="J83" s="9">
        <v>1</v>
      </c>
      <c r="K83" s="9">
        <v>1</v>
      </c>
      <c r="L83" s="9">
        <v>1</v>
      </c>
      <c r="M83" s="9">
        <v>0.5</v>
      </c>
      <c r="N83" s="9">
        <v>0.5</v>
      </c>
      <c r="O83" s="9" t="s">
        <v>2700</v>
      </c>
    </row>
    <row r="84" spans="1:15" ht="26.45" customHeight="1">
      <c r="A84" s="3" t="s">
        <v>379</v>
      </c>
      <c r="B84" s="3">
        <v>2023</v>
      </c>
      <c r="C84" s="3" t="s">
        <v>380</v>
      </c>
      <c r="D84" s="9" t="s">
        <v>53</v>
      </c>
      <c r="E84" s="9" t="s">
        <v>381</v>
      </c>
      <c r="F84" s="9">
        <v>1</v>
      </c>
      <c r="G84" s="9">
        <v>1</v>
      </c>
      <c r="H84" s="9">
        <v>1</v>
      </c>
      <c r="I84" s="9">
        <v>1</v>
      </c>
      <c r="J84" s="9">
        <v>1</v>
      </c>
      <c r="K84" s="9">
        <v>1</v>
      </c>
      <c r="L84" s="9">
        <v>0.5</v>
      </c>
      <c r="M84" s="9">
        <v>0.5</v>
      </c>
      <c r="N84" s="9">
        <v>0.5</v>
      </c>
      <c r="O84" s="9" t="s">
        <v>2701</v>
      </c>
    </row>
    <row r="85" spans="1:15" ht="141.75">
      <c r="A85" s="9" t="s">
        <v>383</v>
      </c>
      <c r="B85" s="9">
        <v>2023</v>
      </c>
      <c r="C85" s="9" t="s">
        <v>384</v>
      </c>
      <c r="D85" s="9" t="s">
        <v>53</v>
      </c>
      <c r="E85" s="9" t="s">
        <v>385</v>
      </c>
      <c r="F85" s="9">
        <v>1</v>
      </c>
      <c r="G85" s="9">
        <v>1</v>
      </c>
      <c r="H85" s="9">
        <v>1</v>
      </c>
      <c r="I85" s="9">
        <v>1</v>
      </c>
      <c r="J85" s="9">
        <v>1</v>
      </c>
      <c r="K85" s="9">
        <v>1</v>
      </c>
      <c r="L85" s="9">
        <v>0.5</v>
      </c>
      <c r="M85" s="9">
        <v>1</v>
      </c>
      <c r="N85" s="9">
        <v>1</v>
      </c>
      <c r="O85" s="9" t="s">
        <v>2702</v>
      </c>
    </row>
    <row r="86" spans="1:15" ht="110.25">
      <c r="A86" s="9" t="s">
        <v>387</v>
      </c>
      <c r="B86" s="9">
        <v>2023</v>
      </c>
      <c r="C86" s="9" t="s">
        <v>388</v>
      </c>
      <c r="D86" s="9" t="s">
        <v>53</v>
      </c>
      <c r="E86" s="9" t="s">
        <v>389</v>
      </c>
      <c r="F86" s="9">
        <v>1</v>
      </c>
      <c r="G86" s="9">
        <v>1</v>
      </c>
      <c r="H86" s="9">
        <v>1</v>
      </c>
      <c r="I86" s="9">
        <v>1</v>
      </c>
      <c r="J86" s="9">
        <v>1</v>
      </c>
      <c r="K86" s="9">
        <v>1</v>
      </c>
      <c r="L86" s="9">
        <v>0</v>
      </c>
      <c r="M86" s="9">
        <v>1</v>
      </c>
      <c r="N86" s="9">
        <v>1</v>
      </c>
      <c r="O86" s="9" t="s">
        <v>2703</v>
      </c>
    </row>
    <row r="87" spans="1:15" ht="78.75">
      <c r="A87" s="9" t="s">
        <v>391</v>
      </c>
      <c r="B87" s="9">
        <v>2023</v>
      </c>
      <c r="C87" s="9" t="s">
        <v>392</v>
      </c>
      <c r="D87" s="9" t="s">
        <v>53</v>
      </c>
      <c r="E87" s="9" t="s">
        <v>393</v>
      </c>
      <c r="F87" s="9">
        <v>1</v>
      </c>
      <c r="G87" s="9">
        <v>1</v>
      </c>
      <c r="H87" s="9">
        <v>1</v>
      </c>
      <c r="I87" s="9">
        <v>1</v>
      </c>
      <c r="J87" s="9">
        <v>1</v>
      </c>
      <c r="K87" s="9">
        <v>1</v>
      </c>
      <c r="L87" s="9">
        <v>1</v>
      </c>
      <c r="M87" s="9">
        <v>1</v>
      </c>
      <c r="N87" s="9">
        <v>1</v>
      </c>
      <c r="O87" s="9" t="s">
        <v>2651</v>
      </c>
    </row>
    <row r="88" spans="1:15" ht="78.75">
      <c r="A88" s="9" t="s">
        <v>395</v>
      </c>
      <c r="B88" s="9">
        <v>2023</v>
      </c>
      <c r="C88" s="9" t="s">
        <v>396</v>
      </c>
      <c r="D88" s="9" t="s">
        <v>53</v>
      </c>
      <c r="E88" s="9" t="s">
        <v>397</v>
      </c>
      <c r="F88" s="9">
        <v>1</v>
      </c>
      <c r="G88" s="9">
        <v>1</v>
      </c>
      <c r="H88" s="9">
        <v>1</v>
      </c>
      <c r="I88" s="9">
        <v>1</v>
      </c>
      <c r="J88" s="9">
        <v>1</v>
      </c>
      <c r="K88" s="9">
        <v>1</v>
      </c>
      <c r="L88" s="9">
        <v>1</v>
      </c>
      <c r="M88" s="9">
        <v>1</v>
      </c>
      <c r="N88" s="9">
        <v>1</v>
      </c>
      <c r="O88" s="9" t="s">
        <v>2651</v>
      </c>
    </row>
    <row r="89" spans="1:15" ht="220.5">
      <c r="A89" s="9" t="s">
        <v>399</v>
      </c>
      <c r="B89" s="9">
        <v>2023</v>
      </c>
      <c r="C89" s="9" t="s">
        <v>400</v>
      </c>
      <c r="D89" s="9" t="s">
        <v>53</v>
      </c>
      <c r="E89" s="9" t="s">
        <v>401</v>
      </c>
      <c r="F89" s="9">
        <v>1</v>
      </c>
      <c r="G89" s="9">
        <v>1</v>
      </c>
      <c r="H89" s="9">
        <v>1</v>
      </c>
      <c r="I89" s="9">
        <v>1</v>
      </c>
      <c r="J89" s="9">
        <v>1</v>
      </c>
      <c r="K89" s="9">
        <v>1</v>
      </c>
      <c r="L89" s="9">
        <v>0</v>
      </c>
      <c r="M89" s="9">
        <v>0.5</v>
      </c>
      <c r="N89" s="9">
        <v>0.5</v>
      </c>
      <c r="O89" s="9" t="s">
        <v>2704</v>
      </c>
    </row>
    <row r="90" spans="1:15" ht="409.5">
      <c r="A90" s="9" t="s">
        <v>403</v>
      </c>
      <c r="B90" s="9">
        <v>2023</v>
      </c>
      <c r="C90" s="9" t="s">
        <v>404</v>
      </c>
      <c r="D90" s="9" t="s">
        <v>53</v>
      </c>
      <c r="E90" s="9" t="s">
        <v>405</v>
      </c>
      <c r="F90" s="9">
        <v>1</v>
      </c>
      <c r="G90" s="9">
        <v>1</v>
      </c>
      <c r="H90" s="9">
        <v>0.5</v>
      </c>
      <c r="I90" s="9">
        <v>0.5</v>
      </c>
      <c r="J90" s="9">
        <v>0.5</v>
      </c>
      <c r="K90" s="9">
        <v>0.5</v>
      </c>
      <c r="L90" s="9">
        <v>0</v>
      </c>
      <c r="M90" s="9">
        <v>0.5</v>
      </c>
      <c r="N90" s="9">
        <v>0.5</v>
      </c>
      <c r="O90" s="9" t="s">
        <v>2705</v>
      </c>
    </row>
    <row r="91" spans="1:15" ht="330.75">
      <c r="A91" s="9" t="s">
        <v>407</v>
      </c>
      <c r="B91" s="9">
        <v>2024</v>
      </c>
      <c r="C91" s="9" t="s">
        <v>408</v>
      </c>
      <c r="D91" s="9" t="s">
        <v>53</v>
      </c>
      <c r="E91" s="9" t="s">
        <v>409</v>
      </c>
      <c r="F91" s="9">
        <v>1</v>
      </c>
      <c r="G91" s="9">
        <v>1</v>
      </c>
      <c r="H91" s="9">
        <v>1</v>
      </c>
      <c r="I91" s="9">
        <v>0.5</v>
      </c>
      <c r="J91" s="9">
        <v>0.5</v>
      </c>
      <c r="K91" s="9">
        <v>1</v>
      </c>
      <c r="L91" s="9">
        <v>0</v>
      </c>
      <c r="M91" s="9">
        <v>0.5</v>
      </c>
      <c r="N91" s="9">
        <v>0.5</v>
      </c>
      <c r="O91" s="9" t="s">
        <v>2706</v>
      </c>
    </row>
    <row r="92" spans="1:15" ht="78.75">
      <c r="A92" s="9" t="s">
        <v>411</v>
      </c>
      <c r="B92" s="9">
        <v>2024</v>
      </c>
      <c r="C92" s="9" t="s">
        <v>412</v>
      </c>
      <c r="D92" s="9" t="s">
        <v>53</v>
      </c>
      <c r="E92" s="9" t="s">
        <v>413</v>
      </c>
      <c r="F92" s="9">
        <v>1</v>
      </c>
      <c r="G92" s="9">
        <v>1</v>
      </c>
      <c r="H92" s="9">
        <v>1</v>
      </c>
      <c r="I92" s="9">
        <v>1</v>
      </c>
      <c r="J92" s="9">
        <v>1</v>
      </c>
      <c r="K92" s="9">
        <v>1</v>
      </c>
      <c r="L92" s="9">
        <v>1</v>
      </c>
      <c r="M92" s="9">
        <v>1</v>
      </c>
      <c r="N92" s="9">
        <v>1</v>
      </c>
      <c r="O92" s="9" t="s">
        <v>2651</v>
      </c>
    </row>
    <row r="93" spans="1:15" ht="126">
      <c r="A93" s="9" t="s">
        <v>415</v>
      </c>
      <c r="B93" s="9">
        <v>2024</v>
      </c>
      <c r="C93" s="9" t="s">
        <v>416</v>
      </c>
      <c r="D93" s="9" t="s">
        <v>53</v>
      </c>
      <c r="E93" s="9" t="s">
        <v>417</v>
      </c>
      <c r="F93" s="9">
        <v>1</v>
      </c>
      <c r="G93" s="9">
        <v>1</v>
      </c>
      <c r="H93" s="9">
        <v>1</v>
      </c>
      <c r="I93" s="9">
        <v>1</v>
      </c>
      <c r="J93" s="9">
        <v>1</v>
      </c>
      <c r="K93" s="9">
        <v>1</v>
      </c>
      <c r="L93" s="9">
        <v>1</v>
      </c>
      <c r="M93" s="9">
        <v>1</v>
      </c>
      <c r="N93" s="9">
        <v>0.5</v>
      </c>
      <c r="O93" s="9" t="s">
        <v>2707</v>
      </c>
    </row>
    <row r="94" spans="1:15" ht="126">
      <c r="A94" s="9" t="s">
        <v>419</v>
      </c>
      <c r="B94" s="9">
        <v>2025</v>
      </c>
      <c r="C94" s="9" t="s">
        <v>420</v>
      </c>
      <c r="D94" s="9" t="s">
        <v>53</v>
      </c>
      <c r="E94" s="9" t="s">
        <v>421</v>
      </c>
      <c r="F94" s="9">
        <v>1</v>
      </c>
      <c r="G94" s="9">
        <v>1</v>
      </c>
      <c r="H94" s="9">
        <v>1</v>
      </c>
      <c r="I94" s="9">
        <v>1</v>
      </c>
      <c r="J94" s="9">
        <v>1</v>
      </c>
      <c r="K94" s="9">
        <v>1</v>
      </c>
      <c r="L94" s="9">
        <v>1</v>
      </c>
      <c r="M94" s="9">
        <v>1</v>
      </c>
      <c r="N94" s="9">
        <v>0.5</v>
      </c>
      <c r="O94" s="9" t="s">
        <v>2708</v>
      </c>
    </row>
    <row r="95" spans="1:15" ht="126">
      <c r="A95" s="9" t="s">
        <v>423</v>
      </c>
      <c r="B95" s="9">
        <v>2025</v>
      </c>
      <c r="C95" s="9" t="s">
        <v>424</v>
      </c>
      <c r="D95" s="9" t="s">
        <v>53</v>
      </c>
      <c r="E95" s="9" t="s">
        <v>425</v>
      </c>
      <c r="F95" s="9">
        <v>1</v>
      </c>
      <c r="G95" s="9">
        <v>1</v>
      </c>
      <c r="H95" s="9">
        <v>1</v>
      </c>
      <c r="I95" s="9">
        <v>1</v>
      </c>
      <c r="J95" s="9">
        <v>1</v>
      </c>
      <c r="K95" s="9">
        <v>1</v>
      </c>
      <c r="L95" s="9">
        <v>1</v>
      </c>
      <c r="M95" s="9">
        <v>1</v>
      </c>
      <c r="N95" s="9">
        <v>0.5</v>
      </c>
      <c r="O95" s="9" t="s">
        <v>2709</v>
      </c>
    </row>
    <row r="96" spans="1:15" ht="78.75">
      <c r="A96" s="9" t="s">
        <v>427</v>
      </c>
      <c r="B96" s="9">
        <v>2025</v>
      </c>
      <c r="C96" s="9" t="s">
        <v>428</v>
      </c>
      <c r="D96" s="9" t="s">
        <v>53</v>
      </c>
      <c r="E96" s="9" t="s">
        <v>429</v>
      </c>
      <c r="F96" s="9">
        <v>1</v>
      </c>
      <c r="G96" s="9">
        <v>1</v>
      </c>
      <c r="H96" s="9">
        <v>1</v>
      </c>
      <c r="I96" s="9">
        <v>1</v>
      </c>
      <c r="J96" s="9">
        <v>1</v>
      </c>
      <c r="K96" s="9">
        <v>1</v>
      </c>
      <c r="L96" s="9">
        <v>1</v>
      </c>
      <c r="M96" s="9">
        <v>1</v>
      </c>
      <c r="N96" s="9">
        <v>1</v>
      </c>
      <c r="O96" s="9" t="s">
        <v>2651</v>
      </c>
    </row>
    <row r="97" spans="1:15" ht="94.5">
      <c r="A97" s="9" t="s">
        <v>431</v>
      </c>
      <c r="B97" s="9">
        <v>2026</v>
      </c>
      <c r="C97" s="9" t="s">
        <v>432</v>
      </c>
      <c r="D97" s="9" t="s">
        <v>53</v>
      </c>
      <c r="E97" s="9" t="s">
        <v>433</v>
      </c>
      <c r="F97" s="9">
        <v>1</v>
      </c>
      <c r="G97" s="9">
        <v>1</v>
      </c>
      <c r="H97" s="9">
        <v>1</v>
      </c>
      <c r="I97" s="9">
        <v>1</v>
      </c>
      <c r="J97" s="9">
        <v>1</v>
      </c>
      <c r="K97" s="9">
        <v>1</v>
      </c>
      <c r="L97" s="9">
        <v>1</v>
      </c>
      <c r="M97" s="9">
        <v>1</v>
      </c>
      <c r="N97" s="9">
        <v>1</v>
      </c>
      <c r="O97" s="9" t="s">
        <v>2651</v>
      </c>
    </row>
  </sheetData>
  <mergeCells count="1">
    <mergeCell ref="A1:O1"/>
  </mergeCells>
  <conditionalFormatting sqref="D4:D97">
    <cfRule type="expression" dxfId="5" priority="4">
      <formula>$D4="Eligible primary study"</formula>
    </cfRule>
    <cfRule type="expression" dxfId="4" priority="5">
      <formula>OR($D4="Eligibility adjudication required",$D4="Version replacement required",$D4="Full-text replacement required",$D4="Full-text file missing",$D4="Source-version verification pending")</formula>
    </cfRule>
    <cfRule type="expression" dxfId="3" priority="6">
      <formula>$D4="Exclude from primary-study QA"</formula>
    </cfRule>
  </conditionalFormatting>
  <conditionalFormatting sqref="F4:N97">
    <cfRule type="expression" dxfId="2" priority="1">
      <formula>F4=1</formula>
    </cfRule>
    <cfRule type="expression" dxfId="1" priority="2">
      <formula>F4=0.5</formula>
    </cfRule>
    <cfRule type="expression" dxfId="0" priority="3">
      <formula>F4=0</formula>
    </cfRule>
  </conditionalFormatting>
  <dataValidations count="2">
    <dataValidation type="list" sqref="F85:N97 F4:N78" xr:uid="{2563857B-DB44-4D5F-9A87-E9704ADF06C2}">
      <formula1>"1,0.5,0,N/A"</formula1>
    </dataValidation>
    <dataValidation type="list" sqref="D85:D97 D4:D78" xr:uid="{90929063-98B4-45C6-B79D-220945C255D8}">
      <formula1>"Include,Exclude,Adjudicate"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S2_Guidance</vt:lpstr>
      <vt:lpstr>Batch1_R1_Assessment</vt:lpstr>
      <vt:lpstr>Evidence_Log</vt:lpstr>
      <vt:lpstr>Reviewer2_Form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Muntasir Yakubu</cp:lastModifiedBy>
  <dcterms:modified xsi:type="dcterms:W3CDTF">2026-08-16T08:09:05Z</dcterms:modified>
</cp:coreProperties>
</file>