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New Publications\Systematic Mapping Study\Database Search\"/>
    </mc:Choice>
  </mc:AlternateContent>
  <xr:revisionPtr revIDLastSave="0" documentId="13_ncr:1_{BA04306F-39EF-4209-A90F-B27AFAA3A634}" xr6:coauthVersionLast="47" xr6:coauthVersionMax="47" xr10:uidLastSave="{00000000-0000-0000-0000-000000000000}"/>
  <bookViews>
    <workbookView xWindow="-120" yWindow="-120" windowWidth="29040" windowHeight="15720" firstSheet="4" activeTab="9" xr2:uid="{00000000-000D-0000-FFFF-FFFF00000000}"/>
  </bookViews>
  <sheets>
    <sheet name="S4_ReadMe" sheetId="1" r:id="rId1"/>
    <sheet name="Controlled_Vocab" sheetId="2" r:id="rId2"/>
    <sheet name="Study_Register" sheetId="3" r:id="rId3"/>
    <sheet name="Context_Technical" sheetId="4" r:id="rId4"/>
    <sheet name="Classification_Coding" sheetId="5" r:id="rId5"/>
    <sheet name="Evaluation_Evidence" sheetId="6" r:id="rId6"/>
    <sheet name="Gaps_Limitations" sheetId="7" r:id="rId7"/>
    <sheet name="Verification_Log" sheetId="8" r:id="rId8"/>
    <sheet name="Completion_Summary" sheetId="9" r:id="rId9"/>
    <sheet name="Provenanc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7" i="5" l="1"/>
  <c r="AA96" i="5"/>
  <c r="AA95" i="5"/>
  <c r="AA94" i="5"/>
  <c r="AA93" i="5"/>
  <c r="AA92" i="5"/>
  <c r="AA91" i="5"/>
  <c r="AA90" i="5"/>
  <c r="AA89" i="5"/>
  <c r="AA88" i="5"/>
  <c r="AA87" i="5"/>
  <c r="AA86" i="5"/>
  <c r="AA85" i="5"/>
  <c r="AA84" i="5"/>
  <c r="AA83" i="5"/>
  <c r="AA82" i="5"/>
  <c r="AA81" i="5"/>
  <c r="AA80" i="5"/>
  <c r="AA79" i="5"/>
  <c r="AA78" i="5"/>
  <c r="AA77" i="5"/>
  <c r="AA76" i="5"/>
  <c r="AA75" i="5"/>
  <c r="AA74" i="5"/>
  <c r="AA73" i="5"/>
  <c r="AA72" i="5"/>
  <c r="AA71" i="5"/>
  <c r="AA70" i="5"/>
  <c r="AA69" i="5"/>
  <c r="AA68" i="5"/>
  <c r="AA67" i="5"/>
  <c r="AA66" i="5"/>
  <c r="AA65" i="5"/>
  <c r="AA64" i="5"/>
  <c r="AA63" i="5"/>
  <c r="AA62" i="5"/>
  <c r="AA61" i="5"/>
  <c r="AA60" i="5"/>
  <c r="AA59" i="5"/>
  <c r="AA58" i="5"/>
  <c r="AA57" i="5"/>
  <c r="AA56" i="5"/>
  <c r="AA55" i="5"/>
  <c r="AA54" i="5"/>
  <c r="AA53" i="5"/>
  <c r="AA52" i="5"/>
  <c r="AA51" i="5"/>
  <c r="AA50" i="5"/>
  <c r="AA49" i="5"/>
  <c r="AA48" i="5"/>
  <c r="AA47" i="5"/>
  <c r="AA46" i="5"/>
  <c r="AA45" i="5"/>
  <c r="AA44" i="5"/>
  <c r="AA43" i="5"/>
  <c r="AA42" i="5"/>
  <c r="AA41" i="5"/>
  <c r="AA40" i="5"/>
  <c r="AA39" i="5"/>
  <c r="AA38" i="5"/>
  <c r="AA37" i="5"/>
  <c r="AA36" i="5"/>
  <c r="AA35" i="5"/>
  <c r="AA34" i="5"/>
  <c r="AA33" i="5"/>
  <c r="AA32" i="5"/>
  <c r="AA31" i="5"/>
  <c r="AA30" i="5"/>
  <c r="AA29" i="5"/>
  <c r="AA28" i="5"/>
  <c r="AA27" i="5"/>
  <c r="AA26" i="5"/>
  <c r="AA25" i="5"/>
  <c r="AA24" i="5"/>
  <c r="AA23" i="5"/>
  <c r="AA22" i="5"/>
  <c r="AA21" i="5"/>
  <c r="AA20" i="5"/>
  <c r="AA19" i="5"/>
  <c r="AA18" i="5"/>
  <c r="AA17" i="5"/>
  <c r="AA16" i="5"/>
  <c r="AA15" i="5"/>
  <c r="AA14" i="5"/>
  <c r="AA13" i="5"/>
  <c r="AA12" i="5"/>
  <c r="AA11" i="5"/>
  <c r="AA10" i="5"/>
  <c r="AA9" i="5"/>
  <c r="AA8" i="5"/>
  <c r="AA7" i="5"/>
  <c r="AA6" i="5"/>
  <c r="AA5" i="5"/>
  <c r="AA4" i="5"/>
  <c r="B10" i="9"/>
  <c r="B9" i="9"/>
  <c r="B8" i="9"/>
  <c r="B7" i="9"/>
  <c r="B6" i="9"/>
  <c r="B5" i="9"/>
</calcChain>
</file>

<file path=xl/sharedStrings.xml><?xml version="1.0" encoding="utf-8"?>
<sst xmlns="http://schemas.openxmlformats.org/spreadsheetml/2006/main" count="17541" uniqueCount="3101">
  <si>
    <t>Supplementary File S4 — Standardized Data-Extraction Form</t>
  </si>
  <si>
    <t>Item</t>
  </si>
  <si>
    <t>Rule</t>
  </si>
  <si>
    <t>Purpose</t>
  </si>
  <si>
    <t>Provide a structured, auditable extraction form keyed by Study ID. Bibliographic metadata are preloaded from the 94-study candidate workbook; substantive study coding remains blank until extracted from full text.</t>
  </si>
  <si>
    <t>Eligibility linkage</t>
  </si>
  <si>
    <t>S2 eligibility/QA status is copied into Study_Register only as a workflow control. Rows that are excluded or unresolved must not be treated as final included studies until resolved.</t>
  </si>
  <si>
    <t>Reviewer workflow</t>
  </si>
  <si>
    <t>Reviewer 1 performs initial extraction. Reviewer 2 independently verifies critical classification, evaluation, evidence-maturity, and TRL variables. Disagreements are documented and reconciled separately.</t>
  </si>
  <si>
    <t>Missing values</t>
  </si>
  <si>
    <t>Use NR = not reported; NA = not applicable; UNC = unresolved/ambiguous. Do not infer ordinary missing technical/contextual data.</t>
  </si>
  <si>
    <t>Multi-label fields</t>
  </si>
  <si>
    <t>Primary codes use controlled dropdowns. Additional codes are entered as semicolon-separated S3 codes (for example ED2; ED4).</t>
  </si>
  <si>
    <t>Evidence maturity</t>
  </si>
  <si>
    <t>Complete EM Applicability first. Assign EM0–EM7 only when the maturity of a demonstrable technology/system/intervention can meaningfully be assessed.</t>
  </si>
  <si>
    <t>TRL</t>
  </si>
  <si>
    <t>Author-reported TRL is copied verbatim with source location. Reviewer-inferred TRL lower/upper bounds are separate and require justification and scope (Component/Subsystem or Integrated System).</t>
  </si>
  <si>
    <t>Traceability</t>
  </si>
  <si>
    <t>For important coding decisions, record source page/section and a concise evidence statement. This is mandatory for EM and reviewer-inferred TRL.</t>
  </si>
  <si>
    <t>Preloaded fields</t>
  </si>
  <si>
    <t>Study ID, authors, year, title, keywords, abstract, DOI, source URL, venue, source databases, preliminary domain, S2 eligibility status, and Reviewer-1 QA result where available.</t>
  </si>
  <si>
    <t>Not prefilled</t>
  </si>
  <si>
    <t>Application/enterprise context, technical characteristics, final classification codes, evaluation details, findings, limitations, gaps, EM, and TRL are intentionally not fabricated.</t>
  </si>
  <si>
    <t>Companion file</t>
  </si>
  <si>
    <t>Use Supplementary File S3 as the coding authority for all controlled codes and decision rules.</t>
  </si>
  <si>
    <t>Controlled Vocabularies for S4 Data Validation — Codes Defined in Supplementary File S3</t>
  </si>
  <si>
    <t>ED code</t>
  </si>
  <si>
    <t>RT code</t>
  </si>
  <si>
    <t>CT code</t>
  </si>
  <si>
    <t>LC code</t>
  </si>
  <si>
    <t>BC code</t>
  </si>
  <si>
    <t>EV code</t>
  </si>
  <si>
    <t>EM code</t>
  </si>
  <si>
    <t>Yes/No</t>
  </si>
  <si>
    <t>Applicability</t>
  </si>
  <si>
    <t>TRL scope</t>
  </si>
  <si>
    <t>Extraction status</t>
  </si>
  <si>
    <t>Publication type</t>
  </si>
  <si>
    <t>Missing code</t>
  </si>
  <si>
    <t>Metric code</t>
  </si>
  <si>
    <t>Metric</t>
  </si>
  <si>
    <t>ED1</t>
  </si>
  <si>
    <t>RT1</t>
  </si>
  <si>
    <t>CT1</t>
  </si>
  <si>
    <t>LC1</t>
  </si>
  <si>
    <t>BC1</t>
  </si>
  <si>
    <t>EV0</t>
  </si>
  <si>
    <t>EM0</t>
  </si>
  <si>
    <t>Yes</t>
  </si>
  <si>
    <t>Applicable</t>
  </si>
  <si>
    <t>Component/Subsystem</t>
  </si>
  <si>
    <t>Not started</t>
  </si>
  <si>
    <t>Journal article</t>
  </si>
  <si>
    <t>NR</t>
  </si>
  <si>
    <t>M01</t>
  </si>
  <si>
    <t>Throughput</t>
  </si>
  <si>
    <t>ED2</t>
  </si>
  <si>
    <t>RT2</t>
  </si>
  <si>
    <t>CT2</t>
  </si>
  <si>
    <t>LC2</t>
  </si>
  <si>
    <t>BC2</t>
  </si>
  <si>
    <t>EV1</t>
  </si>
  <si>
    <t>EM1</t>
  </si>
  <si>
    <t>No</t>
  </si>
  <si>
    <t>Not applicable</t>
  </si>
  <si>
    <t>Integrated System</t>
  </si>
  <si>
    <t>In progress</t>
  </si>
  <si>
    <t>Conference paper</t>
  </si>
  <si>
    <t>NA</t>
  </si>
  <si>
    <t>M02</t>
  </si>
  <si>
    <t>Latency</t>
  </si>
  <si>
    <t>ED3</t>
  </si>
  <si>
    <t>RT3</t>
  </si>
  <si>
    <t>CT3</t>
  </si>
  <si>
    <t>LC3</t>
  </si>
  <si>
    <t>BC3</t>
  </si>
  <si>
    <t>EV2</t>
  </si>
  <si>
    <t>EM2</t>
  </si>
  <si>
    <t>UNC</t>
  </si>
  <si>
    <t>Complete</t>
  </si>
  <si>
    <t>Book chapter</t>
  </si>
  <si>
    <t>M03</t>
  </si>
  <si>
    <t>Confirmation time</t>
  </si>
  <si>
    <t>ED4</t>
  </si>
  <si>
    <t>RT4</t>
  </si>
  <si>
    <t>CT4</t>
  </si>
  <si>
    <t>LC4</t>
  </si>
  <si>
    <t>BC4</t>
  </si>
  <si>
    <t>EV3</t>
  </si>
  <si>
    <t>EM3</t>
  </si>
  <si>
    <t>Hold</t>
  </si>
  <si>
    <t>Other eligible</t>
  </si>
  <si>
    <t>M04</t>
  </si>
  <si>
    <t>Transaction cost</t>
  </si>
  <si>
    <t>RT5</t>
  </si>
  <si>
    <t>CT5</t>
  </si>
  <si>
    <t>LC5</t>
  </si>
  <si>
    <t>BC5</t>
  </si>
  <si>
    <t>EV4</t>
  </si>
  <si>
    <t>EM4</t>
  </si>
  <si>
    <t>Needs review</t>
  </si>
  <si>
    <t>M05</t>
  </si>
  <si>
    <t>Resource consumption</t>
  </si>
  <si>
    <t>RT6</t>
  </si>
  <si>
    <t>CT6</t>
  </si>
  <si>
    <t>LC6</t>
  </si>
  <si>
    <t>BC6</t>
  </si>
  <si>
    <t>EV5</t>
  </si>
  <si>
    <t>EM5</t>
  </si>
  <si>
    <t>M06</t>
  </si>
  <si>
    <t>Storage overhead</t>
  </si>
  <si>
    <t>CT7</t>
  </si>
  <si>
    <t>LC7</t>
  </si>
  <si>
    <t>BC7</t>
  </si>
  <si>
    <t>EV6</t>
  </si>
  <si>
    <t>EM6</t>
  </si>
  <si>
    <t>M07</t>
  </si>
  <si>
    <t>Network overhead</t>
  </si>
  <si>
    <t>CT8</t>
  </si>
  <si>
    <t>LC8</t>
  </si>
  <si>
    <t>BC8</t>
  </si>
  <si>
    <t>EV7</t>
  </si>
  <si>
    <t>EM7</t>
  </si>
  <si>
    <t>M08</t>
  </si>
  <si>
    <t>Scalability</t>
  </si>
  <si>
    <t>CT9</t>
  </si>
  <si>
    <t>BC9</t>
  </si>
  <si>
    <t>EV8</t>
  </si>
  <si>
    <t>M09</t>
  </si>
  <si>
    <t>Security effectiveness</t>
  </si>
  <si>
    <t>CT10</t>
  </si>
  <si>
    <t>BC10</t>
  </si>
  <si>
    <t>EV9</t>
  </si>
  <si>
    <t>M10</t>
  </si>
  <si>
    <t>Precision/recall/F1/false-positive rate</t>
  </si>
  <si>
    <t>CT11</t>
  </si>
  <si>
    <t>BC11</t>
  </si>
  <si>
    <t>EV10</t>
  </si>
  <si>
    <t>M11</t>
  </si>
  <si>
    <t>Reliability</t>
  </si>
  <si>
    <t>CT12</t>
  </si>
  <si>
    <t>BC12</t>
  </si>
  <si>
    <t>EV11</t>
  </si>
  <si>
    <t>M12</t>
  </si>
  <si>
    <t>Availability</t>
  </si>
  <si>
    <t>BC13</t>
  </si>
  <si>
    <t>M13</t>
  </si>
  <si>
    <t>Fault tolerance</t>
  </si>
  <si>
    <t>M14</t>
  </si>
  <si>
    <t>Privacy</t>
  </si>
  <si>
    <t>M15</t>
  </si>
  <si>
    <t>Maintainability</t>
  </si>
  <si>
    <t>M16</t>
  </si>
  <si>
    <t>Usability</t>
  </si>
  <si>
    <t>M17</t>
  </si>
  <si>
    <t>Interoperability</t>
  </si>
  <si>
    <t>M18</t>
  </si>
  <si>
    <t>Deployment effort</t>
  </si>
  <si>
    <t>M19</t>
  </si>
  <si>
    <t>Economic cost</t>
  </si>
  <si>
    <t>M20</t>
  </si>
  <si>
    <t>User or stakeholder acceptance</t>
  </si>
  <si>
    <t>M21</t>
  </si>
  <si>
    <t>Technology readiness</t>
  </si>
  <si>
    <t>Study Register and Extraction-Control Status</t>
  </si>
  <si>
    <t>Study ID</t>
  </si>
  <si>
    <t>Authors</t>
  </si>
  <si>
    <t>Year</t>
  </si>
  <si>
    <t>Title</t>
  </si>
  <si>
    <t>DOI</t>
  </si>
  <si>
    <t>Source URL</t>
  </si>
  <si>
    <t>Venue</t>
  </si>
  <si>
    <t>Source databases</t>
  </si>
  <si>
    <t>Keywords</t>
  </si>
  <si>
    <t>Abstract</t>
  </si>
  <si>
    <t>Preliminary domain (candidate set)</t>
  </si>
  <si>
    <t>S2 eligibility status</t>
  </si>
  <si>
    <t>S2 eligibility note</t>
  </si>
  <si>
    <t>R1 QA score</t>
  </si>
  <si>
    <t>R1 quality band</t>
  </si>
  <si>
    <t>Extraction allowed?</t>
  </si>
  <si>
    <t>PS001</t>
  </si>
  <si>
    <t>Tien Tuan Anh Dinh; Ji Wang; Gang Chen; Rui Liu; Beng Chin Ooi; Kian-Lee Tan</t>
  </si>
  <si>
    <t>BLOCKBENCH: A Framework for Analyzing Private Blockchains</t>
  </si>
  <si>
    <t>10.1145/3035918.3064033</t>
  </si>
  <si>
    <t>https://doi.org/10.1145/3035918.3064033</t>
  </si>
  <si>
    <t>Proceedings of the 2017 ACM International Conference on Management of Data (SIGMOD 2017)</t>
  </si>
  <si>
    <t>Benchmark literature verification</t>
  </si>
  <si>
    <t>Not reported in source metadata</t>
  </si>
  <si>
    <t>Blockchain technologies are taking the world by storm. Public blockchains, such as Bitcoin and Ethereum, enable secure
peer-to-peer applications like crypto-currency or smart contracts. Their security and performance are well studied.
This paper concerns recent private blockchain systems designed with stronger security (trust) assumption and performance requirement. These systems target and aim to disrupt applications which have so far been implemented on top
of database systems, for example banking, finance and trading applications. Multiple platforms for private blockchains
are being actively developed and fine tuned. However, there
is a clear lack of a systematic framework with which different
systems can be analyzed and compared against each other.
Such a framework can be used to assess blockchains’ viability as another distributed data processing platform, while
helping developers to identify bottlenecks and accordingly
improve their platforms.
In this paper, we first describe BLOCKBENCH, the first
evaluation framework for analyzing private blockchains. It
serves as a fair means of comparison for different platforms
and enables deeper understanding of different system design choices. Any private blockchain can be integrated to
BLOCKBENCH via simple APIs and benchmarked against
workloads that are based on real and synthetic smart contracts. BLOCKBENCH measures overall and componentwise performance in terms of throughput, latency, scalability and fault-tolerance. Next, we use BLOCKBENCH
to conduct comprehensive evaluation of three major private
blockchains: Ethereum, Parity and Hyperledger Fabric. The
results demonstrate that these systems are still far from displacing current database systems in traditional data processing workloads. Furthermore, there are gaps in performance
among the three systems which are attributed to the design
choices at different layers of the blockchain’s software stack.
We have released BLOCKBENCH for public use.</t>
  </si>
  <si>
    <t>Scalability &amp; performance</t>
  </si>
  <si>
    <t>Eligible primary study</t>
  </si>
  <si>
    <t>Primary empirical blockchain benchmarking study.</t>
  </si>
  <si>
    <t>High</t>
  </si>
  <si>
    <t>PS002</t>
  </si>
  <si>
    <t>Elli Androulaki et al.</t>
  </si>
  <si>
    <t>Hyperledger Fabric: A Distributed Operating System for Permissioned Blockchains</t>
  </si>
  <si>
    <t>10.1145/3190508.3190538</t>
  </si>
  <si>
    <t>https://doi.org/10.1145/3190508.3190538</t>
  </si>
  <si>
    <t>Proceedings of the Thirteenth EuroSys Conference (EuroSys 2018)</t>
  </si>
  <si>
    <t>Fabric is a modular and extensible open-source system for deploying
and operating permissioned blockchains and one of the Hyperledger
projects hosted by the Linux Foundation (www.hyperledger.org).
Fabric is the first truly extensible blockchain system for running
distributed applications. It supports modular consensus protocols,
which allows the system to be tailored to particular use cases and
trust models. Fabric is also the first blockchain system that runs
distributed applications written in standard, general-purpose programming languages, without systemic dependency on a native
cryptocurrency. This stands in sharp contrast to existing blockchain platforms that require “smart-contracts” to be written in
domain-specific languages or rely on a cryptocurrency. Fabric realizes the permissioned model using a portable notion of membership,
which may be integrated with industry-standard identity management. To support such flexibility, Fabric introduces an entirely novel
blockchain design and revamps the way blockchains cope with nondeterminism, resource exhaustion, and performance attacks.
This paper describes Fabric, its architecture, the rationale behind various design decisions, its most prominent implementation
aspects, as well as its distributed application programming model.
We further evaluate Fabric by implementing and benchmarking
a Bitcoin-inspired digital currency. We show that Fabric achieves
end-to-end throughput of more than 3500 transactions per second
in certain popular deployment configurations, with sub-second
latency, scaling well to over 100 peers.</t>
  </si>
  <si>
    <t>Primary architecture and performance-evaluation study of a permissioned blockchain platform.</t>
  </si>
  <si>
    <t>PS003</t>
  </si>
  <si>
    <t>Christian Gorenflo; Stephen Lee; Lukasz Golab; Srinivasan Keshav</t>
  </si>
  <si>
    <t>FastFabric: Scaling Hyperledger Fabric to 20,000 Transactions per Second</t>
  </si>
  <si>
    <t>10.1109/bloc.2019.8751452</t>
  </si>
  <si>
    <t>https://doi.org/10.1109/BLOC.2019.8751452</t>
  </si>
  <si>
    <t>2019 IEEE International Conference on Blockchain and Cryptocurrency (ICBC)</t>
  </si>
  <si>
    <t>46 Information and Computing Sciences; 3301 Architecture; 33 Built Environment and Design</t>
  </si>
  <si>
    <t>Blockchain technologies are expected to make a
significant impact on a variety of industries. However, one
issue holding them back is their limited transaction throughput,
especially compared to established solutions such as distributed
database systems. In this paper, we re-architect a modern
permissioned blockchain system, Hyperledger Fabric, to increase transaction throughput from 3,000 to 20,000 transactions
per second. We focus on performance bottlenecks beyond the
consensus mechanism, and we propose architectural changes
that reduce computation and I/O overhead during transaction
ordering and validation to greatly improve throughput. Notably,
our optimizations are fully plug-and-play and do not require any
interface changes to Hyperledger Fabric.</t>
  </si>
  <si>
    <t>Primary system re-engineering and performance-evaluation study.</t>
  </si>
  <si>
    <t>PS004</t>
  </si>
  <si>
    <t>A. Asheralieva; D. Niyato</t>
  </si>
  <si>
    <t>Reputation-Based Coalition Formation for Secure Self-Organized and Scalable Sharding in IoT Blockchains With Mobile-Edge Computing</t>
  </si>
  <si>
    <t>10.1109/jiot.2020.3002969</t>
  </si>
  <si>
    <t>https://doi.org/10.1109/jiot.2020.3002969</t>
  </si>
  <si>
    <t>IEEE Internet of Things Journal</t>
  </si>
  <si>
    <t>IEEE Xplore 2026</t>
  </si>
  <si>
    <t>Blockchains; edge computing; game theory; Internet of Things (IoT); reputation management; security; self-organization; trust; Blockchain; Internet of Things; Throughput; Peer-to-peer computing; Task analysis; Games</t>
  </si>
  <si>
    <t>We propose a fully distributed system architecture and a scalable self-organized sharding scheme for the Internet-of-Things (IoT) blockchains that can guarantee system security without reducing its throughput. In the system, the IoT devices are supported by the set of blockchain peers that gather, process, verify, and store the blocks of IoT transaction records. To support communications among peers, the system is realized in the mobile-edge computing (MEC) network. We design a new consensus mechanism in which each peer votes on the outputs of each block task in its shard. The peer’s voting power is computed from its reputation, i.e., trustworthiness in the system. By adopting a reputation-based coalitional game model, we formulate a novel self-organized shard formation algorithm in which each peer acts as a rational player aiming to maximize both its payoff and the coalitional reputation. We prove that the algorithm converges to the reputation-based stable shard structure, i.e., a structure that maximizes the payoff and coalitional reputation of each peer without negatively affecting other peers. The algorithm shows a superior performance in terms of system security and throughput when compared to state-of-the-art sharding schemes and reputation-based blockchains.</t>
  </si>
  <si>
    <t>Primary analytical and simulation-based blockchain sharding study.</t>
  </si>
  <si>
    <t>PS005</t>
  </si>
  <si>
    <t>P. Zhang; M. Zhou; Q. Zhao; A. Abusorrah; O. O. Bamasag</t>
  </si>
  <si>
    <t>A Performance-Optimized Consensus Mechanism for Consortium Blockchains Consisting of Trust-Varying Nodes</t>
  </si>
  <si>
    <t>10.1109/tnse.2021.3079415</t>
  </si>
  <si>
    <t>https://doi.org/10.1109/tnse.2021.3079415</t>
  </si>
  <si>
    <t>IEEE Transactions on Network Science and Engineering</t>
  </si>
  <si>
    <t>Blockchain; trust; node classification; consensus mechanism; Peer-to-peer computing; Security; Fault tolerant systems; Fault tolerance; Throughput; Delays</t>
  </si>
  <si>
    <t>Blockchain technology has wide applications in the fields of finance, public welfare, and the Internet of Things. Owing to a blockchain's characteristics, which include decentralization, openness, autonomy, immutability, and anonymity, it is difficult to quickly reach a reliable consensus result among its nodes. This work proposes a performance-optimized consensus mechanism based on node classification. Nodes are classified into accounting, validating, and propagating ones based on their trust values. All accounting nodes form an accounting node group, from which one is selected as the current accounting node to package transactions into a block, and the remaining nodes in the accounting node group can be used to validate the block quickly, owing to their high trust values. Validating and propagating nodes are responsible for validating and propagating transactions, respectively. All nodes' trust values are dynamically updated according to their behavior and performance. Corresponding algorithms are designed to realize the proposed consensus mechanism. The experimental results show that the proposed consensus mechanism provides higher throughput, lower consumption, and higher fault tolerance than some popularly used methods, thereby advancing the field of consortium blockchains.</t>
  </si>
  <si>
    <t>Primary consortium-blockchain consensus and experimental evaluation study.</t>
  </si>
  <si>
    <t>PS006</t>
  </si>
  <si>
    <t>Fang M.; Zhang Z.; Jin C.; Zhou A.</t>
  </si>
  <si>
    <t>High-performance smart contracts concurrent execution for permissioned blockchain using SGX</t>
  </si>
  <si>
    <t>10.1109/icde51399.2021.00175</t>
  </si>
  <si>
    <t>https://doi.org/10.1109/icde51399.2021.00175</t>
  </si>
  <si>
    <t>Proceedings - International Conference on Data Engineering</t>
  </si>
  <si>
    <t>Scopus</t>
  </si>
  <si>
    <t>Concurrency; Permissioned blockchain; SGX; Smart contracts</t>
  </si>
  <si>
    <t>Since there are no security concerns such as Sybil attacks, selfish mining, etc., the higher the system throughput, the better for the permissioned blockchain. And with the emergence of consensus algorithms, the throughput rates of permissioned blockchain can be up to thousands of transactions per second. The existing serial execution method for smart contracts becomes a new bottleneck for the system. Due to the lack of mutual trust between nodes, for a batch of smart contracts contained in a block, the traditional two-phase smart contract concurrency approach can only achieve concurrency within a single node, but not the parallel execution of contracts between nodes. In this paper, we propose a new two-phase framework based on trusted hardware Intel SGX, which can avoid the re-execution of all smart contracts on all nodes and improve parallelism between nodes. And consistency between nodes is achieved directly with state replication, rather than by re-executing transactions. We design a pre-execution mechanism for smart contracts in untrusted memory to batch fetch all the state data that a smart contract needs to access to reduce frequent enclave transitions during smart contract execution. Besides, we propose a method that generates a compact read-write set and a data structure named Merkle Forest which can generate the compact Merkle multiproofs for the initial data in untrusted memory in parallel and can quickly verify the correctness of the data passed in the enclave. Finally, we integrate all the techniques proposed in this paper into an open-source system BFT-SMaRt to evaluate our approach in a distributed setting. Experimental results show the efficiency of the proposed methods. © 2021 IEEE.</t>
  </si>
  <si>
    <t>Primary smart-contract execution framework with prototype evaluation.</t>
  </si>
  <si>
    <t>PS007</t>
  </si>
  <si>
    <t>J. Li; Y. Shao; K. Wei; M. Ding; C. Ma; L. Shi; Z. Han; H. V. Poor</t>
  </si>
  <si>
    <t>Blockchain Assisted Decentralized Federated Learning (BLADE-FL): Performance Analysis and Resource Allocation</t>
  </si>
  <si>
    <t>10.1109/tpds.2021.3138848</t>
  </si>
  <si>
    <t>https://doi.org/10.1109/tpds.2021.3138848</t>
  </si>
  <si>
    <t>IEEE Transactions on Parallel and Distributed Systems</t>
  </si>
  <si>
    <t>IEEE Xplore 2026; IEEE Xplore export</t>
  </si>
  <si>
    <t>Federated learning; blockchain; lazy client; computing resource allocation; Blockchains; Training; Servers; Computational modeling; Upper bound; Resource management; Privacy</t>
  </si>
  <si>
    <t>Federated learning (FL), as a distributed machine learning paradigm, promotes personal privacy by local data processing at each client. However, relying on a centralized server for model aggregation, standard FL is vulnerable to server malfunctions, untrustworthy servers, and external attacks. To address these issues, we propose a decentralized FL framework by integrating blockchain into FL, namely, blockchain assisted decentralized federated learning (BLADE-FL). In a round of the proposed BLADE-FL, each client broadcasts its trained model to other clients, aggregates its own model with received ones, and then competes to generate a block before its local training on the next round. We evaluate the learning performance of BLADE-FL, and develop an upper bound on the global loss function. Then we verify that this bound is convex with respect to the number of overall aggregation rounds $K$K, and optimize the computing resource allocation for minimizing the upper bound. We also note that there is a critical problem of training deficiency, caused by lazy clients who plagiarize others’ trained models and add artificial noises to disguise their cheating behaviors. Focusing on this problem, we explore the impact of lazy clients on the learning performance of BLADE-FL, and characterize the relationship among the optimal $K$K, the learning parameters, and the proportion of lazy clients. Based on the MNIST and Fashion-MNIST datasets, we see that the experimental results are consistent with the analytical ones. To be specific, the gap between the developed upper bound and experimental results is lower than $5\%$5%, and the optimized $K$K based on the upper bound can effectively minimize the loss function.</t>
  </si>
  <si>
    <t>Primary blockchain-assisted federated-learning framework with analytical and empirical evaluation.</t>
  </si>
  <si>
    <t>PS008</t>
  </si>
  <si>
    <t>Y. Liu; X. Xing; H. Cheng; D. Li; Z. Guan; J. Liu; Q. Wu</t>
  </si>
  <si>
    <t>A Flexible Sharding Blockchain Protocol Based on Cross-Shard Byzantine Fault Tolerance</t>
  </si>
  <si>
    <t>10.1109/tifs.2023.3266628</t>
  </si>
  <si>
    <t>https://doi.org/10.1109/tifs.2023.3266628</t>
  </si>
  <si>
    <t>IEEE Transactions on Information Forensics and Security</t>
  </si>
  <si>
    <t>Sharding blockchain; consensus; scalability; Byzantine fault tolerance; cross-shard transaction processing; Blockchains; Sharding; Protocols; Security; Parallel processing; Delays</t>
  </si>
  <si>
    <t>Sharding technology is crucial to achieve decentralization, scalability, and security simultaneously. However, existing sharding blockchain schemes suffer from high cross-shard transaction processing latency, low parallelism, incomplete cross-shard views of shard members, centralized reconfiguration, high overhead of randomness generation, and lack of formalized protocol design and security proofs. This paper proposes a flexible sharding (FS) blockchain protocol. First, a cross-shard Byzantine fault tolerance (CSBFT) protocol is designed to cut down confirmation delays when processing cross-shard transactions. Second, we utilize multiple parallel CSBFT where each node acts not only as a leader but also as multiple ordinary members to break through the performance bottleneck caused by a leader’s bandwidth and computing power, improving the system parallelism. Third, a cross-shard transaction censorship attack is proposed, and a cross-shard view-change mechanism is designed to defend against it. Fourth, a secure and truly decentralized shard reconfiguration method combining proof-of-work, proof-of-possession, and intra-shard BFT is designed. Fifth, we utilize a formal protocol design method and give strict security proof for each protocol. Finally, we evaluate FS from both theoretical and practical perspectives. FS is proven to have lower communication and computation complexity and achieve considerable performance.</t>
  </si>
  <si>
    <t>Primary sharding-protocol study with formal analysis and simulation.</t>
  </si>
  <si>
    <t>PS009</t>
  </si>
  <si>
    <t>W. Liu; Z. Wan; J. Shao; Y. Yu</t>
  </si>
  <si>
    <t>HyperMaze: Towards Privacy-Preserving and Scalable Permissioned Blockchain</t>
  </si>
  <si>
    <t>10.1109/tdsc.2021.3133840</t>
  </si>
  <si>
    <t>https://doi.org/10.1109/tdsc.2021.3133840</t>
  </si>
  <si>
    <t>IEEE Transactions on Dependable and Secure Computing</t>
  </si>
  <si>
    <t>Blockchain; scalability; privacy; zero-knowledge proof; Blockchains; Throughput; Security; Zero knowledge proof; Systems architecture</t>
  </si>
  <si>
    <t>Blockchain systems face two emergent problems, namely scalability and privacy, each of which has been addressed independently. However, how to achieve privacy and scalability simultaneously remains a challenging problem for blockchains. In this article, we propose a privacy-preserving and scalable permissioned blockchain system called HyperMaze employing the zero knowledge proof technique and a hierarchical system architecture. It gains scalability by adopting a hierarchy of multiple blockchains that processes transactions in parallel. We design an ID-based dual-balance account model where an identity-based account is associated with two types of balances–a plaintext balance and a private (zero-knowledge) balance. Furthermore, we design a two-phase cross-chain transaction mechanism (2PXT) to achieve transaction privacy for both intra-chain and cross-chain transactions. We rigorously formulate a security model for HyperMaze under the universal composability framework, and then provide a simulation-based security proof. A prototype of HyperMaze is implemented and a series of experiments are conducted over up to 2,600 nodes to evaluate its performance. The experimental results show that a 4-level, (7,10)-threshold, 6-ary HyperMaze system can reach 19,440 TPS and the transaction confirmation latency is only 9.5 seconds. To our best knowledge, HyperMaze is the first high-throughput privacy-preserving blockchain whose throughput is over 19,000 TPS.</t>
  </si>
  <si>
    <t>Primary permissioned-blockchain design with formal security proof and prototype evaluation.</t>
  </si>
  <si>
    <t>PS010</t>
  </si>
  <si>
    <t>X. Chen; G. Xue; R. Yu; H. Wu; D. Wang</t>
  </si>
  <si>
    <t>A Vehicular Trust Blockchain Framework With Scalable Byzantine Consensus</t>
  </si>
  <si>
    <t>10.1109/tmc.2023.3294968</t>
  </si>
  <si>
    <t>https://doi.org/10.1109/tmc.2023.3294968</t>
  </si>
  <si>
    <t>IEEE Transactions on Mobile Computing</t>
  </si>
  <si>
    <t>Trust management; blockchain; multi-shard consensus; Byzantine fault-tolerance; TEE; Blockchains; Peer-to-peer computing; Scalability; Computational modeling; Consensus protocol; Throughput</t>
  </si>
  <si>
    <t>The maturing blockchain technology has gradually promoted decentralized data storage from cryptocurrencies to other applications, such as trust management, resulting in new challenges based on specific scenarios. Taking the mobile trust blockchain within a vehicular network as an example, many users require the system to process massive traffic information for accurate trust assessment, preserve data reliably, and respond quickly. While existing vehicular blockchain systems ensure immutability, transparency, and traceability, they are limited in terms of scalability, performance, and security. To address these issues, this paper proposes a novel decentralized vehicle trust management solution and a well-matched blockchain framework that provides both security and performance. The paper primarily addresses two issues: i) To provide accurate trust evaluation, the trust model adopts a decentralized and peer-review-based trust computation method secured by trusted execution environments (TEEs). ii) To ensure reliable trust management, a multi-shard blockchain framework is developed with a novel hierarchical Byzantine consensus protocol, improving efficiency and security while providing high scalability and performance. The proposed scheme combines the decentralized trust model with a multi-shard blockchain, preserving trust information through a hierarchical consensus protocol. Finally, real-world experiments are conducted by developing a testbed deployed on both local and cloud servers for performance measurements.</t>
  </si>
  <si>
    <t>Primary blockchain framework with local/cloud testbed evaluation.</t>
  </si>
  <si>
    <t>PS011</t>
  </si>
  <si>
    <t>A. Liu; Y. Liu; Q. Wu; B. Zhao; D. Li; Y. Lu; R. Lu; W. Susilo</t>
  </si>
  <si>
    <t>CHERUBIM: A Secure and Highly Parallel Cross-Shard Consensus Using Quadruple Pipelined Two-Phase Commit for Sharding Blockchains</t>
  </si>
  <si>
    <t>10.1109/tifs.2024.3358990</t>
  </si>
  <si>
    <t>https://doi.org/10.1109/tifs.2024.3358990</t>
  </si>
  <si>
    <t>Consensus; pipeline; two-phase commit; Byzantine fault tolerance; sharding blockchain; Blockchains; Sharding; Protocols; Throughput; Complexity theory; Scalability; Relays</t>
  </si>
  <si>
    <t>Due to the promising scalability property, sharding technology has gained widespread attention. It improves the transaction throughput of blockchain systems but also introduces cross-shard transactions. Current two-phase commit (2PC) protocols process different cross-shard transactions sequentially, resulting in significant system overhead and low throughput. Besides, current sharding blockchains rely on Byzantine fault tolerance (BFT) as a black box, lacking specific designs to efficiently handle cross-shard proposals. Moreover, cross-shard communication complexity is high, and transaction processing parallelism is low. In this paper, we first propose P-2PC, a general framework to process cross-shard transactions of different phases in a pipelined way, suitable for most sharding blockchains. Further, we design Cherubim with improved quadruple 2PC, 4P-2PC. By combining P-2PC with an intra-shard pipelined BFT, 4P-2PC achieves both intra-shard and cross-shard pipelined processing. Combined with a newly designed batch processing method, each shard processes 4 transaction batches simultaneously through 1 round of calculation and communication, compared to 4 rounds in previous work. In particular, Cherubim seamlessly integrates a multi-signature algorithm supporting further aggregation, reducing communication complexity. Furthermore, we evaluate our work through theoretical analysis and implementation, proving that Cherubim has a communication complexity linear to the node number. We also propose horizontal and vertical consensus parallelism degrees to evaluate the parallelism ability. Compared to the state-of-the-art solutions, the evaluation demonstrates that Cherubim achieves a transaction throughput improvement of at least  $2.28 \times $ .</t>
  </si>
  <si>
    <t>Primary cross-shard consensus study with formal and simulation-based evaluation.</t>
  </si>
  <si>
    <t>PS012</t>
  </si>
  <si>
    <t>Xian D.; Wei X.</t>
  </si>
  <si>
    <t>ICOE: A Lightweight Group-Consensus-Based Off-Chain Execution Model for Smart Contract-Based Industrial Applications</t>
  </si>
  <si>
    <t>10.1109/tii.2023.3282319</t>
  </si>
  <si>
    <t>https://doi.org/10.1109/tii.2023.3282319</t>
  </si>
  <si>
    <t>IEEE Transactions on Industrial Informatics</t>
  </si>
  <si>
    <t>Blockchain; industrial applications; off-chain; smart contract (SC); transaction</t>
  </si>
  <si>
    <t>Programmable smart contracts facilitate the application of blockchain to many areas of industry, e.g., supply chains, energy, and healthcare. The off-chain execution model for blockchain smart contracts is a promising approach to achieve scalability for industrial applications, which executes each smart contract in one of the small-scale consensus groups. However, previous work based on such a model cannot efficiently handle cross-group contract transactions that involve multiple cross-group invocations between smart contracts because of the heavyweight state synchronization and repeated executions. In this article, we propose interactive consensus-based off-chain execution (ICOE), a lightweight group-consensus-based off-chain execution model, for cross-group contract transactions without the need of state synchronization and duplicate executions and also prove its correctness. The key novelty of our ICOE is to let the invoked smart contract only executed in its residing group and only return the execution result to the invoking smart contract while leveraging the two-phase commit protocol to guarantee consistent commits across multiple groups within the same invoking smart contract transaction. We implement ICOE and the extensive experimental results show that our ICOE achieves a 14× improvement of throughput on average compared with the state-of-the-art model.  © 2005-2012 IEEE.</t>
  </si>
  <si>
    <t>Primary off-chain smart-contract execution model with physical-server implementation.</t>
  </si>
  <si>
    <t>PS013</t>
  </si>
  <si>
    <t>Bandara, Eranga; Liang, Xueping; Foytik, Peter; Shetty, Sachin; Mukkamala, Ravi; Rahman, Abdul; Ranasinghe, Nalin; De Zoysa, Kasun; Ng, Wee Keong</t>
  </si>
  <si>
    <t>Lightweight, geo-scalable deterministic blockchain design for 5G networks sliced applications with hierarchical CFT/BFT consensus groups, IPFS and novel hardware design</t>
  </si>
  <si>
    <t>10.1016/j.iot.2024.101077</t>
  </si>
  <si>
    <t>https://doi.org/10.1016/j.iot.2024.101077</t>
  </si>
  <si>
    <t>INTERNET OF THINGS</t>
  </si>
  <si>
    <t>Web of Science</t>
  </si>
  <si>
    <t>Not reported in the attached/source metadata.</t>
  </si>
  <si>
    <t>5G network sliced applications enable IoT networks to connect billions of heterogeneous objects, providing high -quality service, network capacity, and enhanced throughput. The blockchain systems which attempt to facilitate 5G network -sliced application requirements present several challenges, such as lack of decentralized governance, reduced transaction throughput/scalability, inability to run on resource -constrained devices, lack of support for real-time/concurrent transaction handling, and non -deterministic Byzantine Fault Tolerance (BFT) consensus models. In this paper, we propose a highly scalable, lightweight blockchain system, "Librum," for 5G -based network sliced applications. Librum's lightweight design enables it to run in edge networks, and we have designed low-cost hardware nodes to run the Librum blockchain edge network. The embedded hardware devices contain wifi and cellular modules that allow the Librum blockchain nodes to be run on 5G edge networks. The Librum blockchain, stored on IPFS peer -to -peer decentralized storage, enables any Byzantine node to participate in the network. Librum's Fungible (ERC20) and Non -Fungible Token (ERC721) smart contracts support concurrent transaction execution with a novel "Validate-Execute" blockchain architecture. We incorporated hierarchical consensus groups to run independent blockchain shards (local consensus groups) on different 5G network slices. The shards can run BFT or CFT (Crash Fault Tolerance) consensus models and reach global consensus via core-blockchain nodes in the network based on connectivity requirements. Core blockchain nodes can also run with BFT (e.g., Tendermint) or CFT (e.g., Proof-of-Authority/Kafka) consensus models, eliminating message -passing overhead and achieving BFT with a deterministic consensus model in Geodistributed blockchain networks. Dynamic 5G network slice orchestration and data provenance of network slices are implemented with smart contracts. The proposed Librum blockchain is integrated with FreedomeFi and Magma 5G core -based 5G testbed environments.</t>
  </si>
  <si>
    <t>Primary blockchain system/proof-of-concept with 5G testbed evaluation.</t>
  </si>
  <si>
    <t>PS014</t>
  </si>
  <si>
    <t>V. Deval; V. K. Dwivedi; A. Dixit; A. Norta; S. A. Shah; R. Sharma; D. Draheim</t>
  </si>
  <si>
    <t>Mobile Smart Contracts: Exploring Scalability Challenges and Consensus Mechanisms</t>
  </si>
  <si>
    <t>10.1109/access.2024.3371901</t>
  </si>
  <si>
    <t>https://doi.org/10.1109/access.2024.3371901</t>
  </si>
  <si>
    <t>IEEE Access</t>
  </si>
  <si>
    <t>IEEE Xplore 2026; Web of Science</t>
  </si>
  <si>
    <t>Blockchain; distributed ledger technology; smart contract; scalability; consensus algorithm; proof-of-stake; proof-of-work; peer-to-peer computing; decentralization; Blockchains; Smart contracts; Consensus protocol; Bitcoin; Sharding; Reviews; Proof of Work; Mobile applications</t>
  </si>
  <si>
    <t>Mobile smart contracts (MSCs) are essential to facilitate quick, safe, and decentralized transactions on mobile blockchain networks. Scalable blockchain solutions facilitate the establishment of a mobile blockchain ecosystem characterized by enhanced resilience and adaptability. This encourages an increase in the number of users and, thus, spreads the adoption of blockchain technology in the mobile domain. With the inception of blockchain technology, a wide range of applications use smart contracts due to their high customizability. However, problems with scalability and resource-intensive consensus procedures prevent their general use. Therefore, this work seeks to identify and analyze these constraints by conducting a systematic survey using Kitchenham’s guidelines for available scalable blockchains and consensus methods. Out of a preliminary pool of 2,073 publications, our study, which consists of 25 selected studies, identifies 12 consensus mechanisms and 13 scalable blockchain systems. Our investigation shows that, despite the wide range of techniques, no blockchain solution provides the scalability and lightweight operating requirements to implement smart contracts on mobile devices. This realization draws attention to a significant gap in academic and industry-driven blockchain research that may have implications for creating MSCs. Our findings encourage academics to explore scalable and energy-efficient blockchain technology, targeting creating more approachable smart contracts designed with mobile devices in mind.</t>
  </si>
  <si>
    <t>Exclude from primary-study QA</t>
  </si>
  <si>
    <t>The paper explicitly reports a systematic literature review/survey; under the SMS eligibility rules it is a secondary study (EC5) and should be retained only for snowballing/context.</t>
  </si>
  <si>
    <t>PS015</t>
  </si>
  <si>
    <t>K. Kumar Kondru; S. Rajiakodi</t>
  </si>
  <si>
    <t>RaftOptima: An Optimised Raft With Enhanced Fault Tolerance, and Increased Scalability With Low Latency</t>
  </si>
  <si>
    <t>10.1109/access.2024.3435978</t>
  </si>
  <si>
    <t>https://doi.org/10.1109/access.2024.3435978</t>
  </si>
  <si>
    <t>Raft consensus; aliveness; partial network partitions; scalability; proxy leaders; decreased latency; simulation; Blockchains; Consensus algorithm; Consensus protocol; Throughput; Voting; Clustering algorithms</t>
  </si>
  <si>
    <t>In cloud computing and distributed databases, ensuring strong consistency and system reliability of the leader depends on distributed consensus algorithms such as Raft and Paxos. Raft is particularly appreciated for its simplicity and ease of understanding, making it a go-to choice for contemporary distributed systems. However, it faces challenges in efficiency and reliability, especially during network interruptions and when scaling up. The growing dependence on these consensus protocols for modern applications calls for improvements to address these issues. This paper presents RaftOptima, an advanced version of the Raft algorithm, which incorporates proxy leaders into the system to enhance scalability and introduces robustness against network failures. RaftOptima distributes the tasks of command distribution and gathering responses to proxy leaders, aiming to mitigate Raft’s scalability problems and efficiency bottlenecks. Through simulations and TLA+ verification, RaftOptima showed 60% reduction in latency in configurations with up to 25 servers, highlighting its ability to significantly improve performance. Our improvements also increased the resilience of the Raft algorithm against partial network issues. This adaptation not only enhances Raft’s operational effectiveness, but also its applicability and reliability in distributed systems for modern computing demands, meeting the critical demand for better scalability and liveness.</t>
  </si>
  <si>
    <t>Eligibility adjudication required</t>
  </si>
  <si>
    <t>The contribution modifies generic Raft and evaluates it in a Java simulator/key-value setting. Blockchain is presented mainly as a potential application; adjudicate against IC4 before treating it as a blockchain primary study.</t>
  </si>
  <si>
    <t>PS016</t>
  </si>
  <si>
    <t>X. Chen</t>
  </si>
  <si>
    <t>Scaling Byzantine Fault-Tolerant Consensus With Optimized Shading Scheme</t>
  </si>
  <si>
    <t>10.1109/tii.2023.3303990</t>
  </si>
  <si>
    <t>https://doi.org/10.1109/tii.2023.3303990</t>
  </si>
  <si>
    <t>Blockchain sharding optimization; concurrent Byzantine fault tolerance (BFT); multishard consensus; scalability; Sharding; Protocols; Security; Fault tolerant systems; Fault tolerance; Consensus protocol</t>
  </si>
  <si>
    <t>This article introduces a novel scalable multishard Byzantine fault tolerance (SharBFT) consensus protocol combined with a blockchain sharding optimization scheme. SharBFT builds upon the classic BFT state-machine replication approach and extends it into a hierarchical multishard prototype to enable scalable and concurrent Byzantine consensus. This prototype enhances scalability and bolsters the security of global consistency in comparison to existing protocols. Moreover, SharBFT employs a novel consensus voting mechanism based on the threshold signature scheme, resulting in linear message communication complexity and optimized consensus operations. In additional, SharBFT integrates a sharding optimization model (SOM) to enhance consensus efficiency in dynamic system environments. The proposed SOM aims to minimize the average consensus latency while ensuring security and scalability. This article presents experimental results conducted in a real-world cloud environment, illustrating significantly improved performance.</t>
  </si>
  <si>
    <t>Primary blockchain sharding/BFT study with an implemented SharBFT testbed and cloud-based performance evaluation.</t>
  </si>
  <si>
    <t>PS017</t>
  </si>
  <si>
    <t>Y. Liu; X. Xing; Z. Tong; X. Lin; J. Chen; Z. Guan; Q. Wu; W. Susilo</t>
  </si>
  <si>
    <t>Secure and Scalable Cross-Domain Data Sharing in Zero-Trust Cloud-Edge-End Environment Based on Sharding Blockchain</t>
  </si>
  <si>
    <t>10.1109/tdsc.2023.3313799</t>
  </si>
  <si>
    <t>https://doi.org/10.1109/tdsc.2023.3313799</t>
  </si>
  <si>
    <t>Data sharing; sharding blockchain; cloud-edge-end; zero-trust; access control; Blockchains; Cloud computing; Security; Computer architecture; Protocols; Scalability; Authentication</t>
  </si>
  <si>
    <t>The cloud-edge-end architecture is suitable for many essential scenarios, such as 5G, the Internet of Things (IoT), and mobile edge computing. Under this architecture, cross-domain and cross-layer data sharing is commonly in need. Considering cross-domain data sharing under the zero-trust model, where each entity does not trust the others, existing solutions have certain problems regarding security, fairness, scalability, and efficiency. Aiming at solving these issues, we conduct the following research. First, a new plaintext checkable encryption scheme is constructed, which can be used on lightweight IoT devices to verify the ciphertext validity sent by a data owner. Second, we propose a new multi-domain cloud-edge-end architecture based on sharding blockchains and design a cross-domain data sharing scheme under the partial trust model to achieve security, scalability, and high performance. Third, a cross-domain data sharing scheme under the zero trust model is further designed, which can ensure the fairness of both parties in data sharing. Fourth, we give a formal security definition and analysis of cross-domain data sharing. Fifth, we conduct a detailed theoretical analysis of the protocol and give an in-depth functional test and performance test, including the throughput and latency of data sharing policy registration and execution.</t>
  </si>
  <si>
    <t>Primary sharding-blockchain data-sharing study combining formal security analysis with practical performance testing.</t>
  </si>
  <si>
    <t>PS018</t>
  </si>
  <si>
    <t>J. Xu; Y. Ming; Z. Wu; C. Wang; X. Jia</t>
  </si>
  <si>
    <t>X-Shard: Optimistic Cross-Shard Transaction Processing for Sharding-Based Blockchains</t>
  </si>
  <si>
    <t>10.1109/tpds.2024.3361180</t>
  </si>
  <si>
    <t>https://doi.org/10.1109/tpds.2024.3361180</t>
  </si>
  <si>
    <t>Blockchain scalability; distributed system; optimistic concurrency control; sharding; Blockchains; Throughput; Logic gates; Protocols; Scalability; Resource management</t>
  </si>
  <si>
    <t>Recent advances in cryptocurrencies have sparked significant interest in blockchain technology. However, scalability issues remain a major challenge for wide adoption of blockchains. Sharding is a promising approach to scale blockchains, but existing sharding-based blockchains fail to achieve expected performance gains due to limitations in cross-shard transaction processing. In this paper, we propose X-shard, a blockchain system that optimizes cross-shard transaction processing, achieving high effective throughput and low processing latency. First, we allocate transactions to shards based on historical transaction patterns to minimize cross-shard transactions. Second, we take an optimistic strategy to process cross-shard transactions in parallel as sub-transactions within input shards, thereby accelerating transaction processing. Finally, we employ a cross-shard commit protocol with threshold signatures to reduce communication overhead. We implement and deploy X-shard on Amazon EC2 clusters. Experimental results validate our theoretical analysis and show that as the number of shards increases, X-shard achieves nearly linear scaling in effective throughput and decreases in transaction processing latency.</t>
  </si>
  <si>
    <t>Primary sharding-blockchain system study with an EC2 prototype, real Ethereum transaction data, comparative evaluation, and public code.</t>
  </si>
  <si>
    <t>PS019</t>
  </si>
  <si>
    <t>H. Cheng; Y. Lu; Z. Lu; Q. Tang; Y. Zhang; Z. Zhang</t>
  </si>
  <si>
    <t>$\mathsf {JUMBO}$JUMBO: Fully Asynchronous BFT Consensus Made Truly Scalable</t>
  </si>
  <si>
    <t>10.1109/tdsc.2025.3569608</t>
  </si>
  <si>
    <t>https://doi.org/10.1109/tdsc.2025.3569608</t>
  </si>
  <si>
    <t>Blockchain consensus; byzantine fault tolerance; asynchronous byzantine agreement; Scalability; Throughput; Consensus protocol; Electronic mail; Complexity theory; Costs; Bandwidth; Software; Local area networks; Censorship</t>
  </si>
  <si>
    <t>Recent progresses in asynchronous Byzantine fault-tolerant (BFT) consensus, e.g., $\mathsf {Dumbo}\text {-}\mathsf {NG}$Dumbo-NG (CCS’ 22) and $\mathsf {Tusk}$Tusk (EuroSys’ 22), show promising performance through decoupling transaction dissemination and block agreement. However, when executed with a larger number $n$n of nodes, like several hundreds, they would suffer from significant degradation in performance. Their dominating scalability bottleneck is the huge authenticator complexity: each node has to multicast $\mathcal {O}(n)$O(n) quorum certificates (QCs) and subsequently verify them for each block. This paper systematically investigates and resolves the above scalability issue. We first propose a signature-free asynchronous BFT consensus $\mathsf {FIN}\text {-}\mathsf {NG}$FIN-NG that adapts a recent signature-free asynchronous common subset protocol FIN (CCS’ 23) into the state-of-the-art framework of concurrent broadcast and agreement. The liveness of $\mathsf {FIN}\text {-}\mathsf {NG}$FIN-NG relies on our non-trivial redesign of FIN’s multi-valued validated Byzantine agreement towards achieving optimal quality. $\mathsf {FIN}\text {-}\mathsf {NG}$FIN-NG greatly improves the performance of FIN and already outperforms $\mathsf {Dumbo}\text {-}\mathsf {NG}$Dumbo-NG in most deployment settings. To further overcome the scalability limit of $\mathsf {FIN}\text {-}\mathsf {NG}$FIN-NG due to $\mathcal {O}(n^{3})$O(n3) messages, we propose $\mathsf {JUMBO}$JUMBO, a scalable instantiation of $\mathsf {Dumbo}\text {-}\mathsf {NG}$Dumbo-NG, with only $\mathcal {O}(n^{2})$O(n2) complexities for both authenticators and messages. We use various aggregation and dispersal techniques for QCs to significantly reduce the authenticator complexity of original $\mathsf {Dumbo}\text {-}\mathsf {NG}$Dumbo-NG implementations by up to $\mathcal {O}(n^{2})$O(n2) orders. Finally, we implement our designs in Golang and experimentally demonstrated their enhanced scalability with hundreds of Amazon’s AWS instances. $\mathsf {JUMBO}$JUMBO and FIN-NG significantly outperform the state-of-the-art in (nearly) all deployment settings. Especially, when $n\ge$n≥196, $\mathsf {JUMBO}$JUMBO can attain a throughput that is more than 4× that of FIN and $\mathsf {Dumbo}\text {-}\mathsf {NG}$Dumbo-NG.</t>
  </si>
  <si>
    <t>Primary blockchain-consensus study with formal protocol analysis, open-source implementations, and large-scale AWS experiments.</t>
  </si>
  <si>
    <t>PS020</t>
  </si>
  <si>
    <t>W. Ni; A. Asheralieva; X. Wei; C. Maple</t>
  </si>
  <si>
    <t>A Robust Shard Inspection Framework With Efficient Throughput and Energy Consumption for Secure Geolocation-Based Sharded Blockchains</t>
  </si>
  <si>
    <t>10.1109/jiot.2025.3608201</t>
  </si>
  <si>
    <t>https://doi.org/10.1109/jiot.2025.3608201</t>
  </si>
  <si>
    <t>Blockchain; Internet of Things (IoT); optimization; resource management; security; sharding; Inspection; Blockchains; Internet of Things; Delays; Peer-to-peer computing; Throughput; Geology; Energy consumption</t>
  </si>
  <si>
    <t>In sharded blockchains, peers are divided into smaller groups (shards) that generate and verify blocks in parallel, offering enhanced throughput and reduced delays. These properties make sharded blockchains a promising solution for secure data management in Internet of Things (IoT) systems. Particularly, geolocation-based sharded blockchain assign geographically proximate peers to the same shard, enabling faster IoT transaction processing. Yet, peers in each shard can easily collude to falsely accept/reject blocks. To resolve this issue, in this article, we propose a robust reputation-based shard inspection framework. The framework adopts the shard inspection mechanism where a group of inspectors selected from the most reputable peers randomly verify blocks in each shard. This enables avoiding collusion attacks and enhancing the security of each shard. However, additional block verifications during the inspection process can incur significant block delays and energy overheads. To reduce these overheads, we formulate an optimization problem that jointly determines the number of inspectors and the inspection interval to maximize the system utility, which is proportional to the blockchain throughput and energy consumption. We then develop a distributed algorithm that enables dividing the optimization problem into subproblems solvable independently by each shard. Experimental results show that our framework can maximize the system utility, while maintaining high levels of security in each shard.</t>
  </si>
  <si>
    <t>Primary blockchain security/scalability study with analytical optimization and extensive simulation-based validation.</t>
  </si>
  <si>
    <t>PS021</t>
  </si>
  <si>
    <t>W. Yang; W. Chen; L. Xue; W. Zou; L. Huang</t>
  </si>
  <si>
    <t>EZchain: A Secure Scalable Blockchain Protocol via Passive Sharding</t>
  </si>
  <si>
    <t>10.1109/tdsc.2024.3522342</t>
  </si>
  <si>
    <t>https://doi.org/10.1109/tdsc.2024.3522342</t>
  </si>
  <si>
    <t>Blockchain; distributed systems; distributed consensus; secure transactions; Sharding; Protocols; Security; Blockchains; Costs; Scalability; Bitcoin; Bandwidth; Voting; Throughput</t>
  </si>
  <si>
    <t>Recently, many sharding blockchain protocols have sacrificed some important attributes to improve scalability, and this makes them complicated and insecure. Moreover, achieving a constant (rather than linear) Communication Cost Per Transaction (CCPT) is still a challenge for many sharding protocols. Motivated by this, we present EZchain, a scalable blockchain protocol via “passive sharding” with proven validity and security. We redesign the Value-Centric Blockchains (VCB) framework to achieve the passive sharding that helps EZchain reach higher security than traditional sharding protocols. With fixed initialization parameters, the expected value of EZchain's communication cost reaches a constant level, and it is independent of the network's size. Moreover, the EZchain node's storage cost without beacon chains also approaches a constant and does not change with the increase in the network's size and transactions. Cross-shard transactions, network sharding algorithm, and anti-Sybil attack verification are no longer needed in passive sharding, thus EZchain is very concise and efficient. Our experiment uses a lightweight EZchain prototype and extends the experimental network size up to 100,000 nodes. The evaluation results show that EZchain satisfies all our analyses of its performance (the constant communication and non-beacon storage cost) in large networks. In addition, the comparison experiment shows that ezchain has obvious advantages over the previous protocols in long-term operation and large network environments.</t>
  </si>
  <si>
    <t>Primary scalable-blockchain protocol study with theoretical analysis and repeated large-scale prototype/simulation experiments.</t>
  </si>
  <si>
    <t>PS022</t>
  </si>
  <si>
    <t>H. Chen; R. Zhou; Y. -H. Chan; Z. Jiang; X. Chen; E. C. H. Ngai</t>
  </si>
  <si>
    <t>LiteChain: A Lightweight Blockchain for Verifiable and Scalable Federated Learning in Massive Edge Networks</t>
  </si>
  <si>
    <t>10.1109/tmc.2024.3488746</t>
  </si>
  <si>
    <t>https://doi.org/10.1109/tmc.2024.3488746</t>
  </si>
  <si>
    <t>Edge computing; blockchain; federated learning; privacy preservation; Blockchains; Training; Computational modeling; Servers; Scalability; Mobile computing; Consensus protocol; Standards; Optimization</t>
  </si>
  <si>
    <t>Leveraging blockchain in Federated Learning (FL) emerges as a new paradigm for secure collaborative learning on Massive Edge Networks (MENs). As the scale of MENs increases, it becomes more difficult to implement and manage a blockchain among edge devices due to complex communication topologies, heterogeneous computation capabilities, and limited storage capacities. Moreover, the lack of a standard metric for blockchain security becomes a significant issue. To address these challenges, we propose a lightweight blockchain for verifiable and scalable FL, namely LiteChain, to provide efficient and secure services in MENs. Specifically, we develop a distributed clustering algorithm to reorganize MENs into a two-level structure to improve communication and computing efficiency under security requirements. Moreover, we introduce a Comprehensive Byzantine Fault Tolerance (CBFT) consensus mechanism and a secure update mechanism to ensure the security of model transactions through LiteChain. Our experiments based on Hyperledger Fabric demonstrate that LiteChain presents the lowest end-to-end latency and on-chain storage overheads across various network scales, outperforming the other two benchmarks. In addition, LiteChain exhibits a high level of robustness against replay and data poisoning attacks.</t>
  </si>
  <si>
    <t>Primary blockchain-enabled federated-learning framework with Hyperledger Fabric implementation and security/performance experiments.</t>
  </si>
  <si>
    <t>PS023</t>
  </si>
  <si>
    <t>B. Li; T. Duan; Q. Zhao; Y. Guo; Z. Song; H. Zhang; Z. Li; Y. Sun</t>
  </si>
  <si>
    <t>Performance Modeling of Relay Chain</t>
  </si>
  <si>
    <t>10.1109/tnet.2024.3487935</t>
  </si>
  <si>
    <t>https://doi.org/10.1109/tnet.2024.3487935</t>
  </si>
  <si>
    <t>IEEE Transactions on Networking</t>
  </si>
  <si>
    <t>Blockchain; performance analysis; relay chain; cross-chain transactions; batch arrival and bulk service; modeling; Relays; Blockchains; Fabrics; Bitcoin; Analytical models; Delays; Protocols; Packaging; Mathematical models</t>
  </si>
  <si>
    <t>With the development of blockchain applications, demand for cross-chain technology has been increasing. Relay chain mode is the state-of-the-art and mainstream solution nowadays. However, the relay chain mode suffers from poor performance, which stems from its core facility – the relay chain. Therefore, guiding its improvement and parameters configuration is vital. Currently, there is no specialized performance model of the relay chain. The cross-chain scenario involves receiving transactions from blockchains and uniformly verifying them, while general blockchain models are not applicable for it. Relay chains are characterized by the following features: transaction arrival in batches with uncertain sizes, updating block headers for simplified payment verification (SPV), Byzantine fault tolerance (BFT) type protocol, and different packaging rules. This work first proposes an analytical framework for relay chain performance. It captures the mentioned features by constructing a batch-arrival and bulk-service model. We give a concrete calculation of the relay chain with practical BFT (PBFT) consensus and develop a method to arrive at the computational forms of two essential performance descriptors: system throughput and cross-chain transaction confirmation delay. Through this model, we can judge accurately whether the relay chain is overloaded, and eliminate the overload state by tuning the parameters; and we can evaluate the system performance under different traffic and design parameters. Finally, we verify the model through experiments. With our study, operators can configure the system parameters effectively and improve the relay chain to meet the requirements of practical use.</t>
  </si>
  <si>
    <t>Primary cross-chain performance-modeling study validated experimentally on a Cosmos/Tendermint relay-chain deployment.</t>
  </si>
  <si>
    <t>PS024</t>
  </si>
  <si>
    <t>Liang J.; Yao P.; Chen W.; Hong Z.; Zhang J.; Cai T.; Sun M.; Zheng Z.</t>
  </si>
  <si>
    <t>Sparrow: Expediting Smart Contract Execution for Blockchain Sharding via Inter-Shard Caching</t>
  </si>
  <si>
    <t>10.1109/tpds.2024.3522016</t>
  </si>
  <si>
    <t>https://doi.org/10.1109/tpds.2024.3522016</t>
  </si>
  <si>
    <t>Blockchain; caching; sharding; smart contracts</t>
  </si>
  <si>
    <t>Sharding is a promising solution to scale blockchain by separating the system into multiple shards to process transactions in parallel. However, due to state separation and shard isolation, it is still challenging to efficiently support smart contracts on a blockchain sharding system where smart contracts can interact with each other, involving states maintained by multiple shards. Specifically, existing sharding systems adopt a costly multi-step collaboration mechanism to execute smart contracts, resulting in long latency and low throughput. This article proposes Sparrow, a blockchain sharding protocol achieving one-step execution for smart contracts. To break shard isolation, inspired by non-local hotspot data caching in traditional databases, we propose a new idea of inter-shard caching, allowing a shard to prefetch and cache frequently accessed contract states of other shards. The miner can thus use the inter-shard cache to pre-execute a pending transaction, retrieve all its contract invocations, and commit it to multiple shards in one step. Particularly, we first propose a speculative dispersal cache synchronisation mechanism for efficient and secure cache synchronization across shards in Byzantine environments. Then, we propose a multi-branch exploration mechanism to solve the rollback problem during the optimistic one-step execution of contract invocations with dependencies. We also present a series of conflict resolution mechanisms to decrease the rollback caused by inherent transaction conflicts. We implement prototypes for Sparrow and existing sharding systems, and the evaluation shows that Sparrow improves the throughput by 2.44× and reduces the transaction latency by 30% compared with the existing sharding systems.  © 1990-2012 IEEE.</t>
  </si>
  <si>
    <t>Primary smart-contract sharding study with a Geth-based benchmark prototype and real Ethereum transaction traces.</t>
  </si>
  <si>
    <t>PS025</t>
  </si>
  <si>
    <t>C. Liu; K. Ning; P. T. Mathiopoulos; Z. Xue; G. Han</t>
  </si>
  <si>
    <t>A Novel Dual-Layer Multi-Shard Blockchain Architecture for Vehicle Data Sharing</t>
  </si>
  <si>
    <t>10.1109/tmc.2026.3656500</t>
  </si>
  <si>
    <t>https://doi.org/10.1109/tmc.2026.3656500</t>
  </si>
  <si>
    <t>Internet of Vehicles (IoV); blockchain; data sharing; evolutionary game theory; incentive mechanism; Blockchains; Vehicle dynamics; Scalability; Sharding; Security; Computer architecture; Games; Costs; Consensus protocol; Complexity theory</t>
  </si>
  <si>
    <t>Since the functionality of the Internet of Vehicles (IoV) very much depends on data sharing operations, blockchain can be used as an effective means for efficiently exchanging critical data. However, in view of the growing data requirements imposed by state-of-the-art IoV systems existing blockchain structures have to deal with various operational challenges. For example, standard consensus mechanisms, such as Proof of Work (PoW) and Proof of Stake (PoS), used in classical blockchain systems, are not appropriate to be used for real-time, high-throughput IoV operations since they face scalability issues due to their complex, node-count-dependent processes. Another example is sharding, which, although it can increase the blockchain capacity, might also compromise security by reducing the number of validators per shard, thereby risking attacks and data inconsistencies. This paper presents the first study which deals with these challenges in a systematic way by introducing a novel Dual-layer Multi-shard Blockchain Architecture (DMBA) which uses dynamic node selection, adjustable sharding, and a Boneh-Lynn-Shacham Proof-Based Fast Threshold (BLS-PBFT) consensus method to enhance IoV data sharing. Firstly, a responsive management framework is proposed, which dynamically handles node and shard operations by considering both network conditions and node integrity. Secondly, an optimized BLS-PBFT consensus mechanism which enhances consensus efficiency through signature aggregation is introduced. Thirdly, a dynamic and adaptive incentive system, rooted in evolutionary game theory, is designed to promote cooperative behavior and mitigate fraudulent activities. The proposed architecture enhances the performance of IoV data sharing by optimizing consensus efficiency, bolstering security, and incentivizing node cooperation, thus delivering a more secure and efficient data sharing platform. Performance evaluation results have demonstrated the effectiveness of the proposed scheme, showcasing reduced verification errors, improved consensus speed and throughput, and the robustness of the incentive mechanism in ensuring secure and sustained IoV data sharing.</t>
  </si>
  <si>
    <t>Primary IoV blockchain architecture study evaluated using Veins and MATLAB simulations with repeated comparative experiments.</t>
  </si>
  <si>
    <t>PS026</t>
  </si>
  <si>
    <t>Maurice Herlihy</t>
  </si>
  <si>
    <t>Atomic Cross-Chain Swaps</t>
  </si>
  <si>
    <t>10.1145/3212734.3212736</t>
  </si>
  <si>
    <t>https://doi.org/10.1145/3212734.3212736</t>
  </si>
  <si>
    <t>Proceedings of the 2018 ACM Symposium on Principles of Distributed Computing (PODC 2018)</t>
  </si>
  <si>
    <t>This study formalizes atomic cross-chain swaps as a distributed coordination problem in which multiple parties exchange assets across different blockchains without relying on a trusted intermediary. A swap is represented as a directed graph of participants and proposed asset transfers. The proposed protocol uses hashed timelock contracts and a feedback vertex set to coordinate the exchange while protecting conforming participants from losses and discouraging profitable deviations. The analysis establishes conditions under which such a protocol is possible and provides complexity bounds for execution time and on-chain storage, making the work a foundational formal treatment of cross-chain interoperability.</t>
  </si>
  <si>
    <t>Interoperability &amp; cross-chain</t>
  </si>
  <si>
    <t>Primary theoretical interoperability study presenting and proving an atomic cross-chain swap protocol; empirical evaluation criteria are genuinely not applicable.</t>
  </si>
  <si>
    <t>PS027</t>
  </si>
  <si>
    <t>Liu, Zhuotao; Xiang, Yangxi; Shi, Jian; Gao, Peng; Wang, Haoyu; Xiao, Xusheng; Wen, Bihan; Hu, Yih-Chun</t>
  </si>
  <si>
    <t>HyperService: Interoperability and Programmability Across Heterogeneous Blockchains</t>
  </si>
  <si>
    <t>10.1145/3319535.3355503</t>
  </si>
  <si>
    <t>https://doi.org/10.1145/3319535.3355503</t>
  </si>
  <si>
    <t>PROCEEDINGS OF THE 2019 ACM SIGSAC CONFERENCE ON COMPUTER AND COMMUNICATIONS SECURITY (CCS'19)</t>
  </si>
  <si>
    <t>Blockchain Interoperability; Cross-chain dApps; Smart Contract</t>
  </si>
  <si>
    <t>Blockchain interoperability, which allows state transitions across different blockchain networks, is critical functionality to facilitate major blockchain adoption. Existing interoperability protocols mostly focus on atomic token exchanges between blockchains. However, as blockchains have been upgraded from passive distributed ledgers into programmable state machines (thanks to smart contracts), the scope of blockchain interoperability goes beyond just token exchanges. In this paper, we present HyperService, the first platform that delivers interoperability and programmability across heterogeneous blockchains. HyperService is powered by two innovative designs: (i) a developer-facing programming framework that allows developers to build cross-chain applications in a unified programming model; and (ii) a secure blockchain-facing cryptography protocol that provably realizes those applications on blockchains. We implement a prototype of HyperService in approximately 35,000 lines of code to demonstrate its practicality. Our experiments show that (i) HyperService imposes reasonable latency, in order of seconds, on the end-to-end execution of cross-chain applications; (ii) the HyperService platform is scalable to continuously incorporate new large-scale production blockchains.</t>
  </si>
  <si>
    <t>Primary cross-chain platform study combining a programming framework, formal security protocol, full-stack prototype, and empirical evaluation.</t>
  </si>
  <si>
    <t>PS028</t>
  </si>
  <si>
    <t>Alexei Zamyatin; Dominik Harz; Joshua Lind; Panayiotis Panayiotou; Arthur Gervais; William Knottenbelt</t>
  </si>
  <si>
    <t>XCLAIM: Trustless, Interoperable, Cryptocurrency-Backed Assets</t>
  </si>
  <si>
    <t>10.1109/sp.2019.00085</t>
  </si>
  <si>
    <t>https://doi.org/10.1109/SP.2019.00085</t>
  </si>
  <si>
    <t>2019 IEEE Symposium on Security and Privacy (SP)</t>
  </si>
  <si>
    <t>blockchain; interoperability; CBA; Bitcoin; Ethereum</t>
  </si>
  <si>
    <t>This study presents XCLAIM, a framework for trustless and efficient cross-chain exchange using cryptocurrency-backed assets. The framework supports issuing, transferring, swapping, and redeeming backed assets without requiring a centralized exchange or interactive trusted operator. The authors instantiate XCLAIM between Bitcoin and Ethereum and evaluate the resulting implementation. The experiments show that issuing Bitcoin-backed assets on Ethereum can be inexpensive and that the framework can be faster and cheaper than conventional atomic cross-chain swaps. The design is intended to work with many existing blockchains without protocol modifications and supports applications such as cross-chain payment channels and multi-party exchanges.</t>
  </si>
  <si>
    <t>Primary cross-chain interoperability protocol with formal security reasoning and a Bitcoin–Ethereum implementation/evaluation.</t>
  </si>
  <si>
    <t>PS029</t>
  </si>
  <si>
    <t>Barisic A.; Zhu E.; Mallet F.</t>
  </si>
  <si>
    <t>Model-driven approach for the design of Multi-Chain Smart Contracts</t>
  </si>
  <si>
    <t>10.1109/brains52497.2021.9569809</t>
  </si>
  <si>
    <t>https://doi.org/10.1109/brains52497.2021.9569809</t>
  </si>
  <si>
    <t>2021 3rd Conference on Blockchain Research and Applications for Innovative Networks and Services, BRAINS 2021</t>
  </si>
  <si>
    <t>formal verification; model-driven engineering; multichain; smart contract</t>
  </si>
  <si>
    <t>Blockchain-based smart contracts provide transparent automation in a broad range of services, including finance, the Internet of Things, and autonomous systems. However, the implementation of such services may easily involve security risks and functional errors, especially for complex services composed of different blockchains. To help developers focus on their business model instead of diving into the blockchain architecture heterogeneity, we propose a framework to enable analysis and comparison of composed services before deployment. This is achieved through the intensive use of model-based engineering allowing reasoning on the model before generating concrete deployment artifacts, especially for the safe orchestration of contract calling transactions. © 2021 IEEE.</t>
  </si>
  <si>
    <t>Peer-reviewed primary methodological contribution proposing an original multi-chain model-driven engineering framework; empirical evaluation is not reported and the contribution is early-stage.</t>
  </si>
  <si>
    <t>Moderate</t>
  </si>
  <si>
    <t>PS030</t>
  </si>
  <si>
    <t>Nissl M.; Sallinger E.; Schulte S.; Borkowski M.</t>
  </si>
  <si>
    <t>Towards cross-blockchain smart contracts</t>
  </si>
  <si>
    <t>10.1109/dapps52256.2021.00015</t>
  </si>
  <si>
    <t>https://doi.org/10.1109/dapps52256.2021.00015</t>
  </si>
  <si>
    <t>Proceedings - 3rd IEEE International Conference on Decentralized Applications and Infrastructures, DAPPS 2021</t>
  </si>
  <si>
    <t>Blockchain; Interoperability; Smart Contracts</t>
  </si>
  <si>
    <t>In recent years, manifold blockchain protocols have been proposed by researchers and industrial companies alike. This has led to a very heterogeneous blockchain landscape. Accordingly, it would be desirable if blockchains could interact with each other. However, current protocols offer only limited support for interoperability, thus preventing tokens or smart contracts from leaving the scope of a particular blockchain. As a first step towards cross-chain smart contract interactions, we introduce a framework which allows to invoke a smart contract from another blockchain. We offer support for continuing a smart contract after receiving a result from a different blockchain, and for calling smart contracts recursively across blockchains. We provide a reference implementation for Ethereum-based blockchains using Solidity and evaluate the performance regarding time and cost overheads. © 2021 IEEE.</t>
  </si>
  <si>
    <t>Primary interoperability framework with open-source Solidity implementation and live Ethereum testnet cost/time evaluation.</t>
  </si>
  <si>
    <t>PS031</t>
  </si>
  <si>
    <t>Su H.; Guo B.; Lu J.; Suo X.</t>
  </si>
  <si>
    <t>Quantitative cooperation analysis among cross-chain smart contracts</t>
  </si>
  <si>
    <t>10.1007/s00521-022-06970-7</t>
  </si>
  <si>
    <t>https://doi.org/10.1007/s00521-022-06970-7</t>
  </si>
  <si>
    <t>Neural Computing and Applications</t>
  </si>
  <si>
    <t>Scopus; Web of Science</t>
  </si>
  <si>
    <t>All-trigger; Cross-chain cooperation; Dynamic-trigger; Quantitative condition-trigger model</t>
  </si>
  <si>
    <t>In cross-chain scenarios, there are different blockchains that need cooperation. The cooperation between different blockchains is completed through smart contracts, which jointly complete cross-chain tasks. When numerous cooperative smart contracts are involved, smart contracts form a complex interactive network, which makes it difficult to evaluate the cooperation. A general model is needed to quantitatively analyze the cross-chain cooperation of associated smart contracts. In this paper, we model the cooperation among smart contracts as conditions and their corresponding actions, the quantitative condition-trigger model. Then, a method of calculating trigger probability by using graph weight is proposed. As the edge weight lacks the information of interaction probability, we introduce the dimension of the edge weight to calculate the interaction probability. The results show that the proposed method can effectively analyze the cross-chain cooperation between smart contracts. © 2022, The Author(s), under exclusive licence to Springer-Verlag London Ltd., part of Springer Nature.</t>
  </si>
  <si>
    <t>Version replacement required</t>
  </si>
  <si>
    <t>The attached PS031.pdf is the 14 May 2021 TechRxiv preprint and explicitly states that it has not been peer reviewed. The master study record represents the later peer-reviewed 2022 version. QA is withheld until the final peer-reviewed full text is supplied.</t>
  </si>
  <si>
    <t>PS032</t>
  </si>
  <si>
    <t>Chang, Jian; Ni, Junpei; Xiao, Jiang; Dai, Xiaohai; Jin, Hai</t>
  </si>
  <si>
    <t>SynergyChain: A Multichain-Based Data-Sharing Framework With Hierarchical Access Control</t>
  </si>
  <si>
    <t>10.1109/jiot.2021.3061687</t>
  </si>
  <si>
    <t>https://doi.org/10.1109/jiot.2021.3061687</t>
  </si>
  <si>
    <t>IEEE INTERNET OF THINGS JOURNAL</t>
  </si>
  <si>
    <t>With customization of demands and functionalities, diverse blockchain systems are integrated with IoT in different application scenarios, forming a multichain environment. Multichain interoperability has become a crucial emerging issue, i.e., different blockchain systems are difficult to interact with each other credibly and efficiently. It further leads to isolated data islands across multichain. Therefore, it is of significant importance to facilitate data sharing among multichain systems. Toward achieving this, there are two main challenges. First, data across multiple blockchains must be shared reliably to meet the tamper-proof merits of blockchain technology. Second, we must control the data access process in a fine-grained way to protect sensitive data and user privacy. This article proposes SynergyChain, a multichain framework to enable reliable data sharing with controllable data access. By aggregating the data from multiple blockchains and reorganizing it in SynergyChain, we can achieve data reliability with the verification. Meanwhile, SynergyChain provides hierarchical access control based on smart contracts, making access control automated and credible. Experiments show that SynergyChain can support data sharing reliably and efficiently and reduce data query latency compared with multichain data requesting sequentially.</t>
  </si>
  <si>
    <t>Primary multichain interoperability framework with an Ethereum-based prototype and controlled performance evaluation.</t>
  </si>
  <si>
    <t>PS033</t>
  </si>
  <si>
    <t>El Haddouti S.; Ouaguid A.; Ech-Cherif El Kettani M.D.</t>
  </si>
  <si>
    <t>Fedidchain: An Innovative Blockchain-Enabled Framework for Cross-Border Interoperability and Trust Management in Identity Federation Systems</t>
  </si>
  <si>
    <t>10.1007/s10922-023-09731-6</t>
  </si>
  <si>
    <t>https://doi.org/10.1007/s10922-023-09731-6</t>
  </si>
  <si>
    <t>Journal of Network and Systems Management</t>
  </si>
  <si>
    <t>Attribute aggregation; Blockchain; Identity federation; Interoperability; Smart contract trustworthiness</t>
  </si>
  <si>
    <t>The Identity Federation has been introduced as an appropriate solution to overcome cybersecurity risks via a reliable management of users identities, while enhancing usability, security, and privacy aspects. However, the interoperability has become one of the greatest challenges facing typical Identity Federations. Simultaneously, the centralization approach of the trust management in current Identity Federations is another major concern, leading to inherent deficiencies such as a central point of failure and scalability issues. In order to better deal with such a dilemma, we present in this paper an innovative framework of Attribute Aggregation within a federated Blockchain, by overcoming the major challenges related to the interoperability requirement and trust management that could reduce the attractiveness of the Identity Federation approach. The proposed system is relied mainly on the SAML standard and Smart Contracts. The experimental results show the efficiency of Fedidchain compared to centralized models of Attribute Aggregation within Identity Federations. © 2023, The Author(s), under exclusive licence to Springer Science+Business Media, LLC, part of Springer Nature.</t>
  </si>
  <si>
    <t>Full-text replacement required</t>
  </si>
  <si>
    <t>The attached PS033.pdf contains only the first page/abstract. The complete peer-reviewed article is required to assess methodology, experimental setup, limitations, and reproducibility.</t>
  </si>
  <si>
    <t>PS034</t>
  </si>
  <si>
    <t>Hou Z.; Yang J.; Lai R.; He Y.; Mo Z.; Zhao G.</t>
  </si>
  <si>
    <t>Subscription-Based State Access for Cross-Chain Smart Contracts</t>
  </si>
  <si>
    <t>10.1109/icpads60453.2023.00375</t>
  </si>
  <si>
    <t>https://doi.org/10.1109/icpads60453.2023.00375</t>
  </si>
  <si>
    <t>Proceedings of the International Conference on Parallel and Distributed Systems - ICPADS</t>
  </si>
  <si>
    <t>blockchain; Cross-Chain; Oracle gateway; smart contract; subscribe</t>
  </si>
  <si>
    <t>Smart contracts play a vital role in blockchain applications, supporting an expanding array of services as the number of blockchains rises. As service requirements become increasingly complex, the need for access and collaboration among multiple smart contracts becomes more prevalent. However, achieving access between smart contracts on different blockchains presents a significant challenge in the Internet of Blockchain scenario comprising numerous heterogeneous blockchains. In this paper, we first explore the problem of smart contract access in cross-heterogeneous blockchain scenarios. Then, an Oracle gateway-based cross-chain smart contract access architecture and a subscription-based cross-chain smart contract active access mechanism are proposed. Finally, a prototype is implemented to show that our architecture and mechanism can support cross-chain smart contract access for heterogeneous blockchains and reduce the complexity and latency of cross-chain smart contract access. © 2023 IEEE.</t>
  </si>
  <si>
    <t>Primary heterogeneous cross-chain smart-contract access study with a published prototype and comparative performance evaluation.</t>
  </si>
  <si>
    <t>PS035</t>
  </si>
  <si>
    <t>Khorasani, Koosha Esmaeilzadeh; Rouhani, Sara; Pan, Rui; Pourheidari, Vahid</t>
  </si>
  <si>
    <t>Automated Gateways: A Smart Contract-Powered Solution for Interoperability Across Blockchains</t>
  </si>
  <si>
    <t>10.1109/blockchain62396.2024.00090</t>
  </si>
  <si>
    <t>https://doi.org/10.1109/blockchain62396.2024.00090</t>
  </si>
  <si>
    <t>2024 IEEE INTERNATIONAL CONFERENCE ON BLOCKCHAIN, BLOCKCHAIN 2024</t>
  </si>
  <si>
    <t>Interoperability is a significant challenge in blockchain technology, hindering seamless data and service sharing across diverse blockchain networks. This study introduces Automated Gateways as a novel framework leveraging smart contracts to facilitate interoperability. Unlike existing solutions, which often require adopting new technologies or relying on external services, Automated Gateways framework is integrated directly with a blockchain's core infrastructure to enhance systems with built-in interoperability features. By implementing fine-grained access control mechanisms, smart contracts within this framework manage accessibility and authorization for cross-chain interactions and facilitate streamlining the selective sharing of services between blockchains. Our evaluation demonstrates the framework's capability to handle cross-chain interactions efficiently, significantly reduce operational complexities, and uphold transactional integrity and security across different blockchain networks. With its focus on user-friendliness, self-managed permissions, and independence from external platforms, this framework is designed to achieve broader adoption within the blockchain community.</t>
  </si>
  <si>
    <t>Primary interoperability framework implemented on two production-mode Hyperledger Fabric networks and evaluated with Hyperledger Caliper.</t>
  </si>
  <si>
    <t>PS036</t>
  </si>
  <si>
    <t>J. Jiang; Y. Zhang; J. Zhao; L. Gao; L. Zhu; Z. Tian</t>
  </si>
  <si>
    <t>Towards Efficient Consistency Auditing of Dynamic Data in Cross-Chain Interaction</t>
  </si>
  <si>
    <t>10.1109/tdsc.2025.3532320</t>
  </si>
  <si>
    <t>https://doi.org/10.1109/tdsc.2025.3532320</t>
  </si>
  <si>
    <t>Cross-chain; data consistency auditing; data dynamism; advanced gamma multi-signature scheme; Blockchains; Security; Public key; Interoperability; Data models; Connectors; Aerodynamics; Business; Memory; Logistics</t>
  </si>
  <si>
    <t>As blockchain technology matures and its adoption grows across multiple industries, there is a growing need to make the data stored on blockchains adaptable to prevent misuse. However, such modifications can lead to inconsistency when interacting with other blockchains, necessitating the preservation of dynamic data consistency during these cross-chain interactions. While ensuring consistency for static data is relatively straightforward, doing so for dynamic data with efficiency remains a significant challenge. In response, we propose an efficient dynamic cross-chain data consistency auditing model (EDCA), which artfully integrates an advanced gamma multi-signature approach (AGMS) with the designed dynamic Merkle hash tree (D-MHT) to facilitate effective auditing of the consistency for dynamic data in cross-chain interaction. EDCA can produce relatively small auditor states while maintaining the storage proof. Moreover, EDCA is proven to satisfy strong security and privacy guarantees, tag unforgeability, and proof unforgeability. Experimental evaluations confirm that EDCA has high computational and communicational efficiency and can retain a small and relatively constant auditing overhead.</t>
  </si>
  <si>
    <t>Primary cross-chain consistency-auditing study combining formal security proofs with Hyperledger Fabric prototype evaluation.</t>
  </si>
  <si>
    <t>PS037</t>
  </si>
  <si>
    <t>X. Tang; L. Lou; R. Peng; T. Zhang; Z. Liu; Z. Liu; J. Kang; Z. Han; D. Niyato</t>
  </si>
  <si>
    <t>A Verifiable Privacy-Preserving Cross-Chain Protocol for Trusted Vehicle Edge Computing</t>
  </si>
  <si>
    <t>10.1109/tvt.2025.3625439</t>
  </si>
  <si>
    <t>https://doi.org/10.1109/tvt.2025.3625439</t>
  </si>
  <si>
    <t>IEEE Transactions on Vehicular Technology</t>
  </si>
  <si>
    <t>Threshold homomorphic encryption; edge network; blockchain; Protocols; Protection; Blockchains; Security; Privacy; Edge computing; Data privacy; Relays; Scalability; Reliability</t>
  </si>
  <si>
    <t>Vehicle Edge Computing (VEC) has emerged as a crucial element in modern vehicular computing systems, enhancing data processing efficiency between vehicles and nearby infrastructure, reducing latency, and improving the overall performance of intelligent transportation systems. However, VEC faces challenges, such as data inequality and privacy concerns, which may impede accurate data processing and decision-making across various components (e.g., vehicles, traffic signals, and roadside units). Existing studies attempt to address these challenges by relying on centralized servers to process cross-vehicle data. However, this approach introduces vulnerabilities, including single points of failure and potential performance bottlenecks. Moreover, many current methods overlook the need for data verifiability alongside privacy and security, thus complicating the traceability of data sources in vehicular environments. In this paper, we propose a verifiable, privacy-preserving cross-vehicle protocol based on relay chains, utilizing blockchain's distributed ledger technology to facilitate transparent and secure information sharing among vehicle edge nodes. Through tamper-proof bookkeeping and automated smart contracts, the protocol significantly enhances the efficiency and security of VEC. The relay chain functions as the central framework, employing homomorphic encryption and distributed private key technology to enable confidential data sharing and verifiable access to business-critical information across nodes. This solution effectively tackles the pressing challenges of privacy protection, reliability, and data traceability within current VEC systems. To enhance practicality, the protocol adopts a non-iterative and lightweight design, enabling efficient data exchange and low-latency cross-chain interaction in heterogeneous VEC systems. We demonstrate the feasibility and effectiveness of our protocol through extensive experimental data supported by theoretical analysis. The results show that the proposed protocol achieves competitive performance in computation cost, encryption latency, and cross-chain throughput, especially under increasing key sizes and node densities, confirming its efficiency and scalability in real-world vehicular deployments.</t>
  </si>
  <si>
    <t>Primary cross-chain VEC protocol with theoretical analysis and heterogeneous blockchain testbed experiments.</t>
  </si>
  <si>
    <t>PS038</t>
  </si>
  <si>
    <t>T. Shen; Y. Feng; J. Dong; K. Zhu; L. Jiao; L. Zhang</t>
  </si>
  <si>
    <t>EquiLink Bridge: A Semi-Custodial Approach to Cross-Chain Transactions via TEE</t>
  </si>
  <si>
    <t>10.1109/tsc.2026.3691985</t>
  </si>
  <si>
    <t>https://doi.org/10.1109/tsc.2026.3691985</t>
  </si>
  <si>
    <t>IEEE Transactions on Services Computing</t>
  </si>
  <si>
    <t>Blockchain; cross-chain bridge; hash time-lock contract; semi-custodial model; trusted execution environment; Bridges; Modeling; Security; Contracts; Protocols; Design methodology; Costing; Costs; TV; Timing</t>
  </si>
  <si>
    <t>The rising demand for blockchain interoperability is accelerating advancements in cross-chain bridge technologies, which are crucial for a seamless information transfer in multi-blockchain ecosystems. Existing blockchain bridges are typically classified into two categories: custodial and non-custodial. Custodial bridges use a trusted third party for easier and faster transactions but depend on custodian trust, while non-custodial bridges enhance transparency and control with smart contracts but increased complexity and latency. Currently, no bridge design successfully combines the benefits of both while avoiding their drawbacks. This paper presents EquiLink, a semi-custodial bridge that combines the benefits of both custodial and non-custodial methods. EquiLink employs a smart contract, known as the EquiLink Service, to initiate cross-chain transfers. It then uses the EquiLink Network, a system composed of remote-attested Trusted Execution Environments (TEEs), to verify and issue these transfers between two blockchains. Any eligible participants validated through remote attestation can join the EquiLink Network and contribute to the bridge’s functionality. Additionally, participants are regulated by an economic model, providing an extra layer of security through economic incentives. This semi-custodial bridge enhances transparency and control for users. Meanwhile, it mitigates the risks associated with centralized custody and decentralization. In the evaluation, EquiLink is resilient against both replay and physical attacks. Additionally, it operates efficiently, reducing transaction costs by 14.1% and latency by 18.9%</t>
  </si>
  <si>
    <t>Primary TEE-enabled cross-chain bridge study with public code, cloud/SGX evaluation, attack experiments, and an explicit limitations section.</t>
  </si>
  <si>
    <t>PS039</t>
  </si>
  <si>
    <t>L. Ma; S. Chen; Y. Lv; B. Luan; X. Liu; K. Li</t>
  </si>
  <si>
    <t>Hybrid Relay Architecture: A Decentralized and Semantically-Agnostic Interoperability Framework for Blockchain</t>
  </si>
  <si>
    <t>10.1109/tc.2026.3699633</t>
  </si>
  <si>
    <t>https://doi.org/10.1109/tc.2026.3699633</t>
  </si>
  <si>
    <t>IEEE Transactions on Computers</t>
  </si>
  <si>
    <t>Blockchain interoperability; cross-chain communication; verifiable computation; relay system; Modeling; Relays; Security; Routing; Architecture; Computer architecture; Loading; Educational institutions; Probability; Protocols</t>
  </si>
  <si>
    <t>The rapidly expanding blockchain ecosystem faces a critical interoperability crisis—evidenced by siloed total value locked and bridge losses. Existing interoperability solutions are trapped in a paradigm dilemma: centralized relays offer performance but introduce single points of failure, while decentralized relay-chains provide security but suffer from poor scalability and rigidity. To overcome these limitations, we introduce the Hybrid Relay Architecture, a new decentralized interoperability paradigm that reconciles the efficiency of centralized relays with the security guarantees of decentralized systems via dynamic role stratification and probabilistic trust coordination. We instantiate this paradigm as Celestial, which realizes hybrid relaying through (1) a unified interchain data unit for coordination, (2) a geo-aware topology that enables adaptive role assignment, and (3) a proof of cross-chain transmission protocol that incentivizes honest node participation. Implemented in 12K+ LoC and evaluated across 90+ nodes spanning three continents, Celestial achieves 3,340 TPS with sub-600ms P99 latency, recovers from faults 6.4$\mathbf{\times}$× faster than state-of-the-art systems, and reduces verification cost by 63% under adaptive attacks.</t>
  </si>
  <si>
    <t>The uploaded file is named PS040.pdf, but its title/DOI/content match master-record PS039 (Celestial). It is therefore reconciled and assessed as PS039. The actual PS040 ShiftHub study is not present in the batch.</t>
  </si>
  <si>
    <t>PS040</t>
  </si>
  <si>
    <t>P. Han; Z. Yan; Z. Xu; L. T. Yang; E. Bertino</t>
  </si>
  <si>
    <t>ShiftHub: Enabling Atomic, Unlinkable, and Practical m~1 Cross-Chain Transfer</t>
  </si>
  <si>
    <t>10.1109/tifs.2026.3670535</t>
  </si>
  <si>
    <t>https://doi.org/10.1109/tifs.2026.3670535</t>
  </si>
  <si>
    <t>$m \sim 1$ cross-chain transfer; atomicity; unlinkability; transaction aggregability; non-collateralization; Blockchains; Receivers; Protocols; Computer science; Synchronization; Artificial intelligence; Security; Observers; Authentication; Asset management</t>
  </si>
  <si>
    <t>Cross-chain transfer significantly enhances asset management among multiple blockchains. While existing cross-chain transfer schemes facilitate transferring asset ownership of users between a source blockchain and a target blockchain, they do not consider a complex scenario involving  $m$  source blockchains and one target blockchain (termed  $m \sim 1$  cross-chain transfer). Furthermore, the variants of existing schemes for this scenario fail to concurrently achieve atomicity, unlinkability, and practical properties such as transaction aggregability, and non-collateralization, posing substantial limitations. To bridge this gap, we propose ShiftHub, the first  $m \sim 1$  cross-chain transfer scheme that simultaneously fulfills the above desired properties. ShiftHub guarantees atomicity and transaction aggregability by integrating exchange protocols with a novel  $t$ -message-clustered redeem protocol. Unlinkability is achieved by additionally incorporating commonly used assumptions such as fixed-amount transfers, while the need for sender collateralization is eliminated by enabling the reuse of locked assets. Compatible with any blockchains that employ adaptor signatures or BLS signatures for transaction authentication, ShiftHub requires only signature verification and timelock functionalities on chain, ensuring near-universal blockchain compatibility. We formally prove the security of ShiftHub under static corruption using the universal composability framework. Extensive evaluation shows that ShiftHub offers superior performance over the existing scheme variant with the closest underlying protocols to ShiftHub, in terms of both off-chain and on-chain overhead, when completing  $m \sim 1$  cross-chain transfer. Particularly, ShiftHub reduces the number of required transactions by  $(2m-1)/3m$ .</t>
  </si>
  <si>
    <t>Full-text file missing</t>
  </si>
  <si>
    <t>The master study record identifies PS040 as ShiftHub (IEEE TIFS 2026), but no ShiftHub full-text PDF was supplied. The uploaded file named PS040.pdf contains PS039 Celestial instead.</t>
  </si>
  <si>
    <t>PS041</t>
  </si>
  <si>
    <t>K. Ding; X. Hu; W. Zhou; G. Cheng; R. Li; H. Wu</t>
  </si>
  <si>
    <t>VeCroToken: An Efficient, Verifiable, and Privacy-Preserving Cross-Chain Model for Consortium Blockchains Based on zk-SNARKs</t>
  </si>
  <si>
    <t>10.1109/tnsm.2025.3636014</t>
  </si>
  <si>
    <t>https://doi.org/10.1109/tnsm.2025.3636014</t>
  </si>
  <si>
    <t>IEEE Transactions on Network and Service Management</t>
  </si>
  <si>
    <t>Consortium blockchain; privacy preservation; verifiability; cross-chain; zero-knowledge proof; Privacy; Blockchains; Cryptography; Relays; Protocols; Circuits; Data privacy; Law; Fabrics; Distributed ledger</t>
  </si>
  <si>
    <t>Consortium blockchains enable secure economic applications through privacy-preserving architectures and efficient processing. Growing cross-chain demands require value-exchange mechanisms, yet expose privacy risks during external interactions. Encrypting cross-chain information is necessary, requiring third-party verification of relations within the encrypted content. Existing privacy-preserving cross-chain research for consortium chains struggles to balance transaction efficiency, transaction validity verification, and complex trust assumptions for relays. We present VeCroToken, an efficient, verifiable, and privacy-preserving cross-chain model for consortium blockchains. VeCroToken introduces a dual-balance mechanism and designs four types of cross-chain zero-knowledge transactions based on zk-SNARKs. These transactions encrypt two types of balances and transaction amounts, effectively protecting participant privacy. The encrypted cross-chain data and zero-knowledge proof credentials are stored on participants’ consortium blockchains and the relay chain. Relay nodes and third parties can validate transaction proofs with public parameters, preserving privacy while ensuring compliance and validity. We give a security analysis in the UC framework that proves verifiability and balance safety. We also provide a privacy analysis establishing the amount, balance, and fund-correlation privacy. We implement a prototype on Hyperledger Fabric. Our experimental results show that VeCroToken has a lower overall zero-knowledge proof overhead than the state-of-the-art models and performs well in transaction performance.</t>
  </si>
  <si>
    <t>Primary privacy-preserving cross-chain consortium-blockchain model with formal analysis and Hyperledger Fabric prototype evaluation.</t>
  </si>
  <si>
    <t>PS042</t>
  </si>
  <si>
    <t>Porru, Simone; Pinna, Andrea; Marchesi, Michele; Tonelli, Roberto</t>
  </si>
  <si>
    <t>Blockchain-oriented Software Engineering: Challenges and New Directions</t>
  </si>
  <si>
    <t>10.1109/icse-c.2017.142</t>
  </si>
  <si>
    <t>https://doi.org/10.1109/icse-c.2017.142</t>
  </si>
  <si>
    <t>PROCEEDINGS OF THE 2017 IEEE/ACM 39TH INTERNATIONAL CONFERENCE ON SOFTWARE ENGINEERING COMPANION (ICSE-C 2017)</t>
  </si>
  <si>
    <t>blockchain; software engineering; smart contracts; cryptocurrencies</t>
  </si>
  <si>
    <t>In this work, we acknowledge the need for software engineers to devise specialized tools and techniques for blockchain-oriented software development. Ensuring effective testing activities, enhancing collaboration in large teams, and facilitating the development of smart contracts all appear as key factors in the future of blockchain-oriented software development.</t>
  </si>
  <si>
    <t>Blockchain-oriented software engineering</t>
  </si>
  <si>
    <t>Primary exploratory blockchain-software-engineering study using a curated corpus of open-source blockchain repositories to motivate engineering challenges and research directions.</t>
  </si>
  <si>
    <t>PS043</t>
  </si>
  <si>
    <t>Amiangshu Bosu; Anindya Iqbal; Rifat Shahriyar; Partha Chakraborty</t>
  </si>
  <si>
    <t>Understanding the Motivations, Challenges and Needs of Blockchain Software Developers: A Survey</t>
  </si>
  <si>
    <t>10.1007/s10664-019-09708-7</t>
  </si>
  <si>
    <t>https://doi.org/10.1007/s10664-019-09708-7</t>
  </si>
  <si>
    <t>Empirical Software Engineering</t>
  </si>
  <si>
    <t>Blockchain; Cryptocurrency; Survey; Bitcoin; Ethereum; Motivation; Challenges</t>
  </si>
  <si>
    <t>This empirical study investigates the motivations, challenges, and needs of blockchain software developers and compares blockchain development with conventional software development. The authors identified active developers from 145 blockchain projects and surveyed 1,604 developers, obtaining 156 usable responses. Respondents reported stronger emphasis on security and reliability, higher costs of defects, decentralized and potentially hostile execution environments, technological complexity, and difficulty upgrading deployed software. The findings also highlight the inadequacy of many conventional development tools and identify needs for blockchain-specific IDE support, smart-contract debugging and testing, simulators, and domain-specific design notations.</t>
  </si>
  <si>
    <t>Peer-reviewed empirical developer survey; the uploaded manuscript corresponds to the published Empirical Software Engineering study.</t>
  </si>
  <si>
    <t>PS044</t>
  </si>
  <si>
    <t>Lodovica Marchesi; Michele Marchesi; Roberto Tonelli</t>
  </si>
  <si>
    <t>ABCDE—Agile Block Chain DApp Engineering</t>
  </si>
  <si>
    <t>10.1016/j.bcra.2020.100002</t>
  </si>
  <si>
    <t>https://doi.org/10.1016/j.bcra.2020.100002</t>
  </si>
  <si>
    <t>Blockchain: Research and Applications</t>
  </si>
  <si>
    <t>Blockchain; Smart contracts; Blockchain-oriented software engineering; UML; DApp design</t>
  </si>
  <si>
    <t>This study proposes ABCDE, an agile software-engineering method for developing decentralized blockchain applications. The method integrates blockchain components, including smart contracts, libraries, and on-chain data structures, with off-chain web or mobile software. Derived from Scrum, ABCDE separates development into parallel smart-contract and off-chain application streams that are integrated iteratively. It also introduces modeling support based on adapted UML diagrams and explicit activities for design, implementation, testing, integration, security assessment, and gas optimization. Although the method is demonstrated for Ethereum and Solidity, the authors argue that its process can be adapted to other blockchain platforms.</t>
  </si>
  <si>
    <t>Primary software-engineering method study with a detailed DApp lifecycle process, real-project usage, a 14-developer early evaluation survey, and explicit threats to validity.</t>
  </si>
  <si>
    <t>PS045</t>
  </si>
  <si>
    <t>Wu, Xiao; Qiu, Han; Zhang, Shuyi; Memmi, Gerard; Gai, Keke; Cai, Wei</t>
  </si>
  <si>
    <t>ChainIDE 2.0: Facilitating Smart Contract Development for Consortium Blockchain</t>
  </si>
  <si>
    <t>10.1109/infocomwkshps50562.2020.9163051</t>
  </si>
  <si>
    <t>https://doi.org/10.1109/infocomwkshps50562.2020.9163051</t>
  </si>
  <si>
    <t>IEEE INFOCOM 2020 - IEEE CONFERENCE ON COMPUTER COMMUNICATIONS WORKSHOPS (INFOCOM WKSHPS)</t>
  </si>
  <si>
    <t>Nowadays, many novel blockchain-based architecture and frameworks are proposed to solve issues in computer science and financial service. Smart contracts with blockchain systems, especially consortium blockchain systems, can help to provide many reliable and efficient functions for existing systems like smart grid payments. The novel concept of smart contract as a service is proposed but the difficulty of developing smart contracts on various kinds of blockchain systems are also significantly increasing which brings the additional cost for both developers and infrastructure builders. In this paper, we present an updated cloud-based smart integrated smart contract development system, ChainIDE 2.0, for the ultra-efficient development of blockchain-based smart contracts on multiple kinds of blockchain systems. Not only we stay as the most popular cloud based developing Integrated Development Environment (IDE) for the Libra blockchain, but also we introduce the consortium blockchain systems such as Ant Financial Open-Chain (Ant OC) and served as the first cloud-based IDE supporting the Ant Financial OpenChain test net. Today, we have served almost 1 million compiled smart contracts which makes us the most popular cloud-based blockchain development IDE in the world.</t>
  </si>
  <si>
    <t>Primary blockchain development-tool study reporting an operational cloud IDE, architecture, supported platforms, and large-scale usage statistics.</t>
  </si>
  <si>
    <t>PS046</t>
  </si>
  <si>
    <t>Sánchez-Gómez N.; Morales-Trujillo L.; Gutiérrez J.J.; Torres-Valderrama J.</t>
  </si>
  <si>
    <t>The importance of testing in the early stages of smart contract development life cycle</t>
  </si>
  <si>
    <t>10.13052/jwe1540-9589.1925</t>
  </si>
  <si>
    <t>https://doi.org/10.13052/jwe1540-9589.1925</t>
  </si>
  <si>
    <t>Journal of Web Engineering</t>
  </si>
  <si>
    <t>Blockchain; Early testing; Model-based software development; Smart contract</t>
  </si>
  <si>
    <t>The use of smart contract augurs a world without intermediaries because the code and the agreements contained therein exist across a distributed, decentralized blockchain network. In software engineering, this collaboration is usually represented by using business process models and smart contracts can be used to implement business collaborations in general and inter-organizational business processes. The validation of this contract and the assurance of its quality are critical for its right application. Early testing in smart contract definition is the fact of this paper. The paper discusses the possibility to use transformation protocols to obtain derived artefacts like test case definitions and smart contract code scaffolds. Generation of derived artefacts significantly reduces the number of defects before deploying the smart contract code in the blockchain network. Transformations protocols are created using model-based software development and modelling techniques. This approach allows to simplify and improve the management and execution of collaborative business processes. This would allow, in addition, the application of systematic mechanisms to evaluate and validate the smart contract and, particularly, the application of early testing techniques which would help to reduce the number of defects and, ultimately, the cost of the final review. © 2020 River Publishers.</t>
  </si>
  <si>
    <t>Peer-reviewed methodological/conceptual study proposing a preliminary model-based early-testing approach for smart-contract development. The authors explicitly position the work as preliminary and identify industrial validation as future work.</t>
  </si>
  <si>
    <t>PS047</t>
  </si>
  <si>
    <t>Zhu, Yan; Guo, Qian; Yin, Hongjian; Liang, Kaitai; Yau, Stephen S.</t>
  </si>
  <si>
    <t>Blockchain-Based Software Architecture Development for Service Requirements With Smart Contracts</t>
  </si>
  <si>
    <t>10.1109/mc.2021.3091379</t>
  </si>
  <si>
    <t>https://doi.org/10.1109/mc.2021.3091379</t>
  </si>
  <si>
    <t>COMPUTER</t>
  </si>
  <si>
    <t>We review the background, classification, specifications, and related aspects of using smart contracts in blockchain services and introduce a framework for generating a general software architecture in the context of contract-oriented programming.</t>
  </si>
  <si>
    <t>Peer-reviewed IEEE Computer article introducing an original contract-oriented software-architecture framework and illustrating it through an online car-rental smart-contract application.</t>
  </si>
  <si>
    <t>PS048</t>
  </si>
  <si>
    <t>Lu, Qinghua; Binh Tran, An; Weber, Ingo; O'Connor, Hugo; Rimba, Paul; Xu, Xiwei; Staples, Mark; Zhu, Liming; Jeffery, Ross</t>
  </si>
  <si>
    <t>Integrated model-driven engineering of blockchain applications for business processes and asset management</t>
  </si>
  <si>
    <t>10.1002/spe.2931</t>
  </si>
  <si>
    <t>https://doi.org/10.1002/spe.2931</t>
  </si>
  <si>
    <t>SOFTWARE-PRACTICE &amp; EXPERIENCE</t>
  </si>
  <si>
    <t>Blockchain has attracted broad interests to build decentralised applications. A typical class of applications uses blockchain for the management of cross-organisational business processes as well as assets. However, developing such applications without introducing vulnerabilities is hard for developers, not the least because the deployed code is immutable and can be called by anyone with access to the network. Model-driven engineering (MDE) helps to reduce those risks, by combining proven code snippets as per the model specification, which is easier to understand than source code. Therefore, in this article, we present an approach for integrated MDE across business processes and asset management (e.g., for settlement). Our approach includes methods for fungible/non-fungible asset registration, escrow for conditional payment, and asset swap. The proposed MDE approach is implemented in a smart contract generation tool called Lorikeet, and evaluated in terms of feasibility, functional correctness, and cost effectiveness.</t>
  </si>
  <si>
    <t>Peer-reviewed original MDE study implementing the Lorikeet tool and evaluating feasibility, functional correctness and gas cost using four industry/government-derived use cases.</t>
  </si>
  <si>
    <t>PS049</t>
  </si>
  <si>
    <t>Z. Wan; X. Xia; A. E. Hassan</t>
  </si>
  <si>
    <t>What Do Programmers Discuss About Blockchain? A Case Study on the Use of Balanced LDA and the Reference Architecture of a Domain to Capture Online Discussions About Blockchain Platforms Across Stack Exchange Communities</t>
  </si>
  <si>
    <t>10.1109/tse.2019.2921343</t>
  </si>
  <si>
    <t>https://doi.org/10.1109/tse.2019.2921343</t>
  </si>
  <si>
    <t>IEEE Transactions on Software Engineering</t>
  </si>
  <si>
    <t>Empirical study; reference architecture; blockchain; stack overflow; stack exchange; Peer-to-peer computing; Computer architecture; Smart contracts; Programming; Bitcoin</t>
  </si>
  <si>
    <t>Blockchain-related discussions have become increasingly prevalent in programming Q&amp;A websites, such as Stack Overflow and other Stack Exchange communities. Analyzing and understanding those discussions could provide insights about the topics of interest to practitioners, and help the software development and research communities better understand the needs and challenges facing developers as they work in this new domain. Prior studies propose the use of LDA to study the Stack Exchange discussions. However, a simplistic use of LDA would capture the topics in discussions blindly without keeping in mind the variety of the dataset and domain-specific concepts. Specifically, LDA is biased towards larger sized corpora; and LDA-derived topics are not linked to higher level domain-specific concepts. We propose an approach that combines balanced LDA (which ensures that the topics are balanced across a domain) with the reference architecture of a domain to capture and compare the popularity and impact of discussion topics across the Stack Exchange communities. Popularity measures the distribution of interest in discussions, and impact gauges the trend of popularity over time. We made a number of interesting observations, including: (1) Bitcoin, Ethereum, Hyperledger Fabric and Corda are the four most commonly-discussed blockchain platforms on the Stack Exchange communities. (2) A broad range of topics are discussed across the various platforms of distinct layers in our derived reference architecture. (3) The Application layer topics exhibit the highest popularity (33.2 percent) and fastest growth in topic impact since November 2015. (4) The Application, API, Consensus and Network layer topics are discussed across the studied blockchain platforms, but exhibit different distributions in popularity. (5) The impact of architectural layer topics exhibits an upward trend, but is growing at different speeds across the studied blockchain platforms. The breakdown of the topic impact across the architectural layers is relatively stable over time except for the Hyperledger Fabric platform. Based on our findings, we highlighted future directions and provided recommendations for practitioners and researchers.</t>
  </si>
  <si>
    <t>Peer-reviewed large-scale empirical software-engineering study analysing blockchain developer discussions using balanced LDA and an empirically derived reference architecture.</t>
  </si>
  <si>
    <t>PS050</t>
  </si>
  <si>
    <t>Jurgelaitis M.; Ceponiene L.; Butkiene R.</t>
  </si>
  <si>
    <t>Solidity Code Generation From UML State Machines in Model-Driven Smart Contract Development</t>
  </si>
  <si>
    <t>10.1109/access.2022.3162227</t>
  </si>
  <si>
    <t>https://doi.org/10.1109/access.2022.3162227</t>
  </si>
  <si>
    <t>Blockchain; model driven architecture; model-driven development; smart contracts; solidity; state machine; unified modeling language</t>
  </si>
  <si>
    <t>For the development of blockchain smart contracts, a structured approach based on the principles of the Model Driven Architecture can be beneficial and facilitate the implementation of smart contracts. This paper presents such an approach, which, in combination with Unified Modeling Language (UML) Class and State machine diagrams, allows the smart contract structure and behavior logic to be modeled in several abstraction layers. This paper delves into details on how the model-to-model transformations from the specified Blockchain Platform Independent Model (PIM) with specified state-like behavior can be used to produce a Solidity Platform Specific Model (PSM). Subsequently, we elaborate on how the Solidity PSM is used for Solidity smart contract code generation by employing model-to-text transformations. The paper also demonstrates the process of our proposed transformations and code generation using smart contract code examples from Solidity documentation. Based on the examples, a Blockchain PIM is specified and transformed to Solidity PSM, which is then used for Solidity smart contract code generation. The generated smart contract code is then compiled, deployed on the Ethereum blockchain JavaScript virtual machine, and compared to the original smart contract code in terms of Solidity code metrics, similarity scores, and execution costs. The evaluation results indicate that our approach could be successfully used to model and later generate smart contract code.  © 2013 IEEE.</t>
  </si>
  <si>
    <t>Peer-reviewed model-driven smart-contract code-generation study implementing PIM-to-PSM and model-to-text transformations and evaluating generated Solidity contracts against original examples.</t>
  </si>
  <si>
    <t>PS051</t>
  </si>
  <si>
    <t>Shen X.; Li W.; Xu H.; Wang X.; Wang Z.</t>
  </si>
  <si>
    <t>A Reuse-Oriented Visual Smart Contract Code Generator for Efficient Development of Complex Multi-Party Interaction Scenarios</t>
  </si>
  <si>
    <t>10.3390/app13148094</t>
  </si>
  <si>
    <t>https://doi.org/10.3390/app13148094</t>
  </si>
  <si>
    <t>Applied Sciences (Switzerland)</t>
  </si>
  <si>
    <t>automatic generation; blockchain; multi-party interaction; smart contract</t>
  </si>
  <si>
    <t>Multi-party interaction scenarios usually involve interaction and collaboration between multiple participants, such as business negotiation, teamwork, etc. In multi-party interaction scenarios, trust mechanisms are needed to ensure the use of rights and the fulfillment of obligations. The use of blockchain and smart contracts to establish a decentralized trust mechanism is a solution. The development process of smart contracts may require experts in different fields to design them together, and it is difficult for non-experts to understand smart contract code. The traditional method of smart contract development is for the developer to manually write the smart contract code, which may lead to low development efficiency and the inability of the scene participants to understand the smart contract code. To address this challenge, we propose a reuse-oriented visual smart contract generator to efficiently develop complex multi-party interaction scenarios. This paper proposes a model based on BPMN that uses smart contracts to express the process of multi-party interaction so that the parties in various domains understand the business requirements. Then, a multi-layer reusable library is proposed and used to generate a visual solidity code. We also integrate code compilation, security checking, and deployment into the target blockchain environment for testing. The function of the tool is verified in the case of flight delay insurance, which shows that it can aid the automated development of smart contracts for multi-party interaction scenarios. At the same time, the feasibility of the tool is verified by five cases selected from the literature, which shows that it can aid the development of smart contracts to achieve a high degree of reusability. © 2023 by the authors.</t>
  </si>
  <si>
    <t>Peer-reviewed smart-contract development-tool study combining BPMN, Blockly, reusable code libraries, security checking and deployment, evaluated with five representative multi-party contracts.</t>
  </si>
  <si>
    <t>PS052</t>
  </si>
  <si>
    <t>Ibba G.</t>
  </si>
  <si>
    <t>A Smart Contracts Repository for Top Trending Contracts</t>
  </si>
  <si>
    <t>10.1145/3528226.3528374</t>
  </si>
  <si>
    <t>https://doi.org/10.1145/3528226.3528374</t>
  </si>
  <si>
    <t>Proceedings - 5th International Workshop on Emerging Trends in Software Engineering for Blockchain, WETSEB 2022</t>
  </si>
  <si>
    <t>Blockchain; Categorization; Ethereum; Smart Contract; Smart Contract Trends; Smart Contracts Categories</t>
  </si>
  <si>
    <t>Blockchain technology spread very quickly during the last few years and has become one of the most popular trends among the research and developers community. In particular, the Ethereum blockchain is one of the most supported and used for developing smart contracts, which are informatics protocols that provide a higher level of security than traditional contracts and reduce other transaction costs associated with the bargaining practice. Nowadays, the transaction number associated with smart contracts deploying increased widely, and it is difficult for researchers and developers to keep track of programming trends. This work proposes a dataset containing only specific categories of smart contracts associated with the most popular trends of the last five years. Mainly, the proposed collection of programs contains Token and Non-Fungible-Token programs, whose popularity has increased a lot since their first appearance on the blockchain.  © 2022 ACM.</t>
  </si>
  <si>
    <t>Peer-reviewed dataset contribution constructing and categorising an Ethereum smart-contract repository from more than 100,000 contracts using seeded LDA.</t>
  </si>
  <si>
    <t>PS053</t>
  </si>
  <si>
    <t>Jurgelaitis M.; Čeponienė L.; Butkus K.; Butkienė R.; Drungilas V.</t>
  </si>
  <si>
    <t>MDA-Based Approach for Blockchain Smart Contract Development</t>
  </si>
  <si>
    <t>10.3390/app13010487</t>
  </si>
  <si>
    <t>https://doi.org/10.3390/app13010487</t>
  </si>
  <si>
    <t>code generation; MDA; model transformation; smart contract; UML</t>
  </si>
  <si>
    <t>Blockchain smart contracts can support the decentralisation of business processes, but due to smart contracts’ specifics, their development is a complicated process. Introducing model-driven development principles in smart contract development can facilitate requirement specification, design, and implementation activities. This paper presents a model-driven development method MDAsmartCD (Model-Driven Architecture-based Smart Contract Development) to alleviate smart contract development by supporting the complete MDA life cycle, covering the definition of Computation-Independent Model, Platform-Independent Model, and two instances of Platform-Specific Models. In MDAsmartCD, model transformations (model-to-model and model-to-text) are used to produce smart contract code in the Hyperledger Fabric platform Go and the Ethereum platform Solidity programming languages. The method application was demonstrated by implementing the smart contract for the hackathon solution and executing the generated Solidity and Go smart contracts in the workflow of issuing certificates for hackathon participants. During the execution of the workflow, both deployed smart contracts behaved identically and recorded analogous results in respective blockchain data storages. This demonstrated that the MDAsmartCD method enables the generation of compilable and executable smart contract code, ready for deployment on a blockchain platform. © 2022 by the authors.</t>
  </si>
  <si>
    <t>Peer-reviewed full-lifecycle MDA smart-contract development study supporting Ethereum/Solidity and Hyperledger Fabric/Go, demonstrated through the HackChain workflow.</t>
  </si>
  <si>
    <t>PS054</t>
  </si>
  <si>
    <t>Bodorik P.; Liu C.G.; Jutla D.</t>
  </si>
  <si>
    <t>TABS: Transforming automatically BPMN models into blockchain smart contracts</t>
  </si>
  <si>
    <t>10.1016/j.bcra.2022.100115</t>
  </si>
  <si>
    <t>https://doi.org/10.1016/j.bcra.2022.100115</t>
  </si>
  <si>
    <t>Blockchain; Business processes modeling notation (BPMN); Discrete event (DE) modeling; Finite state machine (FSM); Hierarchical state machines (HSM); Off-chain computation; Privacy; Smart contract; Smart contract interoperability</t>
  </si>
  <si>
    <t>Research on blockchains addresses multiple issues, with one being the automated creation of smart contracts. Developing smart contract methods is more difficult than mainstream software development as the underlying blockchain infrastructure poses additional complexity. We report on a new approach to developing smart contracts with the objective of automating the process to increase developer efficiency and reduce the risk of errors introduced by software developers. To support industry adoption, we use Business Process Model and Notation (BPMN) modeling to describe an application while targeting applications in the trade vertical. We describe a system that transforms a BPMN model into a multi-modal model that combines Discrete Event (DE) modeling for concurrency with Hierarchical State Machines (HSMs) to represent application functionality. Then, further transformations are used to transform the DE-HSM model into methods in smart contracts. The system lets the modeler decide which of the independent patterns should be transformed into methods of a separate smart contract that is deployed on a sidechain for the purpose of (i) reducing processing costs and/or (ii) providing privacy so that other participants in the smart contract do not have visibility into the processing of the pattern. We also briefly describe a proof-of-concept tool we built to demonstrate the feasibility of our approach. © 2022 The Authors</t>
  </si>
  <si>
    <t>Peer-reviewed model-driven smart-contract generation study with a proof-of-concept TABS tool, three trade-oriented use cases, and Ethereum/Hyperledger/Quorum cost and latency evaluation.</t>
  </si>
  <si>
    <t>PS055</t>
  </si>
  <si>
    <t>Ebrahimi, Amir M.; Adams, Bram; Oliva, Gustavo A.; Hassan, Ahmed E.</t>
  </si>
  <si>
    <t>A large-scale exploratory study on the proxy pattern in Ethereum</t>
  </si>
  <si>
    <t>10.1007/s10664-024-10485-1</t>
  </si>
  <si>
    <t>https://doi.org/10.1007/s10664-024-10485-1</t>
  </si>
  <si>
    <t>EMPIRICAL SOFTWARE ENGINEERING</t>
  </si>
  <si>
    <t>Proxy pattern; Proxy; Maintenance; Smart contracts; Ethereum; Blockchain</t>
  </si>
  <si>
    <t>The proxy pattern is a well-known design pattern with numerous use cases in several sectors of the software industry (e.g., network applications, microservices, and IoT). As such, the use of the proxy pattern is also a common approach in the development of complex decentralized applications (DApps) on the Ethereum blockchain. A contract that implements the proxy pattern (proxy contract) acts as a layer between the clients and the target contract, enabling greater flexibility (e.g., data validation checks) and upgradeability (e.g., online smart contract replacement with zero downtime) in DApp development. Despite the importance of proxy contracts, little is known about (i) how their prevalence changed over time, (ii) the ways in which developers integrate proxies in the design of DApps, and (iii) what proxy types are being most commonly leveraged by developers. In this paper, we present a large-scale exploratory study on the use of the proxy pattern in Ethereum. We analyze a dataset of all Ethereum smart contracts as of Sep. 2022 containing 50M smart contracts and 1.6B transactions, and apply both quantitative and qualitative methods in order to (i) determine the prevalence of proxy contracts, (ii) understand the ways they are deployed and integrated into applications, and (iii) uncover the prevalence of different types of proxy contracts. Our findings reveal that 14.2% of all deployed smart contracts are proxy contracts. We show that proxy contracts are being more actively used than non-proxy contracts. Also, the usage of proxy contracts in various contexts, transactions involving proxy contracts, and adoption of proxy contracts by users have shown an upward trend over time, peaking at the end of our study period. They are either deployed through off-chain scripts or on-chain factory contracts, with the former and latter being employed in 39.1% and 60.9% of identified usage contexts in turn. We found that while the majority (67.8%) of proxies act as an interceptor, 32.2% enables upgradeability. Proxy contracts are typically (79%) implemented based on known reference implementations with 29.4% being of type ERC-1167, a class of proxies that aims to cheaply reuse and clone contracts' functionality. Our evaluation shows that our proposed behavioral proxy detection method has a precision and recall of 100% in detecting active proxies. Finally, we derive a set of practical recommendations for developers and introduce open research questions to guide future research on the topic.</t>
  </si>
  <si>
    <t>The supplied author manuscript corresponds to the peer-reviewed Empirical Software Engineering article, 29:81 (2024), DOI 10.1007/s10664-024-10485-1. Assessment is based on the supplied manuscript; publication status was externally verified at https://doi.org/10.1007/s10664-024-10485-1.</t>
  </si>
  <si>
    <t>PS056</t>
  </si>
  <si>
    <t>Daspe E.; Durand M.; Hatin J.; Bradai S.</t>
  </si>
  <si>
    <t>Benchmarking Large Language Models for Ethereum Smart Contract Development</t>
  </si>
  <si>
    <t>10.1109/brains63024.2024.10732686</t>
  </si>
  <si>
    <t>https://doi.org/10.1109/brains63024.2024.10732686</t>
  </si>
  <si>
    <t>2024 6th Conference on Blockchain Research and Applications for Innovative Networks and Services, BRAINS 2024</t>
  </si>
  <si>
    <t>Benchmark; Dataset; Ethereum; Generative AI; LLM; Smart contracts; Solidity</t>
  </si>
  <si>
    <t>The integration of blockchain technology, particularly Ethereum and its smart contract, has revolutionized software programming. Solidity, Ethereum's main language, is crucial due to its features for blockchain applications. However, the immutable nature of Smart Contract (SC) presents significant security issues, with vulnerabilities leading to financial risks. Meanwhile, Large language models (LLMS ) have transformed software development by enhancing coding efficiency and error detection. Despite their potential, current benchmarks often overlook niche languages like Solidity. This paper introduces the first benchmark to evaluate LLMs in Solidity smart contract generation, aiming to improve automated SC development and blockchain deployment reliability using a Test-Driven Development inspired methodology and pass@k metric. This work not only addresses a significant gap in LLM evaluation for blockchain applications but also extends the capabilities of LLMs in this specialized and critical area of software development. © 2024 IEEE.</t>
  </si>
  <si>
    <t>Peer-reviewed benchmark study introducing an open-source TDD-inspired Solidity smart-contract generation benchmark and evaluating multiple open-source LLMs.</t>
  </si>
  <si>
    <t>PS057</t>
  </si>
  <si>
    <t>Mitropoulos C.; Kechagia M.; Maschas C.; Ioannidis S.; Sarro F.; Mitropoulos D.</t>
  </si>
  <si>
    <t>Broken Agreement: The Evolution of Solidity Error Handling</t>
  </si>
  <si>
    <t>10.1145/3674805.3686686</t>
  </si>
  <si>
    <t>https://doi.org/10.1145/3674805.3686686</t>
  </si>
  <si>
    <t>International Symposium on Empirical Software Engineering and Measurement</t>
  </si>
  <si>
    <t>error handling; smart contracts; software evolution; Solidity</t>
  </si>
  <si>
    <t>Background. A smart contract is a computer program enclosing the terms of a legal agreement between two or more parties which is automatically verified and executed via a computer network called blockchain. Once a smart contract transaction is completed the blockchain is updated and the transaction cannot be changed anymore. This implies that any error codified in the smart contract program cannot be rectified. Therefore, it is of vital importance that developers of smart contracts properly exploit error handling to prevent issues during and after the contract execution. Existing programming languages for smart contracts, support developers in this task by providing a set of Error Handling (EH) features. However, it is unclear the extent to which developers effectively use EH in practice. Aims. Our work aims to fill this gap by empirically investigating the state of practice on the adoption of EH features of one of the most popular programming languages for smart contracts, namely Solidity. Method. We empirically analyse the usage of EH features in 283K unique open-source Solidity smart contracts for the Ethereum blockchain. Results. Our analysis of the documentation of the different versions of Solidity coupled with the empirical evaluation of the EH uses and misuses found in real-word smart contracts, indicate that, among other things, Solidity EH features have been changing frequently across versions, and that the adoption of most of the Solidity EH features has been limited in practice. However, we observe an upward trend in the usage of the require EH feature, which is specifically designed for smart contract development. Conclusions. The insights from our study could help developers improve their EH practice as well as designers of smart contract programming languages to equip their language with appropriate EH features.  © 2024 Owner/Author.</t>
  </si>
  <si>
    <t>Peer-reviewed large-scale empirical software-engineering study analysing Solidity error-handling evolution and misuse across 283,000 unique open-source smart contracts.</t>
  </si>
  <si>
    <t>PS058</t>
  </si>
  <si>
    <t>Hsain Y.A.; Laaz N.; Mbarki S.</t>
  </si>
  <si>
    <t>SCEditor: A Graphical Editor Prototype for Smart Contract Design and Development</t>
  </si>
  <si>
    <t>10.14569/ijacsa.2024.01503118</t>
  </si>
  <si>
    <t>https://doi.org/10.14569/ijacsa.2024.01503118</t>
  </si>
  <si>
    <t>International Journal of Advanced Computer Science and Applications</t>
  </si>
  <si>
    <t>Blockchain; Metamodel; Model-driven Engineering (MDE); SC Programming; Smart Contract (SC)</t>
  </si>
  <si>
    <t>In recent years, particularly with the Ethereum blockchain’s advent, smart contracts have gained significant interest as a means of regulating exchanges among multiple parties via code. This surge has prompted the emergence of various smart contract (SC) programming languages, each possessing distinct philosophies, grammatical structures, and components. Consequently, developers are increasingly involved in SC programming. However, these languages are platform specific, implying that a transition to another platform necessitates the use of different languages. Additionally, developers require a certain level of control over SCs to address encountered bugs and ensure maintenance. To address these developer-centric challenges, this paper presents SCEditor, a novel Eclipse Sirius-based prototype editor designed for the visualization, design, and creation of SCs. The editor proposes a means of standardizing the usage of SC programming languages through the incorporation of graphical syntax and a metamodel conforming to Model-Driven Engineering (MDE) principles and SC construction rules to generate an abstract SC model. The efficacy of this editor is demonstrated through testing on a voting SC written in Vyper and Solidity languages. Furthermore, the editor holds potential for future exploitation in model transformation and code generation for various SC languages. © (2024), (Science and Information Organization). All Rights Reserved.</t>
  </si>
  <si>
    <t>Peer-reviewed prototype study introducing an Eclipse Sirius-based platform-independent graphical smart-contract editor and validating its metamodel with a Solidity/Vyper voting contract.</t>
  </si>
  <si>
    <t>PS059</t>
  </si>
  <si>
    <t>Xiangping Chen; Ziang Qian; Peiyong Liao; Yuan Huang; Changlin Yang; Zibin Zheng</t>
  </si>
  <si>
    <t>Characterizing Smart Contract Evolution</t>
  </si>
  <si>
    <t>10.1145/3719004</t>
  </si>
  <si>
    <t>https://doi.org/10.1145/3719004</t>
  </si>
  <si>
    <t>ACM Trans. Softw. Eng. Methodol.</t>
  </si>
  <si>
    <t>ACM; ACM small; Web of Science</t>
  </si>
  <si>
    <t>Smart Contract; Software Evolution; Code Clone</t>
  </si>
  <si>
    <t>Smart contracts are programs that permanently store and automatically execute on the blockchain system such as Ethereum. Due to the non-tamperable nature of the underlying blockchain, smart contracts are difficult to update once deployed, which requires redeploying the contracts and migrating the data. It means that the observation of smart contract evolution in the real world makes more sense. Hence, in this article, we conducted the first large-scale empirical study to characterize the evolution of smart contracts in Ethereum. For evolution identification, we presented a contract similarity-based search algorithm, digEvolution, and evaluated its effectiveness with five different search strategies. Then we applied this algorithm to 80,152 on-chain contracts we collected from Ethereum, to dig out the evolution among these contracts. We then explored three research questions. We first studied whether the evolution of smart contracts is common (RQ1), then we studied how do the Gas consumption (RQ2) and the vulnerability (RQ3) of smart contracts vary during the evolution. Our research results show that the evolution of smart contracts is not very common. There are some contract components that have vulnerability but still be called by users. The Gas consumption of most smart contracts doesn't vary during the evolution, contract is Gas-efficient before and after the evolution. The vulnerability of most smart contracts doesn't vary during the evolution, both are secure before and after the evolution.</t>
  </si>
  <si>
    <t>Peer-reviewed ACM TOSEM empirical study combining large-scale on-chain/open-source datasets, an evaluated evolution-detection algorithm, vulnerability/gas analyses and a developer survey.</t>
  </si>
  <si>
    <t>PS060</t>
  </si>
  <si>
    <t>Mo R.; Song H.; Ding W.; Wu C.</t>
  </si>
  <si>
    <t>Code Cloning in Solidity Smart Contracts: Prevalence, Evolution, and Impact on Development</t>
  </si>
  <si>
    <t>10.1109/icse55347.2025.00123</t>
  </si>
  <si>
    <t>https://doi.org/10.1109/icse55347.2025.00123</t>
  </si>
  <si>
    <t>Proceedings - International Conference on Software Engineering</t>
  </si>
  <si>
    <t>Blockchain; Clone Evolution; Code Cloning; Solidity Smart Contracts</t>
  </si>
  <si>
    <t>In recent years, the development of Solidity smart contracts has been increasing rapidly in popularity. Code cloning is a common coding practice, and many prior studies have revealed that code clones could negatively impact software maintenance and quality. However, there is little work systematically analyzing the nature and impacts of code clones in solidity smart contracts. To bridge this gap, we investigate the prevalence, evolution, and bug-proneness of code clones in solidity smart contracts, and further identify the possible reasons for these clones' occurrences. With our evaluation of 26,294 smart contracts with 97,877 functions, we have found that code clones are highly prevalent in smart contracts. Additionally, on average, 32.01% of clones co-evolve, indicating the need for careful management to avoid consistency issues. Surprisingly, unlike in traditional software development, code clones in smart contracts are rarely involved in bug fixes. Finally, we identify three main factors that affect the occurrences of clones. We believe our study can provide valuable insights for developers to understand and manage code clones in solidity smart contracts.  © 2025 IEEE.</t>
  </si>
  <si>
    <t>Peer-reviewed ICSE empirical study analysing clone prevalence, co-evolution, bug-proneness and causal factors across 26,294 Solidity smart contracts and 97,877 functions.</t>
  </si>
  <si>
    <t>PS061</t>
  </si>
  <si>
    <t>Lopez-Pimentel J.-C.; Del-Valle-Soto C.; Valdivia L.J.; Monroy R.</t>
  </si>
  <si>
    <t>Emphasizing the Early Phases of the Software Development Process Before Deploying Smart Contracts</t>
  </si>
  <si>
    <t>10.1109/access.2025.3530269</t>
  </si>
  <si>
    <t>https://doi.org/10.1109/access.2025.3530269</t>
  </si>
  <si>
    <t>Blockchain; smart contract; software-development; upgrading</t>
  </si>
  <si>
    <t>Immutability is one of the main characteristics of Blockchain. However, most software development is not static. This dilemma, among others, has caused a new branch of blockchain-oriented software engineering. This paper emphasizes the importance of the early phases of software development before deploying blockchain-based software. It follows case-based research to illustrate the implications of smart contracts designed in the early phases without including all requirements. The paper presents a digital identity case designed within a microservice architecture. We show two stages: an initial design and an upgrading requirement, which causes considerable changes in the architecture. The case is analyzed from three different perspectives: 1) Economic, finding that re-deploying smart contracts does not implicate considerable cost; 2) Computational perspective, finding that it generates various implications: smart contract purpose duplication, storage wastage, failure to recognize the original smart contract, cascade dependency repercussion, and migration problems; and 3) Interconnected effect, a simple change, required for upgrading smart contracts, generates broad collateral repercussions in both on-chain (within the blockchain) and off-chain. © 2025 The Authors.</t>
  </si>
  <si>
    <t>Peer-reviewed IEEE Access case-based software-engineering study examining the consequences of incomplete early-phase smart-contract design through a digital-identity system implemented with a microservice architecture.</t>
  </si>
  <si>
    <t>PS062</t>
  </si>
  <si>
    <t>Qasse, Ilham; Hamdaqa, Mohammad; Jonsson, Bjorn Thornor</t>
  </si>
  <si>
    <t>EvoChain: A Framework for Tracking and Visualizing Smart Contract Evolution</t>
  </si>
  <si>
    <t>10.1109/msr66628.2025.00076</t>
  </si>
  <si>
    <t>https://doi.org/10.1109/msr66628.2025.00076</t>
  </si>
  <si>
    <t>2025 IEEE/ACM 22ND INTERNATIONAL CONFERENCE ON MINING SOFTWARE REPOSITORIES, MSR</t>
  </si>
  <si>
    <t>Tracking the evolution of smart contracts is challenging due to their immutable nature and complex upgrade mechanisms. We introduce EvoChain, a comprehensive framework and dataset designed to track and visualize smart contract evolution. Building upon data from our previous empirical study, EvoChain models contract relationships using a Neo4j graph database and provides an interactive web interface for exploration. The framework consists of a data layer, an API layer, and a user interface layer. EvoChain allows stakeholders to analyze contract histories, upgrade paths, and associated vulnerabilities by leveraging these components. Our dataset encompasses approximately 1.3 million upgradeable proxies and nearly 15,000 historical versions, enhancing transparency and trust in blockchain ecosystems by providing an accessible platform for understanding smart contract evolution.</t>
  </si>
  <si>
    <t>Peer-reviewed MSR tool/dataset paper introducing EvoChain, a Neo4j-backed framework and public dataset for tracing upgradeable smart-contract versions, proxy relationships and vulnerabilities.</t>
  </si>
  <si>
    <t>PS063</t>
  </si>
  <si>
    <t>Zhang, Xiaoli; Song, Yiqiao; Du, Yuefeng; Cai, Chengjun; Cheng, Hongbing; Xu, Ke; Li, Qi</t>
  </si>
  <si>
    <t>SmartUpdater: Enabling Transparent, Automated, and Secure Maintenance of Stateful Smart Contracts</t>
  </si>
  <si>
    <t>10.1109/tse.2025.3548730</t>
  </si>
  <si>
    <t>https://doi.org/10.1109/tse.2025.3548730</t>
  </si>
  <si>
    <t>IEEE TRANSACTIONS ON SOFTWARE ENGINEERING</t>
  </si>
  <si>
    <t>Smart contracts in the Ethereum system are stored tamper-resistant, complicating necessary maintenance for offering new functionalities or fixing security vulnerabilities. Previous contract maintenance approaches mainly focus on logic modification using delegatecall-based patterns. While popular, they fail to handle data state updates (like storage layout changes), leading to impracticality and security risks in real-world applications. To address these challenges, this paper introduces SmartUpdater, a novel toolchain designed for transparent, automated, and secure maintenance of stateful smart contracts. SmartUpdater employs a hyperproxy-based contract maintenance pattern, where the hyperproxy serves as a constant entry and ensures that any state/logic modifications remain transparent to end users. SmartUpdater automates the maintenance process in terms of development streamlining, gas cost efficiency, and state migration verifiability. In extensive evaluations, we show that SmartUpdater can reduce gas consumption in contract maintenance compared with actual maintenance approaches. The evaluations point out the potential of SmartUpdater to significantly simplify the maintenance process for developers.</t>
  </si>
  <si>
    <t>Peer-reviewed IEEE Transactions on Software Engineering study introducing SmartUpdater and evaluating transparent stateful smart-contract maintenance using 1,355 real-world maintenance cases, developer-oriented evaluation, gas analysis and verifiable state migration.</t>
  </si>
  <si>
    <t>PS064</t>
  </si>
  <si>
    <t>Wang, Yanze; Feng, Qi; Li, Jingyue; Li, Shanshan; Zhang, He</t>
  </si>
  <si>
    <t>Model-Driven Full-Lifecycle Support Reference Framework for Blockchain-Based Application Development</t>
  </si>
  <si>
    <t>10.1002/smr.70111</t>
  </si>
  <si>
    <t>https://doi.org/10.1002/smr.70111</t>
  </si>
  <si>
    <t>JOURNAL OF SOFTWARE-EVOLUTION AND PROCESS</t>
  </si>
  <si>
    <t>Blockchain technology has the potential to improve various traditional industries by enabling decentralized, tamper-resistant data management and transparency. These characteristics, however, make the development of blockchain-based applications demanding and costly. Model-driven development (MDD) offers a paradigm by abstracting low-level details into higher level models, thereby potentially enhancing efficiency and reducing errors. Yet, existing MDD-based solutions are fragmented and lack comprehensive support for the software development lifecycle (SDLC) in a consistent manner. Moreover, the intrinsic complexity of blockchain and its heterogeneous infrastructures introduces further challenges across SDLC stages, highlighting the need for a unified framework that systematically integrates MDD with blockchain-specific development. This research proposes an MDD-based reference framework that supports a consistent modeling process across the entire SDLC of blockchain-based applications, from requirements to deployment. The framework adapts various modeling techniques to address blockchain-specific features such as decentralization, one-time smart-contract deployment, and immutable data record. The model transformation methods are improved to support the seamless full SDLC development process of blockchain-based systems. The proposed reference framework is platform independent at modeling level, enabling compatibility with heterogeneous blockchain platforms. Its adaptability was validated through a prototype implementation supporting both Ethereum and Hyperledger Fabric. Further, a comparative case study was conducted on a cross-border food supply chain. The results demonstrate the feasibility and adaptability of the MDD-based reference framework, as well as improved efficiency for blockchain-based system development, which promotes a broader adoption of blockchain technology.</t>
  </si>
  <si>
    <t>Source-version verification pending</t>
  </si>
  <si>
    <t>The uploaded PS064.pdf is explicitly labelled a preprint that has not been peer reviewed. The existing Included_94 study metadata records a peer-reviewed 2026 Journal of Software Evolution and Process version (DOI 10.1002/smr.70111). Replace the uploaded preprint with the Version of Record before locking QA scores.</t>
  </si>
  <si>
    <t>PS065</t>
  </si>
  <si>
    <t>Loi Luu; Duc-Hiep Chu; Hrishi Olickel; Prateek Saxena; Aquinas Hobor</t>
  </si>
  <si>
    <t>Making Smart Contracts Smarter</t>
  </si>
  <si>
    <t>10.1145/2976749.2978309</t>
  </si>
  <si>
    <t>https://doi.org/10.1145/2976749.2978309</t>
  </si>
  <si>
    <t>Proceedings of the 2016 ACM SIGSAC Conference on Computer and Communications Security (CCS 2016)</t>
  </si>
  <si>
    <t>This study investigates security vulnerabilities in Ethereum smart contracts executed in an open distributed environment. The authors identify classes of attacks that exploit subtle aspects of smart-contract execution and propose improvements to Ethereum's operational semantics to reduce exposure to such vulnerabilities. They also develop Oyente, a symbolic-execution tool for automatically detecting potential smart-contract security bugs. Applied to 19,336 deployed Ethereum contracts, Oyente flags 8,833 as potentially vulnerable, including behavior related to the DAO incident. The study further examines representative attacks through case studies and demonstrates exploit scenarios on the Ethereum network using controlled accounts.</t>
  </si>
  <si>
    <t>Smart contract assurance</t>
  </si>
  <si>
    <t>Peer-reviewed ACM CCS benchmark study introducing Oyente, formalizing Ethereum smart-contract execution/security issues and evaluating symbolic vulnerability detection on 19,366 deployed contracts with manual and main-network case validation.</t>
  </si>
  <si>
    <t>PS066</t>
  </si>
  <si>
    <t>Petar Tsankov; Andrei Dan; Dana Drachsler-Cohen; Arthur Gervais; Florian Bünzli; Martin T. Vechev</t>
  </si>
  <si>
    <t>Securify: Practical Security Analysis of Smart Contracts</t>
  </si>
  <si>
    <t>10.1145/3243734.3243780</t>
  </si>
  <si>
    <t>https://doi.org/10.1145/3243734.3243780</t>
  </si>
  <si>
    <t>Proceedings of the 2018 ACM SIGSAC Conference on Computer and Communications Security (CCS 2018)</t>
  </si>
  <si>
    <t>Smart contracts; Security analysis; Stratified Datalog</t>
  </si>
  <si>
    <t>This study presents Securify, an automated security-analysis system for Ethereum smart contracts. The approach first derives semantic information from a contract's dependency graph and then checks configurable compliance and violation patterns that provide sufficient conditions for classifying behaviors as safe or unsafe with respect to specified properties. The patterns are expressed in a dedicated domain-specific language to support extensibility. Securify was publicly released and evaluated on real-world Ethereum contracts; the authors report use on more than 18,000 user-submitted contracts as well as adoption in professional security-audit activities, demonstrating both scalability and practical relevance.</t>
  </si>
  <si>
    <t>Peer-reviewed ACM CCS study presenting the automated Securify verifier, extensive real-world Ethereum evaluation, comparisons with symbolic analyzers, operational audit experience and a publicly released implementation.</t>
  </si>
  <si>
    <t>PS067</t>
  </si>
  <si>
    <t>Sukrit Kalra; Seep Goel; Mohan Dhawan; Subodh Sharma</t>
  </si>
  <si>
    <t>ZEUS: Analyzing Safety of Smart Contracts</t>
  </si>
  <si>
    <t>10.14722/ndss.2018.23082</t>
  </si>
  <si>
    <t>https://doi.org/10.14722/ndss.2018.23082</t>
  </si>
  <si>
    <t>Network and Distributed System Security Symposium (NDSS 2018)</t>
  </si>
  <si>
    <t>Blockchain; Smart Contracts; Model Checking</t>
  </si>
  <si>
    <t>This study introduces ZEUS, a formal-analysis framework for verifying smart-contract correctness and fairness. ZEUS combines abstract interpretation, symbolic model checking, and constrained Horn clauses to check contracts against safety properties and higher-level business requirements. A prototype was implemented for Ethereum and Hyperledger Fabric and evaluated on more than 22,000 smart contracts. The authors report that a large proportion of the evaluated contracts exhibited vulnerabilities, while ZEUS achieved zero false negatives in their evaluation, a low false-positive rate, and substantially faster analysis than prior approaches. The study therefore provides large-scale evidence for automated smart-contract assurance.</t>
  </si>
  <si>
    <t>Peer-reviewed NDSS study presenting an automated formal-verification framework using abstract interpretation, symbolic model checking and constrained Horn clauses, evaluated on 22,493 Solidity contracts and demonstrated for Ethereum and Hyperledger Fabric.</t>
  </si>
  <si>
    <t>PS068</t>
  </si>
  <si>
    <t>Liu Z.; Liu J.</t>
  </si>
  <si>
    <t>Formal verification of blockchain smart contract based on colored petri net models</t>
  </si>
  <si>
    <t>10.1109/compsac.2019.10265</t>
  </si>
  <si>
    <t>https://doi.org/10.1109/compsac.2019.10265</t>
  </si>
  <si>
    <t>Proceedings - International Computer Software and Applications Conference</t>
  </si>
  <si>
    <t>CPN; Formal verification; Index Terms—blockchain; Smart contract</t>
  </si>
  <si>
    <t>A smart contract is a computer protocol intended to digitally facilitate and enforce the negotiation of a contract in undependable environment. However, the number of attacks using the vulnerabilities of the smart contracts is also growing in recent years. Many solutions have been proposed in order to deal with them, such as documenting vulnerabilities or setting the security strategies. Among them, the most influential progress is made by the formal verification method. In this paper, we propose a formal verification method based on Colored Petri Nets (CPN) to verify smart contracts in blockchain system. First, we develop the smart contract models with possible attacker models based on hierarchical CPN modeling, then the smart contract models are executed by step-by-step simulation to validate their functional correctness, and finally we utilize the branch timing logic ASK-CTL based model checking technology in the CPN tools to detect latent vulnerabilities in smart contracts. We demonstrate that our CPN modeling based verification method can not only detect the logical vulnerabilities of the smart contract, but also consider the impacts of users behavior to find out potential non-logical vulnerabilities in the contracts, such as the vulnerabilities caused by the limitations of the Solidity language. © 2019 IEEE.</t>
  </si>
  <si>
    <t>Peer-reviewed IEEE COMPSAC primary study proposing hierarchical Colored Petri Net modelling and ASK-CTL model checking for smart-contract verification, demonstrated with a crowdfunding contract and attacker model.</t>
  </si>
  <si>
    <t>PS069</t>
  </si>
  <si>
    <t>Ye, Jiaming; Ma, Mingliang; Lin, Yun; Sui, Yulei; Xue, Yinxing</t>
  </si>
  <si>
    <t>Clairvoyance: Cross-contract Static Analysis for Detecting Practical Reentrancy Vulnerabilities in Smart Contracts</t>
  </si>
  <si>
    <t>10.1145/3377812.3390908</t>
  </si>
  <si>
    <t>https://doi.org/10.1145/3377812.3390908</t>
  </si>
  <si>
    <t>2020 ACM/IEEE 42ND INTERNATIONAL CONFERENCE ON SOFTWARE ENGINEERING: COMPANION PROCEEDINGS (ICSE-COMPANION 2020)</t>
  </si>
  <si>
    <t>Reentrancy bugs in smart contracts caused a devastating financial loss in 2016, considered as one of the most severe vulnerabilities in smart contracts. Most of the existing general-purpose security tools for smart contracts have claimed to be able to detect reentrancy bugs. In this paper, we present Clairvoyance, a cross-function and cross-contract static analysis by identifying infeasible paths to detect reentrancy vulnerabilities in smart contracts. To reduce FPs, we have summarized five major path protective techniques (PPTs) to support fast yet precise path feasibility checking. We have implemented our approach and compared Clairvoyance with three state-of-the-art tools on 17770 real-worlds contracts. The results show that Clairvoyance yields the best detection accuracy among all the tools.</t>
  </si>
  <si>
    <t>Peer-reviewed ASE study introducing Clairvoyance, grounded in an empirical study of 11,714 contracts and evaluated against five state-of-the-art tools on 17,770 real-world contracts.</t>
  </si>
  <si>
    <t>PS070</t>
  </si>
  <si>
    <t>Yang, Zhen; Keung, Jacky; Zhang, Miao; Xiao, Yan; Huang, Yangyang; Hui, Tik</t>
  </si>
  <si>
    <t>Smart Contracts Vulnerability Auditing With Multi-Semantics</t>
  </si>
  <si>
    <t>10.1109/compsac48688.2020.0-153</t>
  </si>
  <si>
    <t>https://doi.org/10.1109/compsac48688.2020.0-153</t>
  </si>
  <si>
    <t>2020 IEEE 44TH ANNUAL COMPUTERS, SOFTWARE, AND APPLICATIONS CONFERENCE (COMPSAC 2020)</t>
  </si>
  <si>
    <t>Smart contracts vulnerability auditing is vitally critical to ensure transaction execution in normal on blockchain. The current data-driven approaches normally tokenize smart contracts into a series of sequences according to only one tokenization standard for vulnerability detection purpose, resulting some of the semantic contexts could not be reflected within restricted sequence length. To address this limitation, we generate sequences from smart contracts in three tokenization standards for which we utilize ngram language model to capture semantic contexts respectively, and finally exploiting our effective combination strategy of Intersection or Union to integrate the audited results from multiple semantic contexts. In order to evaluate the proposed approach, we applied it on over 7200 Ethereum smart contract samples. Experimental result shows our proposed method is capable of detecting vulnerabilities and competitive with the baseline in test sets, with improved precision of over 44% when Intersection is applied in their results, as well as improved Recall measure up by over 300% and F-measure up by 220% when Union is applied. Our proposed method for smart contract vulnerability detection, an important tool for developing quality decentralized software applications, is able to analyze multiple semantic contexts and successfully detects more true vulnerabilities with high precision, outperforming that of the baseline approaches.</t>
  </si>
  <si>
    <t>Peer-reviewed IEEE COMPSAC study introducing MSgram, evaluating multi-semantic N-gram vulnerability auditing on more than 7,200 Ethereum smart contracts with train/test separation and comparison against the S-gram baseline.</t>
  </si>
  <si>
    <t>PS071</t>
  </si>
  <si>
    <t>Jiang, Bo; Chen, Yifei; Wang, Dong; Ashraf, Imran; Chan, W. K.</t>
  </si>
  <si>
    <t>WANA: Symbolic Execution of Wasm Bytecode for Extensible Smart Contract Vulnerability Detection</t>
  </si>
  <si>
    <t>10.1109/qrs54544.2021.00102</t>
  </si>
  <si>
    <t>https://doi.org/10.1109/qrs54544.2021.00102</t>
  </si>
  <si>
    <t>2021 IEEE 21ST INTERNATIONAL CONFERENCE ON SOFTWARE QUALITY, RELIABILITY AND SECURITY (QRS 2021)</t>
  </si>
  <si>
    <t>Many popular blockchain platforms support smart contracts for building decentralized applications. However, the vulnerabilities within smart contracts have demonstrated to lead to serious financial loss to their end users. In particular, the smart contracts on EOSIO smart contract platform have resulted in the loss of around 380K EOS tokens, which was around 1.9 million worth of USD at the time of attack. The EOSIO smart contract platform is based on the Wasm VM, which is also the underlying system supporting other smart contract platforms as well as Web application. In this work, we present WANA, an extensible smart contract vulnerability detection tool based on the symbolic execution for Wasm bytecode. WANA proposes a set of algorithms to detect the vulnerabilities in EOSIO smart contracts based on Wasm bytecode analysis. Our experimental analysis shows that WANA can effectively and efficiently detect vulnerabilities in EOSIO smart contracts. Furthermore, our case study also demonstrates that WANA can be extended to effectively detect vulnerabilities in Ethereum smart contracts.</t>
  </si>
  <si>
    <t>Peer-reviewed IEEE QRS study presenting the open-source WANA symbolic-execution framework, evaluated on 65,285 EOSIO contracts and extended through an Ethereum vulnerability-detection case study.</t>
  </si>
  <si>
    <t>PS072</t>
  </si>
  <si>
    <t>Yao Y.; Li H.; Yang X.; Le Y.</t>
  </si>
  <si>
    <t>An Improved Vulnerability Detection System of Smart Contracts Based on Symbolic Execution</t>
  </si>
  <si>
    <t>10.1109/bigdata55660.2022.10020730</t>
  </si>
  <si>
    <t>https://doi.org/10.1109/bigdata55660.2022.10020730</t>
  </si>
  <si>
    <t>Proceedings - 2022 IEEE International Conference on Big Data, Big Data 2022</t>
  </si>
  <si>
    <t>Machine Learning; Smart Contract; Symbolic Execution; Vulnerability</t>
  </si>
  <si>
    <t>Smart contracts emerged as programs running on the blockchain. Security is one of the major concerns against smart contracts which also exist various vulnerabilities as for any other traditional programs. What was worse, security vulnerabilities in smart contracts may lead to irreversible economic losses. Hence, there is an apparent demand for security audits of contracts before deployment. In recent years, a large number of smart contract vulnerability detection tools have emerged. The methods used by these tools include formal verification, symbolic execution, machine learning, and fuzz testing. These methods can well analyze vulnerabilities, but there are still limitations. In this paper, we optimized and extended the Mythril symbolic execution tool. The optimized pruning algorithm improves the speed of symbolic execution, while the proposed detection algorithm for Transaction Order Dependence vulnerability expands the range of detecting vulnerability. In addition, a machine learning vulnerability detection model is introduced as an auxiliary detection method, which is used to build the complete smart contract vulnerability detection system. The experimental results show that the proposed system reduces the execution time, and improves the accuracy as well as the recall of vulnerability detection compared with the original Mythril tool. © 2022 IEEE.</t>
  </si>
  <si>
    <t>Peer-reviewed IEEE Big Data study improving Mythril through path pruning and transaction-order-dependence detection and combining symbolic execution with an LSTM classifier, evaluated using a constructed smart-contract dataset.</t>
  </si>
  <si>
    <t>PS073</t>
  </si>
  <si>
    <t>Zhang, Lejun; Chen, Weijie; Wang, Weizheng; Jin, Zilong; Zhao, Chunhui; Cai, Zhennao; Chen, Huiling</t>
  </si>
  <si>
    <t>CBGRU: A Detection Method of Smart Contract Vulnerability Based on a Hybrid Model</t>
  </si>
  <si>
    <t>10.3390/s22093577</t>
  </si>
  <si>
    <t>https://doi.org/10.3390/s22093577</t>
  </si>
  <si>
    <t>SENSORS</t>
  </si>
  <si>
    <t>In the context of the rapid development of blockchain technology, smart contracts have also been widely used in the Internet of Things, finance, healthcare, and other fields. There has been an explosion in the number of smart contracts, and at the same time, the security of smart contracts has received widespread attention because of the financial losses caused by smart contract vulnerabilities. Existing analysis tools can detect many smart contract security vulnerabilities, but because they rely too heavily on hard rules defined by experts when detecting smart contract vulnerabilities, the time to perform the detection increases significantly as the complexity of the smart contract increases. In the present study, we propose a novel hybrid deep learning model named CBGRU that strategically combines different word embedding (Word2Vec, FastText) with different deep learning methods (LSTM, GRU, BiLSTM, CNN, BiGRU). The model extracts features through different deep learning models and combine these features for smart contract vulnerability detection. On the currently publicly available dataset SmartBugs Dataset-Wild, we demonstrate that the CBGRU hybrid model has great smart contract vulnerability detection performance through a series of experiments. By comparing the performance of the proposed model with that of past studies, the CBGRU model has better smart contract vulnerability detection performance.</t>
  </si>
  <si>
    <t>Peer-reviewed Sensors study proposing a hybrid deep-learning vulnerability detector and evaluating it on SmartBugs Dataset-Wild against multiple neural-network and prior smart-contract vulnerability-detection approaches.</t>
  </si>
  <si>
    <t>PS074</t>
  </si>
  <si>
    <t>Zheng P.; Zheng Z.; Luo X.</t>
  </si>
  <si>
    <t>Park: Accelerating smart contract vulnerability detection via parallel-fork symbolic execution</t>
  </si>
  <si>
    <t>10.1145/3533767.3534395</t>
  </si>
  <si>
    <t>https://doi.org/10.1145/3533767.3534395</t>
  </si>
  <si>
    <t>ISSTA 2022 - Proceedings of the 31st ACM SIGSOFT International Symposium on Software Testing and Analysis</t>
  </si>
  <si>
    <t>Blockchain; Smart Contract; Symbolic Execution</t>
  </si>
  <si>
    <t>Symbolic detection has been widely used to detect vulnerabilities in smart contracts. Unfortunately, as reported, existing symbolic tools cost too much time, since they need to execute all paths to detect vulnerabilities. Thus, their accuracy is limited by time. To tackle this problem, in this paper, we propose Park, the first general framework of parallel-fork symbolic execution for smart contracts. The main idea is to use multiple processes during symbolic execution, leveraging multiple CPU cores to enhance efficiency. Firstly, we propose a fork-operation based dynamic forking algorithm to achieve parallel symbolic contract execution. Secondly, to address the SMT performance loss problem in parallelization, we propose an adaptive processes restriction and adjustment algorithm. Thirdly, we design a shared-memory based global variable reconstruction method to collect and rebuild the global variables from different processes. We implement Park as a plug-in and apply it to two popular symbolic execution tools for smart contracts: Oyente and Mythril. The experimental results with third-party datasets show that Park-Oyente and Park-Mythril can provide up to 6.84x and 7.06x speedup compared to original tools, respectively.  © 2022 ACM.</t>
  </si>
  <si>
    <t>Peer-reviewed ACM ISSTA study introducing a parallel-fork symbolic-execution framework and applying it to Oyente and Mythril, evaluated on third-party SmartBugs and XBlock-ETH datasets.</t>
  </si>
  <si>
    <t>PS075</t>
  </si>
  <si>
    <t>Zhang Z.; Lei Y.; Yan M.; Yu Y.; Chen J.; Wang S.; Mao X.</t>
  </si>
  <si>
    <t>Reentrancy Vulnerability Detection and Localization: A Deep Learning Based Two-phase Approach</t>
  </si>
  <si>
    <t>10.1145/3551349.3560428</t>
  </si>
  <si>
    <t>https://doi.org/10.1145/3551349.3560428</t>
  </si>
  <si>
    <t>ACM International Conference Proceeding Series</t>
  </si>
  <si>
    <t>fault localization; reentrancy vulnerability; Smart contract; vulnerability detection</t>
  </si>
  <si>
    <t>Smart contracts have been widely and rapidly used to automate financial and business transactions together with blockchains, helping people make agreements while minimizing trusts. With millions of smart contracts deployed on blockchain, various bugs and vulnerabilities in smart contracts have emerged. Following the rapid development of deep learning, many recent studies have used deep learning for vulnerability detection to conduct security checks before deploying smart contracts. These approaches show effective results on detecting whether a smart contract is vulnerable or not whereas their results on locating suspicious statements responsible for the detected vulnerability are still unsatisfactory. To address this problem, we propose a deep learning based two-phase smart contract debugger for reentrancy vulnerability, one of the most severe vulnerabilities, named as ReVulDL: Reentrancy Vulnerability Detection and Localization. ReVulDL integrates the vulnerability detection and localization into a unified debugging pipeline. For the detection phase, given a smart contract, ReVulDL uses a graph-based pre-training model to learn the complex relationships in propagation chains for detecting whether the smart contract contains a reentrancy vulnerability. For the localization phase, if a reentrancy vulnerability is detected, ReVulDL utilizes interpretable machine learning to locate the suspicious statements in smart contract to provide interpretations of the detected vulnerability. Our large-scale empirical study on 47,398 smart contracts shows that ReVulDL achieves promising results in detecting reentrancy vulnerabilities (e.g., outperforming 16 state-of-the-art vulnerability detection approaches) and locating vulnerable statements (e.g., 70.38% of the vulnerable statements are ranked within Top-10).  © 2022 ACM.</t>
  </si>
  <si>
    <t>Peer-reviewed ASE study introducing ReVulDL, a two-phase deep-learning approach for reentrancy detection and statement-level localization, evaluated on 47,398 SmartBugs Wild contracts against extensive baselines.</t>
  </si>
  <si>
    <t>PS076</t>
  </si>
  <si>
    <t>Zhang L.; Wang J.; Wang W.; Jin Z.; Su Y.; Chen H.</t>
  </si>
  <si>
    <t>Smart contract vulnerability detection combined with multi-objective detection</t>
  </si>
  <si>
    <t>10.1016/j.comnet.2022.109289</t>
  </si>
  <si>
    <t>https://doi.org/10.1016/j.comnet.2022.109289</t>
  </si>
  <si>
    <t>Computer Networks</t>
  </si>
  <si>
    <t>Blockchain; Machine learning; Multi-objective; Smart contract; Vulnerability detection</t>
  </si>
  <si>
    <t>Blockchains have been booming in recent years. As a decentralized system architecture, smart contracts give blockchains a user-defined logic. A smart contract is an executable program that can automatically carry out transactions on the Ethereum blockchain. However, some security issues in smart contracts are difficult to fix, and smart contracts also lack quality assessment standards. Therefore, this study proposes a Multiple-Objective Detection Neural Network (MODNN), a more scalable smart contract vulnerability detection tool. MODNN can validate 12 types of vulnerabilities, including 10 recognized threats, and identify more unknown types without the need for specialist or predefined knowledge through implicit features and Multi-Objective detection (MOD) algorithms. It supports the parallel detection of multiple vulnerabilities and has high scalability, eliminating the need to train separate models for each type of vulnerability and reducing significant time and labor costs. This paper also developed a data processing tool called Smart Contract-Crawler (SCC) to address the lack of smart contract vulnerability datasets. MODNN was evaluated using more than 18,000 smart contracts from Ethereum. Experiments showed that MODNN could achieve an average F1 Score of 94.8%, the current highest compared to several standard machine learning (ML) classification models. © 2022 Elsevier B.V.</t>
  </si>
  <si>
    <t>Peer-reviewed Computer Networks study proposing MODNN and Smart Contract-Crawler, with multi-dataset experimental evaluation of multi-objective smart-contract vulnerability detection.</t>
  </si>
  <si>
    <t>PS077</t>
  </si>
  <si>
    <t>Guo R.; Chen W.; Zhang L.; Wang G.; Chen H.</t>
  </si>
  <si>
    <t>Smart Contract Vulnerability Detection Model Based on Siamese Network (SCVSN): A Case Study of Reentrancy Vulnerability</t>
  </si>
  <si>
    <t>10.3390/en15249642</t>
  </si>
  <si>
    <t>https://doi.org/10.3390/en15249642</t>
  </si>
  <si>
    <t>Energies</t>
  </si>
  <si>
    <t>deep learning; siamese network; smart contract</t>
  </si>
  <si>
    <t>Blockchain technology is currently evolving rapidly, and smart contracts are the hallmark of the second generation of blockchains. Currently, smart contracts are gradually being used in power system networks to build a decentralized energy system. Security is very important to power systems and attacks launched against smart contract vulnerabilities occur frequently, seriously affecting the development of the smart contract ecosystem. Current smart contract vulnerability detection tools suffer from low correct rates and high false positive rates, which cannot meet current needs. Therefore, we propose a smart contract vulnerability detection system based on the Siamese network in this paper. We improved the original Siamese network model to perform smart contract vulnerability detection by comparing the similarity of two sub networks with the same structure and shared parameters. We also demonstrate, through extensive experiments, that the model has better vulnerability detection performance and lower false alarm rate compared with previous research results. © 2022 by the authors.</t>
  </si>
  <si>
    <t>Peer-reviewed Energies study proposing a Siamese-network model for reentrancy vulnerability detection, evaluated on SmartBugs Dataset-Wild and SolidiFI-derived data.</t>
  </si>
  <si>
    <t>PS078</t>
  </si>
  <si>
    <t>Ghaleb A.; Rubin J.; Pattabiraman K.</t>
  </si>
  <si>
    <t>AChecker: Statically Detecting Smart Contract Access Control Vulnerabilities</t>
  </si>
  <si>
    <t>10.1109/icse48619.2023.00087</t>
  </si>
  <si>
    <t>https://doi.org/10.1109/icse48619.2023.00087</t>
  </si>
  <si>
    <t>access control; data-flow analysis; security; Smart contract</t>
  </si>
  <si>
    <t>As most smart contracts have a financial nature and handle valuable assets, smart contract developers use access control to protect assets managed by smart contracts from being misused by malicious or unauthorized people. Unfortunately, programming languages used for writing smart contracts, such as Solidity, were not designed with a permission-based security model in mind. Therefore, smart contract developers implement access control checks based on their judgment and in an adhoc manner, which results in several vulnerabilities in smart contracts, called access control vulnerabilities. Further, the in-consistency in implementing access control makes it difficult to reason about whether a contract meets access control needs and is free of access control vulnerabilities. In this work, we propose AChecker - an approach for detecting access control vulnerabilities. Unlike prior work, AChecker does not rely on pre-defined patterns or contract transactions history. Instead, it infers access control implemented in smart contracts via static data-flow analysis. Moreover, the approach performs further symbolic-based analysis to distinguish cases when unauthorized people can obtain control of the contract as intended functionality. We evaluated AChecker on three public datasets of real-world smart contracts, including one which consists of contracts with assigned access control CVEs, and compared its effectiveness with eight analysis tools. The evaluation results showed that AChecker outperforms these tools in terms of both precision and recall. In addition, AChecker flagged vulnerabilities in 21 frequently-used contracts on Ethereum blockchain with 90% precision. © 2023 IEEE.</t>
  </si>
  <si>
    <t>Peer-reviewed ICSE study introducing AChecker, a static data-flow and symbolic-execution approach for access-control vulnerabilities, evaluated on three real-world/public datasets.</t>
  </si>
  <si>
    <t>PS079</t>
  </si>
  <si>
    <t>Zhang Y.; Ma J.; Liu X.; Ye G.; Jin Q.; Ma J.; Zhou Q.</t>
  </si>
  <si>
    <t>An Efficient Smart Contract Vulnerability Detector Based on Semantic Contract Graphs Using Approximate Graph Matching</t>
  </si>
  <si>
    <t>10.1109/jiot.2023.3294496</t>
  </si>
  <si>
    <t>https://doi.org/10.1109/jiot.2023.3294496</t>
  </si>
  <si>
    <t>Approximate graph matching; semantic contract graph; smart blockchain; smart contracts; vulnerability</t>
  </si>
  <si>
    <t>The Internet of Things (IoT) has become a focus of information infrastructure development in recent years. The smart blockchain can provide various solutions for trust, security, and privacy (TSP) challenges to protect IoT data, and smart contracts are the foundation of blockchain intelligence, and greatly enhance the ability of smart blockchain to solve TSP problems. So, the security of smart contracts must be addressed. We propose an efficient smart contract vulnerability detector to improve the safety of smart contracts. It comprises a graph extraction method and a complete vulnerability detection process. The graph extraction method consists of vulnerability pattern extraction and a graph generation process. The vulnerability detection process first uses the approximate graph matching algorithm to select representative SCGraphs from the data set to build vulnerability SCGraph libraries. Second, determine whether the contract contains vulnerabilities by calculating the similarity between the SCGraphs generated from the contracts to be detected and the SCGraphs in the vulnerability library. Experiments show that our approach achieves an inspiring high detection rate and is the fastest among existing vulnerability detection tools, which indicates that it can provide good vulnerability detection for smart contracts.  © 2014 IEEE.</t>
  </si>
  <si>
    <t>Peer-reviewed IEEE Internet of Things Journal study proposing SCGraph vulnerability libraries and approximate graph matching, evaluated on benchmark and real-world Ethereum contracts.</t>
  </si>
  <si>
    <t>PS080</t>
  </si>
  <si>
    <t>Cai J.; Li B.; Zhang J.; Sun X.; Chen B.</t>
  </si>
  <si>
    <t>Combine sliced joint graph with graph neural networks for smart contract vulnerability detection</t>
  </si>
  <si>
    <t>10.1016/j.jss.2022.111550</t>
  </si>
  <si>
    <t>https://doi.org/10.1016/j.jss.2022.111550</t>
  </si>
  <si>
    <t>Journal of Systems and Software</t>
  </si>
  <si>
    <t>Code representation; Graph neural network; Smart contract; Vulnerability detection</t>
  </si>
  <si>
    <t>Smart contract security has drawn extensive attention in recent years because of the enormous economic losses caused by vulnerabilities. Even worse, fixing bugs in a deployed smart contract is difficult, so developers must detect security vulnerabilities in a smart contract before deployment. Existing smart contract vulnerability detection efforts heavily rely on fixed rules defined by experts, which are inefficient and inflexible. To overcome the limitations of existing vulnerability detection approaches, we propose a GNN based approach for smart contract vulnerability detection. First, we construct a graph representation for a smart contract function with syntactic and semantic features by combining abstract syntax tree (AST), control flow graph (CFG), and program dependency graph (PDG). To further strengthen the presentation ability of our approach, we perform program slicing to normalize the graph and eliminate the redundant information unrelated to vulnerabilities. Then, we use a Bidirectional Gated Graph Neural-Network model with hybrid attention pooling to identify potential vulnerabilities in smart contract functions. Empirical results show that our approach can achieve 89.2% precision and 92.9% recall in smart contract vulnerability detection on our dataset and reveal the effectiveness and efficiency of our approach. © 2022 Elsevier Inc.</t>
  </si>
  <si>
    <t>Peer-reviewed Journal of Systems and Software study proposing sliced joint code graphs and a bidirectional GGNN with hybrid attention for smart-contract vulnerability detection.</t>
  </si>
  <si>
    <t>PS081</t>
  </si>
  <si>
    <t>Le H.-B.; Le D.-T.; Trung D.M.; Tran T.-D.; Duy P.T.; Pham V.-H.</t>
  </si>
  <si>
    <t>Contextual Language Model and Transfer Learning for Reentrancy Vulnerability Detection in Smart Contracts</t>
  </si>
  <si>
    <t>10.1145/3628797.3628945</t>
  </si>
  <si>
    <t>https://doi.org/10.1145/3628797.3628945</t>
  </si>
  <si>
    <t>Blockchain; Deep learning; Language model; Reentrancy vulnerability; Smart contract</t>
  </si>
  <si>
    <t>The proliferation of smart contracts on blockchain technology has led to several security vulnerabilities, causing significant financial losses and instability in the contract layer. Existing machine learning-based static analysis tools have limited detection accuracy, even for known vulnerabilities. In this study, we propose a novel deep learning-based model combined with attention mechanisms for identifying security vulnerabilities in smart contracts. Our experiments on two large datasets (SmartBugs Wild and Slither Audited Smart Contracts) demonstrate that our approach successfully achieves a 90% detection accuracy in identifying smart contract reentrancy attacks (e.g. performing better than other existing state-of-the-art deep learning-based approaches). In addition, this work also establishes the practical application of deep learning-based technology in smart contract reentrancy vulnerability detection, which can promote future research in this domain.  © 2023 ACM.</t>
  </si>
  <si>
    <t>Peer-reviewed SOICT 2023 study using customized DistilBERT pretraining and LSTM/MLP fine-tuning for reentrancy vulnerability detection on SmartBugs Wild and Slither audited contracts.</t>
  </si>
  <si>
    <t>PS082</t>
  </si>
  <si>
    <t>Nelaturu K.; Mavridou A.; Stachtiari E.; Veneris A.; Laszka A.</t>
  </si>
  <si>
    <t>Correct-by-Design Interacting Smart Contracts and a Systematic Approach for Verifying ERC20 and ERC721 Contracts with VeriSolid</t>
  </si>
  <si>
    <t>10.1109/tdsc.2022.3200840</t>
  </si>
  <si>
    <t>https://doi.org/10.1109/tdsc.2022.3200840</t>
  </si>
  <si>
    <t>EIP; ERC20; ERC721; ethereum; Smart contracts; solidity; verification</t>
  </si>
  <si>
    <t>Blockchain-based smart contracts enable the creation of decentralized applications, which often handle assets of considerable value. While the underlying platforms guarantee the correctness of smart-contract execution, they cannot ensure that the code of a contract is correct. Today, as evidenced by a number of recent security breaches, developers still have a hard time making contracts that work properly.Even though these incidents often exploit contract interaction, prior work on smart-contract verification, vulnerability discovery, and secure development typically considers only individual contracts in isolation. To address this gap, we introduce the VeriSolid framework for the formal verification of contracts that are specified using a abstract state machine based model with rigorous operational semantics. Our model-based approach allows developers to reason about and verify the behavior of a set of interacting contracts at a high level of abstraction. VeriSolid allows the generation of Solidity code that is functionally and behaviorally equivalent to verified models, which enables the creation of correct-by-design smart contracts. We additionally introduce a graphical notation (called deployment diagrams) for specifying possible interactions between contract types. Based on this notation, we present a framework for the automated verification, generation, and deployment of contracts that conform to a deployment diagram. To demonstrate the applicability of VeriSolid, we translate existing Ethereum Improvement Proposal (EIP) specifications to temporal properties for two of the most popular contract interfaces: ERC20 and ERC721. We also show you how to write code for the ERC20 and ERC721 interfaces in a way that is safe, and we do this by using VeriSolid. We evaluate our framework on 726 contracts that are currently deployed on the Ethereum blockchain, which include 267 ERC20 and 459 ERC721 contracts. Our experiments indicate that 18% of ERC20 contracts and 4% of ERC721 contracts fail to satisfy the EIP specifications.  © 2004-2012 IEEE.</t>
  </si>
  <si>
    <t>Peer-reviewed IEEE Transactions on Dependable and Secure Computing study extending VeriSolid for interacting-contract modelling, formal verification, code generation and deployment, evaluated on 726 deployed ERC20/ERC721 contracts.</t>
  </si>
  <si>
    <t>PS083</t>
  </si>
  <si>
    <t>Qian P.; Liu Z.; Yin Y.; He Q.</t>
  </si>
  <si>
    <t>Cross-Modality Mutual Learning for Enhancing Smart Contract Vulnerability Detection on Bytecode</t>
  </si>
  <si>
    <t>10.1145/3543507.3583367</t>
  </si>
  <si>
    <t>https://doi.org/10.1145/3543507.3583367</t>
  </si>
  <si>
    <t>ACM Web Conference 2023 - Proceedings of the World Wide Web Conference, WWW 2023</t>
  </si>
  <si>
    <t>Bug detection; Cross modality; Mutual learning; Smart contract</t>
  </si>
  <si>
    <t>Over the past couple of years, smart contracts have been plagued by multifarious vulnerabilities, which have led to catastrophic financial losses. Their security issues, therefore, have drawn intense attention. As countermeasures, a family of tools has been developed to identify vulnerabilities in smart contracts at the source-code level. Unfortunately, only a small fraction of smart contracts is currently open-sourced. Another spectrum of work is presented to deal with pure bytecode, but most such efforts still suffer from relatively low performance due to the inherent difficulty in restoring abundant semantics in the source code from the bytecode. This paper proposes a novel cross-modality mutual learning framework for enhancing smart contract vulnerability detection on bytecode. Specifically, we engage in two networks, a student network as the primary network and a teacher network as the auxiliary network. takes two modalities, i.e., source code and its corresponding bytecode as inputs, while is fed with only bytecode. By learning from , is trained to infer the missed source code embeddings and combine both modalities to approach precise vulnerability detection. To further facilitate mutual learning between and , we present a cross-modality mutual learning loss and two transfer losses. As a side contribution, we construct and release a labeled smart contract dataset that concerns four types of common vulnerabilities. Experimental results show that our method significantly surpasses state-of-the-art approaches. © 2023 ACM.</t>
  </si>
  <si>
    <t>Peer-reviewed ACM Web Conference study proposing a teacher-student cross-modality framework for bytecode vulnerability detection and releasing a large labelled benchmark dataset.</t>
  </si>
  <si>
    <t>PS084</t>
  </si>
  <si>
    <t>Nguyen H.H.; Nguyen N.-M.; Xie C.; Ahmadi Z.; Kudendo D.; Doan T.-N.; Jiang L.</t>
  </si>
  <si>
    <t>MANDO-HGT: Heterogeneous Graph Transformers for Smart Contract Vulnerability Detection</t>
  </si>
  <si>
    <t>10.1109/msr59073.2023.00052</t>
  </si>
  <si>
    <t>https://doi.org/10.1109/msr59073.2023.00052</t>
  </si>
  <si>
    <t>Proceedings - 2023 IEEE/ACM 20th International Conference on Mining Software Repositories, MSR 2023</t>
  </si>
  <si>
    <t>bytecode; graph transformer; heterogeneous graph learning; smart contracts; source code; vulnerability detection</t>
  </si>
  <si>
    <t>Smart contracts in blockchains have been increasingly used for high-value business applications. It is essential to check smart contracts' reliability before and after deployment. Although various program analysis and deep learning techniques have been proposed to detect vulnerabilities in either Ethereum smart contract source code or bytecode, their detection accuracy and scalability are still limited. This paper presents a novel framework named MANDO-HGT for detecting smart contract vulnerabilities. Given Ethereum smart contracts, either in source code or bytecode form, and vulnerable or clean, MANDO-HGT custom-builds heterogeneous contract graphs (HCGs) to represent control-flow and/or function-call information of the code. It then adapts heterogeneous graph transformers (HGTs) with customized meta relations for graph nodes and edges to learn their embeddings and train classifiers for detecting various vulnerability types in the nodes and graphs of the contracts more accurately. We have collected more than 55K Ethereum smart contracts from various data sources and verified the labels for 423 buggy and 2,742 clean contracts to evaluate MANDO-HGT. Our empirical results show that MANDO-HGT can significantly improve the detection accuracy of other state-of-the-art vulnerability detection techniques that are based on either machine learning or conventional analysis techniques. The accuracy improvements in terms of F1-score range from 0.7% to more than 76% at either the coarse-grained contract level or the fine-grained line level for various vulnerability types in either source code or bytecode. Our method is general and can be retrained easily for different vulnerability types without the need for manually defined vulnerability patterns.  © 2023 IEEE.</t>
  </si>
  <si>
    <t>Peer-reviewed MSR study proposing heterogeneous contract graphs and graph transformers for vulnerability detection in both Solidity source code and EVM bytecode.</t>
  </si>
  <si>
    <t>PS085</t>
  </si>
  <si>
    <t>Yu, Lei; Lu, Junyi; Liu, Xianglong; Yang, Li; Zhang, Fengjun; Ma, Jiajia</t>
  </si>
  <si>
    <t>PSCVFinder: A Prompt-Tuning Based Framework for Smart Contract Vulnerability Detection</t>
  </si>
  <si>
    <t>10.1109/issre59848.2023.00030</t>
  </si>
  <si>
    <t>https://doi.org/10.1109/issre59848.2023.00030</t>
  </si>
  <si>
    <t>2023 IEEE 34TH INTERNATIONAL SYMPOSIUM ON SOFTWARE RELIABILITY ENGINEERING, ISSRE</t>
  </si>
  <si>
    <t>With the increasing security issues in the blockchain, smart contract vulnerability detection has gradually become the focus of research. Recently, many approaches have been proposed to detect smart contract vulnerabilities. Despite promising results, these approaches still have three drawbacks: 1) Symbolic execution and static analysis methods are constrained by predefined rules, which limits their adaptability to different vulnerabilities. 2) Most smart contract code contains abundant irrelevant information which is useless for vulnerability detection. 3) Pre-trained models fail to bridge the gap between pre-training and detecting smart contract vulnerabilities. To solve these problems, we propose an approach named PSCVFinder for detecting reentrancy vulnerability and timestamp dependency vulnerability, which are two severe vulnerabilities in smart contract. To better detect these vulnerabilities, we propose CSCV which is a smart contract slicing method to reduce the irrelevant code. Unlike existing approaches, our model first learns the representation of programming language through the pre-training model, then fully exploits the capacity of large language model with prompt-tuning to precisely detect smart contract vulnerability. We conduct experiments on real-world dataset and the results reflect that PSCVFinder scores 93.83% and 93.49% on two kinds of vulnerabilities in F1-score, surpassing the state-of-the-art baseline by 1.14% and 4.02%, respectively.</t>
  </si>
  <si>
    <t>Peer-reviewed ISSRE study proposing smart-contract slicing and CodeT5 prompt tuning for reentrancy and timestamp-dependency vulnerability detection.</t>
  </si>
  <si>
    <t>PS086</t>
  </si>
  <si>
    <t>Wu, Huaiguang; Dong, Hanjie; He, Yaqiong; Duan, Qianheng</t>
  </si>
  <si>
    <t>Smart Contract Vulnerability Detection Based on Hybrid Attention Mechanism Model</t>
  </si>
  <si>
    <t>10.3390/app13020770</t>
  </si>
  <si>
    <t>https://doi.org/10.3390/app13020770</t>
  </si>
  <si>
    <t>APPLIED SCIENCES-BASEL</t>
  </si>
  <si>
    <t>A smart contract, as an important part of blockchain technology, has attracted considerable interest from both industry and academia. It provides the basis for the realization of a variety of practical blockchain applications and plays a crucial role in the blockchain ecosystem. While it also holds a large number of digital assets, the frequent occurrence of smart contract vulnerabilities have caused huge economic losses and destroyed the blockchain-based credit system. Currently, the security and reliability of smart contracts have become a new focus of research, and there are a number of smart contract vulnerability detection methods, such as traditional detection tools based on static or dynamic analysis. However, most of them often rely on expert rules, and therefore have poor scalability and high false negative and false positive rates. Recent deep learning methods alleviate this issue, but without considering the semantic information and context of source code. To this end, we propose a hybrid attention mechanism (HAM) model to detect security vulnerabilities in smart contracts. We extract code fragments from the source code, which focus on key points of vulnerability. We conduct extensive experiments on two public smart contract datasets (a total of 24,957 contracts). Empirical results show remarkable accuracy improvement over the state-of-the art methods on five kinds of vulnerabilities, where the detection accuracy could achieve 93.36%, 80.85%, 82.56%, 85.62%, and 82.19% for reentrancy, arithmetic vulnerability, unchecked return value, timestamp dependency, and tx.origin, respectively.</t>
  </si>
  <si>
    <t>Peer-reviewed Applied Sciences study proposing a hybrid single-head/multi-head attention model and vulnerability-focused code-fragment extraction, evaluated on two public smart-contract datasets.</t>
  </si>
  <si>
    <t>PS087</t>
  </si>
  <si>
    <t>Shah N.K.; Nandurkar S.; Bilapate M.; Maalik M.A.; Harne N.; Shaik K.; Kumar A.</t>
  </si>
  <si>
    <t>Smart Contract Vulnerability Detection Techniques for Hyperledger Fabric</t>
  </si>
  <si>
    <t>10.1109/i2ct57861.2023.10126362</t>
  </si>
  <si>
    <t>https://doi.org/10.1109/i2ct57861.2023.10126362</t>
  </si>
  <si>
    <t>2023 IEEE 8th International Conference for Convergence in Technology, I2CT 2023</t>
  </si>
  <si>
    <t>Hyperledger Fabric; Node.js chaincode; Node.js vulnerability; Smart contract security analysis</t>
  </si>
  <si>
    <t>Hyperledger Fabric is becoming the most popular blockchain framework used by enterprises and medium-sized companies. Blockchain technology is used for many different domains like finance, voting service, land record etc. Blockchain innovation is a self-executing program called Smart Contract. Hyperledger fabric uses programming languages like Node.js, Java, and GO to implement smart contracts also called chaincode. Smart contracts are programmed to moderate critical transactions between individuals or organizations because terms and conditions embedded in the contract will be executed when certain conditions are met. So smart contract needs to be analyzed before deployment to ensure zero vulnerabilities and flaws on the blockchain application, their execution is critical against attacks which aim at stealing assets. Hence security auditing is an essential part of smart contract development. This paper proposes a static code analysis tool for smart contracts named as UBF-ChaincodeScan which helps to identify security risks in the smart contract code written in Node.js and GO language. © 2023 IEEE.</t>
  </si>
  <si>
    <t>Peer-reviewed IEEE conference study introducing UBF-ChaincodeScan, a static-analysis tool for Hyperledger Fabric chaincode, particularly Node.js smart contracts.</t>
  </si>
  <si>
    <t>PS088</t>
  </si>
  <si>
    <t>J J L.; Singh K.</t>
  </si>
  <si>
    <t>Enhancing Oyente: four new vulnerability detections for improved smart contract security analysis</t>
  </si>
  <si>
    <t>10.1007/s41870-024-01909-8</t>
  </si>
  <si>
    <t>https://doi.org/10.1007/s41870-024-01909-8</t>
  </si>
  <si>
    <t>International Journal of Information Technology (Singapore)</t>
  </si>
  <si>
    <t>Attacks; Ethereum; Oyente; Smart contract; Vulnerability</t>
  </si>
  <si>
    <t>Enhancing the security analysis of smart contracts, particularly in Ethereum, by extending the widely used Oyente tool is the main objective of this paper. The primary motivation stems from the crucial role of smart contracts in decentralized systems and the imperative need for their security. We have introduced four critical vulnerability detections-Bad randomness, Access control, Unchecked low level, and DoS with unbounded operations-aiming to augment Oyente’s original capabilities, which only detected seven vulnerabilities. The study proposes new algorithms for efficient vulnerability detection, tested on 2676 smart contracts. The research also establishes a new taxonomy to address security flaws in Ethereum smart contracts. By integrating these modules into Oyente, developers gain an improved framework for security analysis, empowering them to identify and address critical vulnerabilities. The contributions of this extended version enhance the overall security and trustworthiness of blockchain-based applications, fostering the development of more secure and resilient smart contract implementations. © Bharati Vidyapeeth's Institute of Computer Applications and Management 2024.</t>
  </si>
  <si>
    <t>Peer-reviewed International Journal of Information Technology study extending Oyente with four additional Ethereum vulnerability-detection algorithms and testing the enhanced tool on public blockchain contracts.</t>
  </si>
  <si>
    <t>PS089</t>
  </si>
  <si>
    <t>Chu H.; Zhang P.; Dong H.; Xiao Y.; Ji S.</t>
  </si>
  <si>
    <t>SGDL: Smart contract vulnerability generation via deep learning</t>
  </si>
  <si>
    <t>10.1002/smr.2712</t>
  </si>
  <si>
    <t>https://doi.org/10.1002/smr.2712</t>
  </si>
  <si>
    <t>Journal of Software: Evolution and Process</t>
  </si>
  <si>
    <t>deep learning; generative adversarial network; smart contract; vulnerability injection</t>
  </si>
  <si>
    <t>The growing popularity of smart contracts in various areas, such as digital payments and the Internet of Things, has led to an increase in smart contract security challenges. Researchers have responded by developing vulnerability detection tools. However, the effectiveness of these tools is limited due to the lack of authentic smart contract vulnerability datasets to comprehensively assess their capacity for diverse vulnerabilities. This paper proposes a Deep Learning-based Smart contract vulnerability Generation approach (SGDL) to overcome this challenge. SGDL utilizes static analysis techniques to extract both syntactic and semantic information from the contracts. It then uses a classification technique to match injected vulnerabilities with contracts. A generative adversarial network is employed to generate smart contract vulnerability fragments, creating a diverse and authentic pool of fragments. The vulnerability fragments are then injected into the smart contracts using an abstract syntax tree to ensure their syntactic correctness. Our experimental results demonstrate that our method is more effective than existing vulnerability injection methods in evaluating the contract vulnerability detection capacity of existing detection tools. Overall, SGDL provides a comprehensive and innovative solution to address the critical issue of authentic and diverse smart contract vulnerability datasets. © 2024 John Wiley &amp; Sons Ltd.</t>
  </si>
  <si>
    <t>Peer-reviewed Journal of Software: Evolution and Process study proposing GAN-based generation and AST-guided injection of seven smart-contract vulnerability types.</t>
  </si>
  <si>
    <t>PS090</t>
  </si>
  <si>
    <t>Li H.; Xiong G.; Hou C.; Gou G.; Chen Z.; Li Z.</t>
  </si>
  <si>
    <t>Smart Contract Vulnerability Detection Based on AST-Augmented Heterogeneous Graphs</t>
  </si>
  <si>
    <t>10.1109/ipccc59868.2024.10850061</t>
  </si>
  <si>
    <t>https://doi.org/10.1109/ipccc59868.2024.10850061</t>
  </si>
  <si>
    <t>Conference Proceedings of the IEEE International Performance, Computing, and Communications Conference</t>
  </si>
  <si>
    <t>Heterogeneous graph attention networks; Heterogeneous graphs; Smart contracts; Vulnerability detection</t>
  </si>
  <si>
    <t>Smart contracts have been increasingly deployed and applied on various blockchain platforms. Nevertheless, vulnerabilities may cause significant financial losses due to the involvement of substantial funds in smart contracts. Traditional analysis tools heavily rely on manually predefined rules. Recent studies have demonstrated the promising potential of deep learning techniques in smart contract vulnerability detection. However, existing approaches often disregard cross-function and cross-contract vulnerability scenarios, focusing primarily on characterization or detection tasks at the function level. In this study, we propose CL-HGAN, a novel framework for smart contract vulnerability detection at the contract level. Firstly, we construct a contract-level heterogeneous graph to embody the relationships between contracts and functions. Specifically, we build the backbone of the heterogeneous graph based on the abstract syntax tree (AST) and multiple types of edges and then incorporate two additional categories of edges to augment its structural information. Subsequently, we design a two-phase feature learning method to automatically generate graph-level representations based on a heterogeneous graph attention network and meta-paths specific to the constructed graph. Finally, we employ a classifier to perform vulnerability detection tasks. In particular, the proposed CL-HGAN comprehensively captures vulnerability features and accurately identifies vulnerabilities at the contract level. Furthermore, we evaluate the CL-HGAN framework on an Ethereum smart contract dataset containing thirty types of vulnerabilities. The experimental results show that the average metrics of our approach outperform the state-of-the-art baselines. © 2024 IEEE.</t>
  </si>
  <si>
    <t>Peer-reviewed IEEE IPCCC study proposing CL-HGAN, a contract-level heterogeneous graph attention framework designed to capture cross-function and cross-contract vulnerability patterns.</t>
  </si>
  <si>
    <t>PS091</t>
  </si>
  <si>
    <t>Wang S.; Zhao X.</t>
  </si>
  <si>
    <t>Contractsentry: a static analysis tool for smart contract vulnerability detection</t>
  </si>
  <si>
    <t>10.1007/s10515-024-00471-8</t>
  </si>
  <si>
    <t>https://doi.org/10.1007/s10515-024-00471-8</t>
  </si>
  <si>
    <t>Automated Software Engineering</t>
  </si>
  <si>
    <t>Composite rules; Ethereum; Intermediate representation; Smart contracts; Static analysis; Vulnerability detection</t>
  </si>
  <si>
    <t>Frequent smart contract security incidents pose a threat to the credibility of the Ethereum platform, making smart contract vulnerability detection a focal point of concern. Previous research has proposed vulnerability detection methods in smart contracts. Generally, these tools rely on predefined rules to detect vulnerable smart contracts. However, using out-of-date rules for vulnerability detection may lead to a significant number of false negatives and false positives due to the growing variety of smart contract vulnerability types and the ongoing enhancement of vulnerability defense mechanisms. In this paper, we propose ContractSentry, a tool for static analysis of smart contracts. First, we preprocess Solidity code to build critical contract information and transform it into an intermediate representation. Then, based on the intermediate representations, we propose composite rules for vulnerability detection by analyzing the characteristics of different types of vulnerabilities in smart contracts. Finally, we evaluate ContractSentry with two datasets and compare it with state-of-the-art vulnerability detection tools. Experimental results demonstrate that ContractSentry achieves superior detection effectiveness. © The Author(s), under exclusive licence to Springer Science+Business Media, LLC, part of Springer Nature 2024.</t>
  </si>
  <si>
    <t>Peer-reviewed Automated Software Engineering study proposing source-level intermediate representations and composite vulnerability rules for reentrancy, denial of service and transaction-ordering dependence.</t>
  </si>
  <si>
    <t>PS092</t>
  </si>
  <si>
    <t>Yang J.; Zhao X.; Zhang H.; He L.; Wang S.; Gou N.</t>
  </si>
  <si>
    <t>CSAFuzzer: Fuzzing smart contracts combining with static analysis</t>
  </si>
  <si>
    <t>10.1007/s10664-025-10623-3</t>
  </si>
  <si>
    <t>https://doi.org/10.1007/s10664-025-10623-3</t>
  </si>
  <si>
    <t>Blockchain; Ethereum; Fuzzing; Smart contracts; Vulnerability detection</t>
  </si>
  <si>
    <t>Smart contracts are pivotal in blockchain technology. With enviable digital assets, they have long been targeted by hackers. Unlike traditional programs, once deployed, a contract cannot be modified. Therefore, it is particularly essential to conduct vulnerability detection before deploying smart contracts. Fuzzing is a classic technique for detecting security vulnerabilities. However, existing fuzzers are currently unable to capture vulnerabilities hidden in the deep states of smart contracts. In this paper, we propose CSAFuzzer, a fuzzing framework combined with static analysis. Our approach consists of three main steps: First, we statically extract function invocation sequences before dynamically fuzzing contracts, which explore bugs in deep contract states. Secondly, we iteratively generate high-quality test cases based on high code coverage as a metric. This helps in covering more branches within a limited time, thereby increasing the possibility of discovering potential vulnerabilities. Lastly, we design more accurate test oracles to detect smart contract vulnerabilities. We tested CSAFuzzer and other vulnerability detection tools on over 15K real-world smart contracts. Experimental results demonstrate that CSAFuzzer detects more vulnerabilities compared to other state-of-the-art tools, with an average improvement of about 10% in detection accuracy. Additionally, CSAFuzzer exhibits an average code coverage higher by 6% than other tools. Notably, 14% higher than the state-of-the-art fuzzing approach. © The Author(s), under exclusive licence to Springer Science+Business Media, LLC, part of Springer Nature 2025.</t>
  </si>
  <si>
    <t>Peer-reviewed Empirical Software Engineering study combining static function-sequence analysis, coverage-guided genetic fuzzing and vulnerability-specific test oracles.</t>
  </si>
  <si>
    <t>PS093</t>
  </si>
  <si>
    <t>Liang R.; Chen J.; Wu C.; He K.; Wu Y.; Cao R.; Du R.; Zhao Z.; Liu Y.</t>
  </si>
  <si>
    <t>Vulseye: Detect Smart Contract Vulnerabilities via Stateful Directed Graybox Fuzzing</t>
  </si>
  <si>
    <t>10.1109/tifs.2025.3537827</t>
  </si>
  <si>
    <t>https://doi.org/10.1109/tifs.2025.3537827</t>
  </si>
  <si>
    <t>Fuzz testing; smart contract; static analysis</t>
  </si>
  <si>
    <t>Smart contracts, the cornerstone of decentralized applications, have become increasingly prominent in revolutionizing the digital landscape. However, vulnerabilities in smart contracts pose great risks to user assets and undermine overall trust in decentralized systems. Fuzzing, a prominent security testing technique, is extensively explored to detect vulnerabilities. But current smart contract fuzzers fall short of expectations in testing efficiency for two primary reasons. Firstly, smart contracts are stateful programs, and existing approaches, primarily coverage-guided, lack effective feedback from the contract state. Consequently, they struggle to effectively explore the contract state space. Secondly, coverage-guided fuzzers, aiming for comprehensive program coverage, may lead to a wastage of testing resources on benign code areas. This wastage worsens in smart contract testing, as the mix of code and state spaces further complicates comprehensive testing. To address these challenges, we propose Vulseye, a stateful directed graybox fuzzer for smart contracts guided by vulnerabilities. Different from prior works, Vulseye achieves stateful directed fuzzing by prioritizing testing resources to code areas and contract states that are more prone to vulnerabilities. We introduce Code Targets and State Targets into fuzzing loops as the testing targets of Vulseye. We use static analysis and pattern matching to pinpoint Code Targets, and propose a scalable backward analysis algorithm to specify State Targets. We design a novel fitness metric that leverages feedback from both the contract code space and state space, directing fuzzing toward these targets. With the guidance of code and state targets, Vulseye alleviates the wastage of testing resources on benign code areas and achieves effective stateful fuzzing. In comparison with state-of-the-art fuzzers, Vulseye demonstrated superior effectiveness and efficiency. Notably, it uncovered 4,845 vulnerabilities in 42,738 real-world smart contracts, outperforming existing approaches by up to 9.7× , and identified 11 previously unknown vulnerabilities within the top 50 Ethereum DApps, involving approximately 2,500,000 USD.  © 2025 IEEE.</t>
  </si>
  <si>
    <t>Peer-reviewed IEEE Transactions on Information Forensics and Security study proposing stateful directed graybox fuzzing using code and state targets.</t>
  </si>
  <si>
    <t>PS094</t>
  </si>
  <si>
    <t>Chen, Chong; Bao, Lingfeng; Lo, David; Wang, Yanlin; Shan, Zhenyu; Chen, Ting; Yin, Guangqiang; Yu, Jianxing; Zheng, Zibin; Chen, Jiachi</t>
  </si>
  <si>
    <t>Trace: Securing Smart Contract Repository Against Access Control Vulnerability</t>
  </si>
  <si>
    <t>10.1109/tse.2026.3660900</t>
  </si>
  <si>
    <t>https://doi.org/10.1109/tse.2026.3660900</t>
  </si>
  <si>
    <t>Smart contract vulnerabilities have led to billions of dollars in economic losses. Among these, improper Access Control, which allows unauthorized users to execute restricted functions, is particularly prevalent and has caused significant financial damage. Smart contract repositories contain source code, documentation, configuration files, and other artifacts necessary for building and deploying smart contracts. GitHub hosts numerous open-source repositories of this kind, which serve as intermediate artifacts in development and require compilation and packaging to produce deployable contracts. Third-party developers often reference, reuse, or fork code from these repositories during custom development. However, if the referenced code contains vulnerabilities, it can introduce significant security risks. Existing tools for detecting smart contract vulnerabilities are limited in their ability to handle such complex repositories, as they typically require the target contract to be compilable to generate an abstract representation of the program for further analysis. This paper presents Trace, a tool designed to secure non-compilable smart contract repositories against access control vulnerabilities. Trace employs LLMs to locate sensitive functions involving critical operations (e.g., transfer) within the contract and subsequently completes function snippets into a fully compilable contract. Trace constructs a function call graph from the abstract syntax tree (AST) of the completed contract. It uses the control flow graph (CFG) of each function as node information. The nodes of the sensitive functions are then analyzed to detect Access Control vulnerabilities. Experimental results demonstrate that Trace outperforms state-of-the-art tools on an open-sourced CVE dataset, detecting 14 out of 15 CVEs. In addition, it achieves 89.2% precision on 5,000 recent on-chain contracts, far exceeding the best existing tool at 76.9%. On 83 real-world repositories, Trace achieves 87.0% precision, significantly surpassing DeepSeek-R1's 14.3%.</t>
  </si>
  <si>
    <t>Peer-reviewed IEEE Transactions on Software Engineering study integrating LLM-assisted snippet completion with static analysis to detect access-control vulnerabilities in compilable and non-compilable smart-contract repositories.</t>
  </si>
  <si>
    <t>Study Context and Technical Characteristics</t>
  </si>
  <si>
    <t>Research objective</t>
  </si>
  <si>
    <t>Application sector</t>
  </si>
  <si>
    <t>Enterprise / organizational context</t>
  </si>
  <si>
    <t>Problem addressed</t>
  </si>
  <si>
    <t>Stakeholders</t>
  </si>
  <si>
    <t>Geographical context</t>
  </si>
  <si>
    <t>Regulatory context</t>
  </si>
  <si>
    <t>Blockchain type / permission model</t>
  </si>
  <si>
    <t>Blockchain platform</t>
  </si>
  <si>
    <t>Consensus mechanism</t>
  </si>
  <si>
    <t>Smart contract language</t>
  </si>
  <si>
    <t>On-chain / off-chain architecture</t>
  </si>
  <si>
    <t>Integration technologies</t>
  </si>
  <si>
    <t>Number of nodes</t>
  </si>
  <si>
    <t>Number of organizations</t>
  </si>
  <si>
    <t>Network configuration</t>
  </si>
  <si>
    <t>Data source</t>
  </si>
  <si>
    <t>Identity / access-control mechanism</t>
  </si>
  <si>
    <t>Technical notes</t>
  </si>
  <si>
    <t>Source page(s) / section(s)</t>
  </si>
  <si>
    <t>Classification Coding, Evidence Maturity, and Technology Readiness</t>
  </si>
  <si>
    <t>ED primary</t>
  </si>
  <si>
    <t>ED additional code(s)</t>
  </si>
  <si>
    <t>RT primary</t>
  </si>
  <si>
    <t>RT additional code(s)</t>
  </si>
  <si>
    <t>CT primary</t>
  </si>
  <si>
    <t>CT additional code(s)</t>
  </si>
  <si>
    <t>LC primary</t>
  </si>
  <si>
    <t>LC additional code(s)</t>
  </si>
  <si>
    <t>BC primary</t>
  </si>
  <si>
    <t>BC additional code(s)</t>
  </si>
  <si>
    <t>EV primary</t>
  </si>
  <si>
    <t>EV additional code(s)</t>
  </si>
  <si>
    <t>Metric code(s)</t>
  </si>
  <si>
    <t>EM Applicability</t>
  </si>
  <si>
    <t>EM justification / evidence</t>
  </si>
  <si>
    <t>Author-reported TRL?</t>
  </si>
  <si>
    <t>Author TRL exact text</t>
  </si>
  <si>
    <t>Author TRL source</t>
  </si>
  <si>
    <t>Reviewer TRL lower</t>
  </si>
  <si>
    <t>Reviewer TRL upper</t>
  </si>
  <si>
    <t>Reviewer TRL justification</t>
  </si>
  <si>
    <t>Coding source page(s) / section(s)</t>
  </si>
  <si>
    <t>TRL range check</t>
  </si>
  <si>
    <t>Evaluation Design, Empirical Evidence, Findings, and Reproducibility</t>
  </si>
  <si>
    <t>Evaluation objective</t>
  </si>
  <si>
    <t>Evaluation design / method description</t>
  </si>
  <si>
    <t>Dataset / workload</t>
  </si>
  <si>
    <t>Sample size / corpus size</t>
  </si>
  <si>
    <t>Experimental / study environment</t>
  </si>
  <si>
    <t>Baseline / comparison method</t>
  </si>
  <si>
    <t>Evaluation duration</t>
  </si>
  <si>
    <t>Metrics / measures</t>
  </si>
  <si>
    <t>Performance results</t>
  </si>
  <si>
    <t>Security / assurance results</t>
  </si>
  <si>
    <t>Other key findings</t>
  </si>
  <si>
    <t>User / organizational involvement</t>
  </si>
  <si>
    <t>Operational / deployment evidence</t>
  </si>
  <si>
    <t>Reproducibility information</t>
  </si>
  <si>
    <t>Artifact / dataset URL</t>
  </si>
  <si>
    <t>Reported limitations</t>
  </si>
  <si>
    <t>Threats to validity</t>
  </si>
  <si>
    <t>Evidence source page(s) / section(s)</t>
  </si>
  <si>
    <t>Reviewer extraction notes</t>
  </si>
  <si>
    <t>Research Gaps, Deployment Barriers, and Future Research</t>
  </si>
  <si>
    <t>Author-stated limitations</t>
  </si>
  <si>
    <t>Unresolved engineering challenges</t>
  </si>
  <si>
    <t>Recommended future research</t>
  </si>
  <si>
    <t>Barriers to operational deployment</t>
  </si>
  <si>
    <t>Relationship to other engineering domains</t>
  </si>
  <si>
    <t>Lifecycle gaps identified</t>
  </si>
  <si>
    <t>Thematic gap code(s) / notes</t>
  </si>
  <si>
    <t>Second-Reviewer Verification and Reconciliation Log for Critical Variables</t>
  </si>
  <si>
    <t>Variable</t>
  </si>
  <si>
    <t>Reviewer 1 value</t>
  </si>
  <si>
    <t>Reviewer 2 value</t>
  </si>
  <si>
    <t>Agreement?</t>
  </si>
  <si>
    <t>Consensus value</t>
  </si>
  <si>
    <t>Third-reviewer required?</t>
  </si>
  <si>
    <t>Resolution note</t>
  </si>
  <si>
    <t>Evidence page(s)</t>
  </si>
  <si>
    <t>Verified by</t>
  </si>
  <si>
    <t>Verification date</t>
  </si>
  <si>
    <t>Author-reported TRL</t>
  </si>
  <si>
    <t>Reviewer TRL range</t>
  </si>
  <si>
    <t>S4 Extraction Completion Summary</t>
  </si>
  <si>
    <t>Current value</t>
  </si>
  <si>
    <t>Workflow reminder</t>
  </si>
  <si>
    <t>Study IDs in register</t>
  </si>
  <si>
    <t>Do not treat the 94-row register as a final included-study set until the five unresolved S2 cases are resolved. Only rows with Extraction allowed? = Yes should enter final classification synthesis. Substantive fields are intentionally blank and must be completed from full texts using S3.</t>
  </si>
  <si>
    <t>Eligible for extraction</t>
  </si>
  <si>
    <t>On hold / unresolved</t>
  </si>
  <si>
    <t>Classification primary ED completed</t>
  </si>
  <si>
    <t>Evidence-maturity coding completed</t>
  </si>
  <si>
    <t>Reviewer-TRL range completed</t>
  </si>
  <si>
    <t>Second-reviewer critical-variable checks completed</t>
  </si>
  <si>
    <t>S4 Data Provenance and Companion Files</t>
  </si>
  <si>
    <t>Input / source</t>
  </si>
  <si>
    <t>Used for</t>
  </si>
  <si>
    <t>File / URL</t>
  </si>
  <si>
    <t>Important limitation</t>
  </si>
  <si>
    <t>94-study candidate workbook</t>
  </si>
  <si>
    <t>Preloaded bibliographic metadata and preliminary candidate domain</t>
  </si>
  <si>
    <t>Primary_Studies_94_SMS_with_Abstracts(1).xlsx</t>
  </si>
  <si>
    <t>Candidate metadata do not substitute for full-text extraction or final eligibility.</t>
  </si>
  <si>
    <t>Supplementary File S2</t>
  </si>
  <si>
    <t>Eligibility/QA workflow linkage</t>
  </si>
  <si>
    <t>Supplementary_File_S2_Quality_Assessment_Updated_PS001-PS094.xlsx</t>
  </si>
  <si>
    <t>Reviewer-1 QA values are workflow context; Reviewer-2/consensus remains pending.</t>
  </si>
  <si>
    <t>Supplementary File S3</t>
  </si>
  <si>
    <t>Controlled classification definitions and EM/TRL decision rules</t>
  </si>
  <si>
    <t>Supplementary_File_S3_Classification_Codebook_EM_TRL.xlsx</t>
  </si>
  <si>
    <t>S3 is the coding authority for S4.</t>
  </si>
  <si>
    <t>NASA TRL</t>
  </si>
  <si>
    <t>Conceptual basis for TRL 1–9</t>
  </si>
  <si>
    <t>https://www.nasa.gov/directorates/somd/space-communications-navigation-program/technology-readiness-levels/</t>
  </si>
  <si>
    <t>Reviewer-enterprise adaptation is analytical and not an official NASA TRL assessment.</t>
  </si>
  <si>
    <t>ISO/IEC/IEEE 12207:2026</t>
  </si>
  <si>
    <t>Lifecycle background</t>
  </si>
  <si>
    <t>https://www.iso.org/standard/90219.html</t>
  </si>
  <si>
    <t>S4 lifecycle codes are author-developed aggregation, not ISO process labels.</t>
  </si>
  <si>
    <t>Abstract/introduction identify the lack of a systematic comparison framework and ask how private blockchains handle data-processing workloads and how platforms differ.</t>
  </si>
  <si>
    <t>General blockchain / distributed-ledger infrastructure</t>
  </si>
  <si>
    <t>Enterprise/consortium multi-party setting; study evaluates or targets permissioned organizational use.</t>
  </si>
  <si>
    <t>Blockchain system operators / validators; Application developers / users</t>
  </si>
  <si>
    <t>Not reported / not geographically bounded</t>
  </si>
  <si>
    <t>Not reported</t>
  </si>
  <si>
    <t>Private</t>
  </si>
  <si>
    <t>Ethereum/EVM; Parity; Hyperledger (Fabric)</t>
  </si>
  <si>
    <t>Not reported / not central to study</t>
  </si>
  <si>
    <t>Not reported / not applicable</t>
  </si>
  <si>
    <t>Blockchain-native / distributed protocol architecture; explicit on-chain/off-chain split not reported.</t>
  </si>
  <si>
    <t>No additional integration technology explicitly reported</t>
  </si>
  <si>
    <t>Not reported as a fixed value</t>
  </si>
  <si>
    <t>YCSB, SmallBank, real Ethereum contracts and layer-specific workloads are documented together with experimental configurations.</t>
  </si>
  <si>
    <t>Not reported / not central to the study</t>
  </si>
  <si>
    <t>BLOCKBENCH architecture, connector interface, three software-stack layers, macrobenchmarks and microbenchmarks are described in detail. YCSB, SmallBank, real Ethereum contracts and layer-specific workloads are documented together with experimental configurations. BLOCKBENCH is explicitly released for public use and the GitHub repository is cited.</t>
  </si>
  <si>
    <t>pp. 1–2, Abstract/Introduction; pp. 4–7, Section 3; pp. 6–8, Sections 3.4–4; pp. 1, 13, Abstract/References</t>
  </si>
  <si>
    <t>The abstract and introduction clearly motivate permissioned-blockchain limitations and the need for a modular execute-order-validate architecture.</t>
  </si>
  <si>
    <t>Permissioned</t>
  </si>
  <si>
    <t>Hyperledger Fabric</t>
  </si>
  <si>
    <t>Modular / pluggable consensus or ordering service</t>
  </si>
  <si>
    <t>Primarily on-chain smart-contract/chaincode architecture; no distinct off-chain transaction component is explicitly reported.</t>
  </si>
  <si>
    <t>Evaluation describes deployment configurations, vCPU counts, block sizes, peer counts, data centers and latency stages.</t>
  </si>
  <si>
    <t>Not reported as a distinct data source</t>
  </si>
  <si>
    <t>Certificate-/membership-based identity (Hyperledger Fabric membership services / MSP where described).</t>
  </si>
  <si>
    <t>Fabric architecture, membership, ordering, endorsement, validation, ledger, gossip, chaincode and configuration are described extensively. Evaluation describes deployment configurations, vCPU counts, block sizes, peer counts, data centers and latency stages. Fabric is an open-source Hyperledger project; the paper cites the public GitHub repository and provides detailed implementation information.</t>
  </si>
  <si>
    <t>pp. 1–2, Abstract/Introduction; pp. 2–10, Sections 2–4; pp. 11–13, Section 5; pp. 1, 15, Abstract/References</t>
  </si>
  <si>
    <t>The paper clearly states that permissioned-blockchain throughput is inadequate and sets the goal of re-architecting Fabric beyond consensus bottlenecks.</t>
  </si>
  <si>
    <t>15 local servers</t>
  </si>
  <si>
    <t>The evaluation reports 15 local servers, CPU/RAM/network characteristics, Fabric configuration and transaction-validity assumptions.</t>
  </si>
  <si>
    <t>The proposed changes to ordering, validation, caching, in-memory state and role separation are described at implementation level. The evaluation reports 15 local servers, CPU/RAM/network characteristics, Fabric configuration and transaction-validity assumptions. Implementation and configuration changes are described in detail, but the paper does not identify a dedicated public FastFabric artifact package.</t>
  </si>
  <si>
    <t>p. 1, Abstract/Introduction; pp. 2–5, Sections II–III; p. 5, Section IV; pp. 2–8, Design/Evaluation</t>
  </si>
  <si>
    <t>The paper clearly motivates IoT blockchain scalability/security problems and defines the objective of secure self-organized sharding.</t>
  </si>
  <si>
    <t>Internet of Things / cyber-physical systems</t>
  </si>
  <si>
    <t>No specific organizational deployment reported.</t>
  </si>
  <si>
    <t>IoT devices / device owners; Blockchain peers / validators</t>
  </si>
  <si>
    <t>Not explicitly reported</t>
  </si>
  <si>
    <t>Not reported / platform-agnostic</t>
  </si>
  <si>
    <t>Study-specific consensus/BFT mechanism proposed or evaluated</t>
  </si>
  <si>
    <t>Edge/MEC</t>
  </si>
  <si>
    <t>The OPNET/LTE-A MEC topology, bandwidth, base stations, node behavior and other simulation parameters are specified.</t>
  </si>
  <si>
    <t>System architecture, reputation model, consensus method, coalition game and shard-formation algorithm are described with formal definitions and proofs. The OPNET/LTE-A MEC topology, bandwidth, base stations, node behavior and other simulation parameters are specified. Supplementary mathematical material and detailed simulation settings are provided, but no study-specific implementation/data repository is identified.</t>
  </si>
  <si>
    <t>pp. 1–3, Abstract/Introduction; pp. 3–15, Sections III–V; pp. 15–16, Section VI-A; p. 1 and pp. 15–19</t>
  </si>
  <si>
    <t>The study clearly identifies throughput, delay, supervision and trust problems in consortium-blockchain consensus.</t>
  </si>
  <si>
    <t>Blockchain infrastructure / distributed systems</t>
  </si>
  <si>
    <t>Consortium</t>
  </si>
  <si>
    <t>CPU, storage, memory, OS, node counts, Ganache setup, transaction amounts, block size, repetitions and fault nodes are reported.</t>
  </si>
  <si>
    <t>Node roles, dynamic trust computation and the consensus process are defined through equations and algorithms. CPU, storage, memory, OS, node counts, Ganache setup, transaction amounts, block size, repetitions and fault nodes are reported. Algorithms, parameters and supplementary material are provided, but no public study-specific source-code/data artifact is identified.</t>
  </si>
  <si>
    <t>pp. 1–3, Abstract/Introduction; pp. 4–7, Section III; pp. 7–8, Section IV-A; pp. 1, 7–11</t>
  </si>
  <si>
    <t>The paper clearly identifies smart-contract serial execution as a performance bottleneck in permissioned blockchains and motivates an SGX-based concurrent framework.</t>
  </si>
  <si>
    <t>TEE/SGX</t>
  </si>
  <si>
    <t>The four-VM cluster, CPU/memory, OS, SGX SDK, enclave size, languages, SmallBank workload, 1M customers, warm-up and 10-run averaging are reported.</t>
  </si>
  <si>
    <t>The two-phase SGX architecture, pre-execution, compact read/write sets and Merkle Forest are described with algorithms and diagrams. The four-VM cluster, CPU/memory, OS, SGX SDK, enclave size, languages, SmallBank workload, 1M customers, warm-up and 10-run averaging are reported. Implementation languages, SDK/version and open-source dependencies are documented, but no study-specific public artifact is cited.</t>
  </si>
  <si>
    <t>pp. 1–2, Abstract/Introduction; pp. 2–4, Sections II–III; p. 5, Section V-A; pp. 5–6</t>
  </si>
  <si>
    <t>The study clearly motivates single-point-of-failure and privacy/resource problems in federated learning and defines BLADE-FL.</t>
  </si>
  <si>
    <t>Research prototype/testbed or benchmark context; no named operational enterprise deployment reported.</t>
  </si>
  <si>
    <t>Four datasets, non-IID settings, model choices and experimental parameters are documented.</t>
  </si>
  <si>
    <t>BLADE-FL architecture, loss-bound analysis, resource allocation and lazy-client model are mathematically specified. Four datasets, non-IID settings, model choices and experimental parameters are documented. Public standard datasets and detailed equations/settings support partial reproducibility, but no study-specific code/artifact is identified.</t>
  </si>
  <si>
    <t>pp. 1–2, Abstract/Introduction; pp. 2–7, Sections 3–7; pp. 7–8, Section 8.1; pp. 7–12</t>
  </si>
  <si>
    <t>The introduction enumerates concrete shortcomings of existing sharding systems and defines the objectives of the FS protocol.</t>
  </si>
  <si>
    <t>CPU, network link, per-node bandwidth/latency, transaction size, shard counts and block size are explicitly reported.</t>
  </si>
  <si>
    <t>CSBFT, parallel leaders, view change, reconfiguration and formal security properties are described in detail. CPU, network link, per-node bandwidth/latency, transaction size, shard counts and block size are explicitly reported. Supplementary material and detailed protocol/simulation parameters are available, but no public implementation repository is identified.</t>
  </si>
  <si>
    <t>pp. 1–2, Abstract/Introduction; pp. 2–14, Sections II–IV; pp. 14–15, Section V-B; pp. 1, 14–16</t>
  </si>
  <si>
    <t>The paper explicitly frames the simultaneous privacy-and-scalability problem for permissioned blockchain and states the HyperMaze objective.</t>
  </si>
  <si>
    <t>Zero-knowledge proofs</t>
  </si>
  <si>
    <t>Implementation libraries, cryptographic instantiations, hardware, OS, topology variations, node counts and parameter ranges are reported.</t>
  </si>
  <si>
    <t>Hierarchical architecture, dual-balance model, 2PXT protocol, zero-knowledge circuits and security model are fully described. Implementation libraries, cryptographic instantiations, hardware, OS, topology variations, node counts and parameter ranges are reported. Implementation details are extensive, but the paper does not identify a public HyperMaze code/data repository.</t>
  </si>
  <si>
    <t>pp. 1–2, Abstract/Introduction; pp. 2–13, Sections 2–5; pp. 13–15, Sections 6.1–6.2; pp. 13–16</t>
  </si>
  <si>
    <t>The paper clearly identifies trust-evaluation and scalable-consensus problems in vehicular networks and defines VT-chain.</t>
  </si>
  <si>
    <t>Transportation / automotive</t>
  </si>
  <si>
    <t>Vehicles / drivers; Transportation-network participants</t>
  </si>
  <si>
    <t>Local/cloud server configurations, SGX use, message/client variations and consensus-node configurations are reported.</t>
  </si>
  <si>
    <t>VT-Eva, TEE-secured computation, multi-shard architecture and HierBFT are specified with algorithms and formal properties. Local/cloud server configurations, SGX use, message/client variations and consensus-node configurations are reported. Algorithms, architecture and testbed details are documented, but no study-specific public source-code/data package is identified.</t>
  </si>
  <si>
    <t>pp. 1–2, Abstract/Introduction; pp. 2–10, Sections II–V; pp. 10–11, Section VI; pp. 10–12</t>
  </si>
  <si>
    <t>The paper clearly identifies cross-shard 2PC/BFT bottlenecks and defines P-2PC and Cherubim as the proposed solution.</t>
  </si>
  <si>
    <t>Simulation hardware, memory, network bandwidth, message delay, hash function, shard sizes and batch sizes are reported.</t>
  </si>
  <si>
    <t>The pipelined 2PC, PL-BFT, batch processing and aggregatable multi-signature mechanisms are specified in detail. Simulation hardware, memory, network bandwidth, message delay, hash function, shard sizes and batch sizes are reported. Supplementary material is referenced and protocol parameters are documented, but no public implementation artifact is identified.</t>
  </si>
  <si>
    <t>pp. 1–3, Abstract/Introduction; pp. 3–12, Sections III–VI; p. 14, Section VII-B; pp. 3, 13–15</t>
  </si>
  <si>
    <t>The paper clearly defines the cross-group smart-contract execution problem and the objective of eliminating state synchronization and duplicate execution.</t>
  </si>
  <si>
    <t>Industrial / manufacturing</t>
  </si>
  <si>
    <t>Industrial application operators; Blockchain peers / validators</t>
  </si>
  <si>
    <t>Hybrid on-chain/off-chain architecture explicitly described by the study.</t>
  </si>
  <si>
    <t>12 groups/36 nodes</t>
  </si>
  <si>
    <t>Five physical servers, CPU specifications, 12 groups/36 nodes, 20,000 smart contracts, workload composition and parameter settings are reported.</t>
  </si>
  <si>
    <t>ICOE architecture, coordinator, 2PL/2PC behavior, consensus-group execution and correctness/security reasoning are described in detail. Five physical servers, CPU specifications, 12 groups/36 nodes, 20,000 smart contracts, workload composition and parameter settings are reported. Workloads, node allocation and parameter settings are well documented, but no complete public implementation/data artifact is cited.</t>
  </si>
  <si>
    <t>pp. 1–2, Abstract/Introduction; pp. 2–10, Sections III–V; p. 10, Section VI-A; pp. 10–11</t>
  </si>
  <si>
    <t>The paper clearly identifies blockchain limitations for 5G network slicing and states the design goals of Librum.</t>
  </si>
  <si>
    <t>Telecommunications / networking</t>
  </si>
  <si>
    <t>Network operators; Blockchain peers / validators; Service/application providers</t>
  </si>
  <si>
    <t>IPFS; Docker / containers</t>
  </si>
  <si>
    <t>Raspberry Pi edge devices, Docker/Kubernetes, FreedomFi 5G gateway/radio, SIM/mobile hotspot and blockchain-peer ranges are described.</t>
  </si>
  <si>
    <t>Librum architecture, hierarchical CFT/BFT consensus, Validate–Execute model, hardware, IPFS storage and smart-contract design are extensively described. Raspberry Pi edge devices, Docker/Kubernetes, FreedomFi 5G gateway/radio, SIM/mobile hotspot and blockchain-peer ranges are described. Hardware/software stack and configurations are detailed, but the article states no research data were used and does not identify a complete public Librum artifact package.</t>
  </si>
  <si>
    <t>pp. 1–2, Abstract/Introduction; pp. 2–14, Sections 1–4; p. 14, Experimental setup; pp. 14–20, 26</t>
  </si>
  <si>
    <t>Systematically survey scalability challenges and consensus mechanisms affecting mobile smart contracts and mobile blockchain environments.</t>
  </si>
  <si>
    <t>Mobile blockchain / smart-contract scalability (secondary review)</t>
  </si>
  <si>
    <t>Secondary-study context; no single enterprise deployment or organization is evaluated.</t>
  </si>
  <si>
    <t>Mobile smart contracts face scalability constraints and resource-intensive consensus mechanisms that limit broader mobile-blockchain adoption.</t>
  </si>
  <si>
    <t>Researchers; blockchain/mobile-smart-contract developers; users discussed across reviewed studies</t>
  </si>
  <si>
    <t>Not reported / multiple studies</t>
  </si>
  <si>
    <t>Not applicable as a single primary system; review covers multiple blockchain types</t>
  </si>
  <si>
    <t>Not applicable as a single primary system</t>
  </si>
  <si>
    <t>Secondary-study literature corpus</t>
  </si>
  <si>
    <t>Secondary systematic review/survey; technical fields are descriptive of the reviewed literature, not a primary implemented system.</t>
  </si>
  <si>
    <t>pp. 1–3, Abstract/Introduction</t>
  </si>
  <si>
    <t>Optimize the Raft consensus protocol to improve fault tolerance, scalability, and latency in the evaluated distributed-system setting.</t>
  </si>
  <si>
    <t>Distributed consensus / blockchain-adjacent infrastructure</t>
  </si>
  <si>
    <t>Generic distributed-system simulator/key-value setting; no demonstrated enterprise blockchain deployment.</t>
  </si>
  <si>
    <t>Conventional Raft is targeted for improved fault tolerance, scalability, and lower latency; however, blockchain relevance of the evaluated system remains unresolved.</t>
  </si>
  <si>
    <t>Distributed-system nodes / operators; prospective blockchain implementers</t>
  </si>
  <si>
    <t>No blockchain/DLT permission model demonstrated in the evaluated system</t>
  </si>
  <si>
    <t>No blockchain platform demonstrated; Java simulator/key-value setting</t>
  </si>
  <si>
    <t>Raft / optimized Raft</t>
  </si>
  <si>
    <t>Generic distributed consensus architecture; no blockchain on-chain/off-chain architecture demonstrated</t>
  </si>
  <si>
    <t>Java-based simulation / key-value environment</t>
  </si>
  <si>
    <t>Not reported / not verifiable from the available source</t>
  </si>
  <si>
    <t>Not reported / not central to the evaluated simulator</t>
  </si>
  <si>
    <t>Eligibility unresolved: generic optimized Raft evaluated in a Java simulator/key-value setting; blockchain is mainly a possible application. Not reported in the available source.</t>
  </si>
  <si>
    <t>The introduction defines the scalability and global-consensus security challenges (C1/C2) and motivates SharBFT plus the sharding optimization model.</t>
  </si>
  <si>
    <t>SharBFT</t>
  </si>
  <si>
    <t>The cloud testbed reports geographically distributed Google Cloud VMs, node counts, CPU/memory resources, TCP/IP communication and failure-model settings.</t>
  </si>
  <si>
    <t>SharBFT's hierarchical multishard architecture, threshold-signature voting, cross-shard BFT operation and sharding optimization model are specified in detail. The cloud testbed reports geographically distributed Google Cloud VMs, node counts, CPU/memory resources, TCP/IP communication and failure-model settings. Implementation/testbed detail and supplementary material are available, but no study-specific public source-code repository is identified in the paper.</t>
  </si>
  <si>
    <t>pp. 1–2, Abstract/Introduction; pp. 2–10, protocol and optimization sections; p. 10, experimental setup; pp. 1, 10–12</t>
  </si>
  <si>
    <t>The paper clearly frames security, fairness, scalability and performance problems for zero-trust cross-domain cloud-edge-end data sharing.</t>
  </si>
  <si>
    <t>The evaluation specifies CPU/memory platform, bandwidth and delay assumptions, domain/node parameters and test settings.</t>
  </si>
  <si>
    <t>Certificate authority / PKI</t>
  </si>
  <si>
    <t>It specifies PCE, partial-trust and zero-trust data-sharing protocols, sharding architecture, certificate authority, formal security definitions and proofs. The evaluation specifies CPU/memory platform, bandwidth and delay assumptions, domain/node parameters and test settings. Supplementary material and detailed protocol definitions are available, but no study-specific public implementation repository is identified.</t>
  </si>
  <si>
    <t>pp. 1–2, Introduction; pp. 2–13, protocol/security sections; p. 13, performance-test setup; pp. 1, 13–15</t>
  </si>
  <si>
    <t>The paper identifies cross-shard duplication, high coordination latency and signature communication overhead as the central scalability bottlenecks.</t>
  </si>
  <si>
    <t>Ethereum/EVM</t>
  </si>
  <si>
    <t>Not reported as a separate network configuration</t>
  </si>
  <si>
    <t>The setup reports EC2 instance type, link delay/bandwidth and a large real Ethereum transaction/account trace from XBlock, with one million transactions replayed per run.</t>
  </si>
  <si>
    <t>X-Shard's transaction allocation, optimistic MIMO processing, gateway accounts, rollback logic and threshold-signature commit protocol are described in detail. The setup reports EC2 instance type, link delay/bandwidth and a large real Ethereum transaction/account trace from XBlock, with one million transactions replayed per run. The authors provide public source code (https://github.com/myl7/xshard), use the public XBlock Ethereum dataset, and report the experimental setup in detail.</t>
  </si>
  <si>
    <t>pp. 1–2, Introduction; pp. 2–8, Sections II–V; p. 8, Section VI-A; p. 8 and artifact references</t>
  </si>
  <si>
    <t>The paper isolates authenticator complexity and message complexity as concrete scalability bottlenecks for state-of-the-art asynchronous BFT at hundreds of nodes.</t>
  </si>
  <si>
    <t>JUMBO asynchronous BFT</t>
  </si>
  <si>
    <t>Cloud infrastructure</t>
  </si>
  <si>
    <t>AWS EC2 instance type, CPU/memory, node counts up to 256, bandwidth/RTT settings and regional/continental/global network emulation are reported.</t>
  </si>
  <si>
    <t>FIN-NG and JUMBO are fully specified with protocol redesigns, aggregation/dispersal techniques, complexity arguments and security reasoning. AWS EC2 instance type, CPU/memory, node counts up to 256, bandwidth/RTT settings and regional/continental/global network emulation are reported. Open-source code is reported (https://github.com/tca-sp/jumbo), together with supplementary experiments and archival material, enabling strong reproducibility.</t>
  </si>
  <si>
    <t>pp. 1–3, Introduction; pp. 3–15, protocol sections; pp. 15–16, experimental setup; artifact references and supplementary material</t>
  </si>
  <si>
    <t>The study clearly defines collusion risk in geolocation-based sharding and the throughput/energy overhead introduced by shard inspection.</t>
  </si>
  <si>
    <t>Energy / smart grid</t>
  </si>
  <si>
    <t>100 heterogeneous peers</t>
  </si>
  <si>
    <t>The paper reports MATLAB setup, 100 heterogeneous peers, a geographic area, 5G/3GPP-style communication assumptions, computation parameters and a Caltrans traffic dataset.</t>
  </si>
  <si>
    <t>The reputation-based inspection framework, reputation model, optimization formulation and distributed ADMM-based solution are fully developed. The paper reports MATLAB setup, 100 heterogeneous peers, a geographic area, 5G/3GPP-style communication assumptions, computation parameters and a Caltrans traffic dataset. Supplementary material and external data/model references are available, but no complete study-specific implementation repository is identified.</t>
  </si>
  <si>
    <t>pp. 1–2, Introduction; pp. 2–13, Sections III–VI; p. 13, experimental setup; pp. 1, 13–16</t>
  </si>
  <si>
    <t>The paper clearly motivates constant communication cost per transaction and proposes passive sharding to address security/complexity trade-offs.</t>
  </si>
  <si>
    <t>Transaction/abstract/block sizes, network/committee parameters, transaction frequency and epoch settings are reported, and results are verified by at least five experiments.</t>
  </si>
  <si>
    <t>ACC/CCC/local-chain architecture, consensus algorithms, transaction verification, validity, security and storage properties are formally detailed. Transaction/abstract/block sizes, network/committee parameters, transaction frequency and epoch settings are reported, and results are verified by at least five experiments. Parameters and supplementary material are detailed, but no study-specific public EZchain implementation repository is identified.</t>
  </si>
  <si>
    <t>pp. 1–2, Introduction; pp. 2–12; pp. 12–13, Section VI-A; pp. 1, 12–16</t>
  </si>
  <si>
    <t>The paper explicitly identifies computation, communication, storage and security-measurement problems for blockchain-enabled FL in massive edge networks.</t>
  </si>
  <si>
    <t>Docker / containers</t>
  </si>
  <si>
    <t>Fabric/Python/PyTorch/Go versions, server GPU/CPU/memory, Docker, CIFAR-10, ResNet9, heterogeneous-device simulation and repeated latency measurement are documented.</t>
  </si>
  <si>
    <t>Distributed clustering, CBFT, consensus-security quantification, update consensus and storage-reduction mechanisms are described and analyzed. Fabric/Python/PyTorch/Go versions, server GPU/CPU/memory, Docker, CIFAR-10, ResNet9, heterogeneous-device simulation and repeated latency measurement are documented. Software versions and experimental configuration are detailed, but no study-specific public LiteChain source repository is identified.</t>
  </si>
  <si>
    <t>pp. 1–2, Introduction; pp. 2–11; p. 11, experimental setup; pp. 11–15</t>
  </si>
  <si>
    <t>The study clearly identifies the absence of a relay-chain-specific performance model and the relay chain as a cross-chain bottleneck.</t>
  </si>
  <si>
    <t>Cross-chain infrastructure / interoperability</t>
  </si>
  <si>
    <t>Blockchain operators / validators; Cross-chain users / asset holders; Application developers</t>
  </si>
  <si>
    <t>Cross-chain / multi-chain</t>
  </si>
  <si>
    <t>Cosmos/Tendermint</t>
  </si>
  <si>
    <t>Tendermint BFT; PBFT</t>
  </si>
  <si>
    <t>Multi-chain / cross-chain architecture linking separate blockchain networks.</t>
  </si>
  <si>
    <t>The setup reports Tendermint/Cosmos software, ten nodes on nine physical machines, server hardware/OS, traffic generation and timing synchronization.</t>
  </si>
  <si>
    <t>The MX/GB/1 batch-arrival/bulk-service framework, PBFT phase-type model and formulas for throughput/confirmation delay are developed rigorously. The setup reports Tendermint/Cosmos software, ten nodes on nine physical machines, server hardware/OS, traffic generation and timing synchronization. Supplementary material, equations and deployment parameters are detailed, but no public study-specific implementation package is identified.</t>
  </si>
  <si>
    <t>pp. 1–2, Introduction; pp. 2–11; p. 11, experiment setup; pp. 1, 11–15</t>
  </si>
  <si>
    <t>The paper clearly identifies sequential multi-shard smart-contract execution as a latency/throughput bottleneck and motivates inter-shard caching.</t>
  </si>
  <si>
    <t>The evaluation documents 640,000 real Ethereum transactions, block range, shard counts, consensus/network delay assumptions, block capacity, retry count and cache ratio.</t>
  </si>
  <si>
    <t>SPARROW's cache synchronization, one-step execution, multi-branch exploration and conflict-reduction mechanisms are specified in detail. The evaluation documents 640,000 real Ethereum transactions, block range, shard counts, consensus/network delay assumptions, block capacity, retry count and cache ratio. Geth/replay configuration and dataset selection are documented, but no public study-specific SPARROW prototype repository is identified.</t>
  </si>
  <si>
    <t>pp. 1–2, Introduction; pp. 2–11; p. 11, setup; pp. 11–13</t>
  </si>
  <si>
    <t>The introduction defines IoV data-sharing scalability, consensus-security and participation/incentive challenges and motivates DMBA.</t>
  </si>
  <si>
    <t>PBFT</t>
  </si>
  <si>
    <t>The dual-layer multi-shard architecture, dynamic node/shard management, BLS-PBFT consensus, reputation and evolutionary-game incentive mechanisms are detailed. The paper reports Veins/MATLAB versions, processor/memory, an actual urban map, 20–80 vehicles, speeds, mobility model, communication range/protocol, packet rate and incentive settings. Detailed parameters and supplementary material are provided, but no public study-specific implementation repository is identified.</t>
  </si>
  <si>
    <t>pp. 1–3; pp. 2–13; pp. 13–14; pp. 13–17</t>
  </si>
  <si>
    <t>The paper precisely defines atomic cross-chain swaps and the desired guarantees for conforming and deviating parties.</t>
  </si>
  <si>
    <t>No empirical dataset, workload, participants or experimental environment is part of this theoretical protocol study.</t>
  </si>
  <si>
    <t>Cross-chain swaps are modeled as directed graphs and a hashed-timelock protocol is specified for strongly connected graphs using a feedback vertex set. No empirical dataset, workload, participants or experimental environment is part of this theoretical protocol study. No software/data artifact is necessary to assess the formal protocol contribution; the construction is specified within the paper.</t>
  </si>
  <si>
    <t>pp. 1–3, Motivation/Contributions; pp. 3–8, model/protocol</t>
  </si>
  <si>
    <t>The paper clearly motivates interoperability plus programmability across heterogeneous blockchains rather than token exchange alone.</t>
  </si>
  <si>
    <t>The experiment uses heterogeneous blockchain networks and cloud/testnet infrastructure across geographic locations, with repeated measurements and end-to-end execution scenarios.</t>
  </si>
  <si>
    <t>USM, HSL, UIP, Network Status Blockchain, Insurance Smart Contracts and the UC security construction are extensively specified. The experiment uses heterogeneous blockchain networks and cloud/testnet infrastructure across geographic locations, with repeated measurements and end-to-end execution scenarios. The implementation is public through the HyperService Consortium repository (https://github.com/HyperService-Consortium), with substantial implementation detail.</t>
  </si>
  <si>
    <t>pp. 1–2, Introduction; pp. 2–11; p. 12, setup; artifact/reference section</t>
  </si>
  <si>
    <t>The paper identifies the trust, interactivity, delay and cost limitations of atomic cross-chain swaps and defines XCLAIM's trustless CBA objective.</t>
  </si>
  <si>
    <t>Public / Ethereum-EVM ecosystem; Cross-chain / multi-chain</t>
  </si>
  <si>
    <t>Ethereum/EVM; Bitcoin</t>
  </si>
  <si>
    <t>Implementation language/version, BTCRelay/Bitcoin assumptions, Ethereum Ropsten environment, confirmation parameters and fee/rate assumptions are documented.</t>
  </si>
  <si>
    <t>The CBA model, actors, threat assumptions, proof-or-punishment protocol, issuance/redeem/swap procedures and security requirements are detailed. Implementation language/version, BTCRelay/Bitcoin assumptions, Ethereum Ropsten environment, confirmation parameters and fee/rate assumptions are documented. Implementation details and dependencies are strong, but the paper does not identify a complete study-specific public XCLAIM code repository.</t>
  </si>
  <si>
    <t>pp. 1–2, Introduction; pp. 2–11; p. 11, implementation/evaluation; pp. 11–12</t>
  </si>
  <si>
    <t>The paper clearly identifies functional/security risks in services spanning heterogeneous blockchains and motivates a model-driven engineering approach.</t>
  </si>
  <si>
    <t>Blockchain software engineering / developer tooling</t>
  </si>
  <si>
    <t>Developer/open-source ecosystem study; no specific operational enterprise organization is evaluated.</t>
  </si>
  <si>
    <t>Blockchain / smart-contract developers; Software engineers; Tool or repository users</t>
  </si>
  <si>
    <t>Off-chain development/engineering tooling operating on or generating blockchain/smart-contract artifacts; deployment may target on-chain contracts where reported.</t>
  </si>
  <si>
    <t>No empirical dataset, workload, participants or evaluation environment is reported.</t>
  </si>
  <si>
    <t>It presents a three-layer framework, three DSMLs, workflow/configuration/specification mappings and GeMoC/CCSL-based analysis support. No empirical dataset, workload, participants or evaluation environment is reported. GeMoC, DSML and CCSL tooling choices are specified, but no complete study-specific artifact or generated deployment package is provided.</t>
  </si>
  <si>
    <t>pp. 2–3</t>
  </si>
  <si>
    <t>The paper clearly motivates cross-blockchain smart-contract invocation with return values and recursive calls as an interoperability gap.</t>
  </si>
  <si>
    <t>The Rinkeby testnet, deployed contracts, test data types, waitingBlocks/blocksPerPhase configurations and repeated runs are documented.</t>
  </si>
  <si>
    <t>The distribution/invocation contracts, intermediaries, validators, execution phases, continuation and recursion mechanisms are described in detail. The Rinkeby testnet, deployed contracts, test data types, waitingBlocks/blocksPerPhase configurations and repeated runs are documented. The source code is publicly available at https://github.com/markusnissl/cross-chain-smartcontracts, and implementation/setup details are reported.</t>
  </si>
  <si>
    <t>pp. 2–3, Introduction; pp. 4–9; p. 10, Section VI</t>
  </si>
  <si>
    <t>Model cooperation among cross-chain smart contracts and quantitatively estimate cooperation probabilities using condition-trigger relationships and graph weights.</t>
  </si>
  <si>
    <t>Cross-chain smart-contract cooperation lacks a quantitative method for estimating interaction/cooperation probabilities and identifying process bottlenecks.</t>
  </si>
  <si>
    <t>Provisional extraction from supplied TechRxiv preprint; final peer-reviewed version required before locking. Technical details are provisional because the supplied source is a preprint, not the final peer-reviewed article.</t>
  </si>
  <si>
    <t>p. 1, preprint notice; p. 1; Version issue; Supplied source is TechRxiv preprint; final peer-reviewed version required</t>
  </si>
  <si>
    <t>The paper clearly frames reliable multichain data sharing and fine-grained access control as the central interoperability problems.</t>
  </si>
  <si>
    <t>Smart-contract security / software assurance</t>
  </si>
  <si>
    <t>Smart-contract developers; Security analysts / auditors; DApp/project maintainers</t>
  </si>
  <si>
    <t>Off-chain security/verification analysis applied to smart-contract artifacts; no separate off-chain transaction-processing component is deployed.</t>
  </si>
  <si>
    <t>The hardware/OS environment, 15,000-transaction stress workload, concurrency approach and test interfaces are reported.</t>
  </si>
  <si>
    <t>Access-control logic is the analysis/design target; no separate deployed identity mechanism is reported.</t>
  </si>
  <si>
    <t>SynergyChain's three-tier architecture, consensus/verification modules, hierarchical access-control contracts and data workflow are specified in detail. The hardware/OS environment, 15,000-transaction stress workload, concurrency approach and test interfaces are reported. Algorithms, interfaces and configuration details are documented, but no public study-specific source-code/data repository is identified.</t>
  </si>
  <si>
    <t>pp. 1–2; pp. 3–8; p. 8, Section VI-A; pp. 4–10</t>
  </si>
  <si>
    <t>Propose Fedidchain, a blockchain-enabled framework intended to improve cross-border interoperability and decentralized trust management in identity federation systems.</t>
  </si>
  <si>
    <t>Digital identity</t>
  </si>
  <si>
    <t>Identity federations face interoperability limitations and centralized trust-management weaknesses that hinder cross-border federation.</t>
  </si>
  <si>
    <t>Identity/trust-management mechanism is central to the proposed framework; detailed implementation is recorded only where supported by the source.</t>
  </si>
  <si>
    <t>Partial extraction only: supplied file contains the first page/abstract, not the complete article. The attached file is only the first page/abstract; full-text QA is intentionally withheld. Experimental context cannot be assessed from the incomplete upload. Reproducibility/artifact availability cannot be assessed from the incomplete upload. Only the first page/abstract is available; technical extraction is necessarily incomplete.</t>
  </si>
  <si>
    <t>p. 1 only (incomplete supplied file)</t>
  </si>
  <si>
    <t>The paper clearly identifies the difficulty and latency of state access between smart contracts on heterogeneous blockchains.</t>
  </si>
  <si>
    <t>Permissioned/private organizational blockchain context; no named enterprise deployment is reported.</t>
  </si>
  <si>
    <t>Permissioned; Public / Ethereum-EVM ecosystem; Cross-chain / multi-chain</t>
  </si>
  <si>
    <t>Ethereum/EVM; FISCO BCOS</t>
  </si>
  <si>
    <t>Cross-chain middleware</t>
  </si>
  <si>
    <t>50 Oracle gateways</t>
  </si>
  <si>
    <t>The study reports Ethereum/FISCO configurations, three blockchains, 50 Oracle gateways, server resources and parameterized contract/chain counts.</t>
  </si>
  <si>
    <t>The Oracle-gateway architecture and subscription-based active state-access mechanism are specified with workflow diagrams and protocol details. The study reports Ethereum/FISCO configurations, three blockchains, 50 Oracle gateways, server resources and parameterized contract/chain counts. The paper states that a prototype containing the Oracle gateway, cross-chain component and corresponding smart contracts is published.</t>
  </si>
  <si>
    <t>pp. 1–2; pp. 1–3; p. 3, Table I/experimental setup; pp. 1–3, prototype footnote</t>
  </si>
  <si>
    <t>The introduction clearly defines interoperability, integration burden, external-service dependence and permissioned-chain access-control gaps.</t>
  </si>
  <si>
    <t>Permissioned; Cross-chain / multi-chain</t>
  </si>
  <si>
    <t>Cross-chain middleware; Docker / containers</t>
  </si>
  <si>
    <t>Two Fabric networks, VPS specifications, organizations, Docker isolation, Caliper placement and concurrency settings are reported.</t>
  </si>
  <si>
    <t>Authentication/authorization workflow is explicitly part of the proposed architecture.</t>
  </si>
  <si>
    <t>Policy smart contracts, relay architecture, authentication/authorization flow and service invocation are described in detail. Two Fabric networks, VPS specifications, organizations, Docker isolation, Caliper placement and concurrency settings are reported. Both the relay module and smart contracts are publicly available at https://github.com/tcdt-lab/Automated-Gateways.</t>
  </si>
  <si>
    <t>pp. 1–2; pp. 3–6; p. 6, Section IV-A/B; p. 6, footnote 1</t>
  </si>
  <si>
    <t>The paper clearly frames efficient consistency auditing for dynamically updated cross-chain data as the problem.</t>
  </si>
  <si>
    <t>The Hyperledger Fabric-based multi-chain prototype and experiment parameters are sufficiently described for the reported tests.</t>
  </si>
  <si>
    <t>EDCA, AGMS, D-MHT/index state, audit-chain workflow and security goals are specified mathematically and procedurally. The Hyperledger Fabric-based multi-chain prototype and experiment parameters are sufficiently described for the reported tests. Supplementary security proofs and implementation/configuration information are available, but no complete public study-specific source-code package is identified.</t>
  </si>
  <si>
    <t>pp. 1–2; pp. 3–9; pp. 10–11, Section VII; pp. 1, 9–12</t>
  </si>
  <si>
    <t>The paper clearly motivates verifiable and privacy-preserving cross-node data sharing in heterogeneous vehicle-edge environments.</t>
  </si>
  <si>
    <t>Hyperledger Fabric; FISCO BCOS; WeCross</t>
  </si>
  <si>
    <t>The evaluation reports FISCO BCOS and Hyperledger Fabric versions, WeCross integration, client/VM hardware and varying key/node/workload settings.</t>
  </si>
  <si>
    <t>Relay-chain coordination, threshold Paillier encryption, distributed key slices, smart contracts and verification/decryption protocols are detailed. The evaluation reports FISCO BCOS and Hyperledger Fabric versions, WeCross integration, client/VM hardware and varying key/node/workload settings. Supplementary smart-contract logic and detailed setup are reported, but no public study-specific source repository is identified.</t>
  </si>
  <si>
    <t>pp. 1–3; pp. 5–11; pp. 11–12, experimental setup; pp. 8–15 and supplementary-material references</t>
  </si>
  <si>
    <t>The paper clearly frames the efficiency/security/decentralization trade-off between custodial and non-custodial bridges.</t>
  </si>
  <si>
    <t>Cloud infrastructure; TEE/SGX; Cross-chain middleware</t>
  </si>
  <si>
    <t>Cloud hardware, Intel SGX environment, transaction counts and attack/failure cases are explicitly documented.</t>
  </si>
  <si>
    <t>EquiLink Service, Light Server, TEE validator/watchtower network, HTLC workflow, economic model and attack defenses are fully described. Cloud hardware, Intel SGX environment, transaction counts and attack/failure cases are explicitly documented. The paper publicly releases the implementation at https://github.com/Stdwill/EquiLink-bridge and provides supplementary material.</t>
  </si>
  <si>
    <t>pp. 1–2; pp. 4–9; pp. 10–12; p. 2, contributions/artifact</t>
  </si>
  <si>
    <t>The paper clearly defines centralized trust, semantic rigidity and static topology as three core interoperability limitations.</t>
  </si>
  <si>
    <t>Beijing (China); Johannesburg (South Africa); Mexico City (Mexico) — Huawei Cloud test locations</t>
  </si>
  <si>
    <t>Ethereum/EVM; ChainMaker</t>
  </si>
  <si>
    <t>90+ Huawei Cloud nodes</t>
  </si>
  <si>
    <t>The study reports 90+ Huawei Cloud nodes across three continents, node resources, Ethereum/ChainMaker stacks, traffic patterns and repeated trials.</t>
  </si>
  <si>
    <t>Celestial's hybrid relay, interchain data unit, geo-aware routing and Proof of Cross-chain Transmission are specified in detail. The study reports 90+ Huawei Cloud nodes across three continents, node resources, Ethereum/ChainMaker stacks, traffic patterns and repeated trials. Extensive implementation detail and supplementary material are provided, but no study-specific public source-code repository is identified. File reconciliation: the supplied file named PS040.pdf corresponds to PS039 Celestial.</t>
  </si>
  <si>
    <t>pp. 1–3; pp. 2–9; pp. 9–10, experimental setup; pp. 1, 9–13; Source file reconciliation: supplied PS040.pdf contains PS039 (Celestial)</t>
  </si>
  <si>
    <t>Not available — actual PS040 full text missing</t>
  </si>
  <si>
    <t>Extraction unavailable: actual PS040 (ShiftHub) full text is missing; supplied PS040.pdf belongs to PS039.</t>
  </si>
  <si>
    <t>The paper clearly identifies the privacy/verifiability/performance problem for cross-chain transfers among consortium blockchains.</t>
  </si>
  <si>
    <t>Permissioned; Consortium; Cross-chain / multi-chain</t>
  </si>
  <si>
    <t>Fabric version, ZK libraries, server configurations, network topology, request rates and server-count variations are reported.</t>
  </si>
  <si>
    <t>The dual-balance model, four zk-SNARK transaction types, relay-chain workflow and UC/privacy guarantees are described in detail. Fabric version, ZK libraries, server configurations, network topology, request rates and server-count variations are reported. Supplementary material and detailed configuration are provided, but no study-specific public source-code repository is identified.</t>
  </si>
  <si>
    <t>pp. 1–2; pp. 3–10; pp. 10–13; pp. 1, 10–15</t>
  </si>
  <si>
    <t>The paper clearly motivates the need for blockchain-specific software-engineering practices and defines its exploratory objectives.</t>
  </si>
  <si>
    <t>The corpus construction is reported: 52 GitHub accounts, 1,184 repositories, and 193 retained repositories after explicit recency/fork/age filters.</t>
  </si>
  <si>
    <t>It identifies concrete BOSE challenges in testing, security/reliability, architecture, modeling, metrics, roles and collaboration. The corpus construction is reported: 52 GitHub accounts, 1,184 repositories, and 193 retained repositories after explicit recency/fork/age filters. Dataset-selection logic and extracted fields are documented, but no public raw study dataset/package is identified.</t>
  </si>
  <si>
    <t>pp. 1–2; pp. 2–3; p. 3, Section IV; pp. 3–4</t>
  </si>
  <si>
    <t>The study clearly defines research questions on blockchain developers' characteristics, motivations, challenges, differences and tool needs.</t>
  </si>
  <si>
    <t>The empirical contribution is sufficiently described and explicitly connected to blockchain software development practice. The study reports 1,604 invited active developers from 145 blockchain projects and 156 usable responses, together with respondent demographics. Survey questions, coding scheme and analytical procedure are documented, but no complete public respondent-level dataset/reproducibility package is identified.</t>
  </si>
  <si>
    <t>pp. 1–7; methodology/demographics sections; appendix/methodology</t>
  </si>
  <si>
    <t>The paper clearly identifies immature DApp development practice and the need for a disciplined blockchain-specific lifecycle method.</t>
  </si>
  <si>
    <t>Blockchain developer/security-tool ecosystem; no named enterprise deployment reported.</t>
  </si>
  <si>
    <t>Public / Ethereum-EVM ecosystem</t>
  </si>
  <si>
    <t>Solidity</t>
  </si>
  <si>
    <t>BPMN/UML/MDE</t>
  </si>
  <si>
    <t>The evaluation reports a 14-developer early-use survey, experience/project counts, ABCDE project use and a worked real-case-derived DApp example.</t>
  </si>
  <si>
    <t>ABCDE covers requirements, parallel smart-contract/app flows, design, implementation, testing, integration, deployment, security and gas optimization with adapted UML. The evaluation reports a 14-developer early-use survey, experience/project counts, ABCDE project use and a worked real-case-derived DApp example. Detailed process steps, UML extensions and checklists are contained in the paper, but no complete public study artifact/evaluation dataset is identified.</t>
  </si>
  <si>
    <t>pp. 1–2; pp. 2–10; pp. 10–15, Table 4/Section 5; pp. 4–16</t>
  </si>
  <si>
    <t>The paper clearly identifies high setup/configuration and multi-platform development costs for smart contracts/BaaS as the problem.</t>
  </si>
  <si>
    <t>Platform usage volume and setup examples are given, but workload/user sampling and data-collection procedures for the operational statistics are only partially documented.</t>
  </si>
  <si>
    <t>ChainIDE 2.0's cloud IDE architecture, multi-blockchain support, CDN/cache use and development workflow are described. Platform usage volume and setup examples are given, but workload/user sampling and data-collection procedures for the operational statistics are only partially documented. Architecture and service behavior are documented and the platform was operational, but no complete study-specific source/data package is identified.</t>
  </si>
  <si>
    <t>pp. 1–2; pp. 2–4; pp. 4–5; pp. 2–5</t>
  </si>
  <si>
    <t>The paper clearly motivates early testing for immutable smart contracts and identifies validation/quality assurance as a software-engineering problem.</t>
  </si>
  <si>
    <t>No empirical dataset, participants or experimental environment are used because the contribution is conceptual/methodological.</t>
  </si>
  <si>
    <t>A preliminary model-based approach is outlined through UML/model-based testing, smart-contract templates and code-generation concepts, but it is not specified as a complete executable method. No empirical dataset, participants or experimental environment are used because the contribution is conceptual/methodological. Figures, process concepts and modelling guidance are documented, but no study-specific implementation, dataset or replication package is provided.</t>
  </si>
  <si>
    <t>pp. 1–3; pp. 12–19; pp. 18–20; pp. 12–20</t>
  </si>
  <si>
    <t>The paper clearly identifies the need for contract-oriented software architecture to support service requirements and smart-contract engineering.</t>
  </si>
  <si>
    <t>The contribution is an architectural framework illustrated by an online car-rental scenario rather than an empirical experiment.</t>
  </si>
  <si>
    <t>The legal–logic–interactive models, four-layer blockchain framework and smart-contract design/development/deployment/execution architecture are described in detail. The contribution is an architectural framework illustrated by an online car-rental scenario rather than an empirical experiment. Architecture diagrams and language/runtime concepts are provided, but no study-specific implementation or reproducibility artifact is identified.</t>
  </si>
  <si>
    <t>pp. 1–3; pp. 2–8; pp. 3–8</t>
  </si>
  <si>
    <t>The study clearly defines the difficulty of safely developing cross-organizational blockchain applications that integrate business processes and asset management.</t>
  </si>
  <si>
    <t>Four industry/government-derived use cases are described, together with generated contracts, testing workflow and Ethereum execution context.</t>
  </si>
  <si>
    <t>The integrated MDE approach, BPMN/asset-registry models, smart-contract generators, blockchain interaction methods and Lorikeet tool are described in detail. Four industry/government-derived use cases are described, together with generated contracts, testing workflow and Ethereum execution context. The Lorikeet implementation is described in detail; the full test suite and evaluation code are stated to be available online for reproducibility.</t>
  </si>
  <si>
    <t>pp. 1–3; pp. 3–16; pp. 17–23; pp. 15–24</t>
  </si>
  <si>
    <t>The paper clearly motivates understanding blockchain developers' discussion topics and the limitations of naive LDA across uneven platform corpora.</t>
  </si>
  <si>
    <t>The paper reports a Stack Overflow corpus spanning 2008–2017 with 38,485,045 posts plus platform-specific Stack Exchange communities and explicit filtering procedures.</t>
  </si>
  <si>
    <t>Balanced LDA, the empirically derived blockchain reference architecture and cross-platform topic mapping are described as the main technical/empirical contribution. The paper reports a Stack Overflow corpus spanning 2008–2017 with 38,485,045 posts plus platform-specific Stack Exchange communities and explicit filtering procedures. Stack Exchange data are publicly available and the collection process is documented in the paper/appendix, but no complete study-specific scripts and replication package are identified.</t>
  </si>
  <si>
    <t>pp. 1–3; pp. 2–7; pp. 4–7; pp. 4–7 and Appendix reference</t>
  </si>
  <si>
    <t>The paper clearly identifies the difficulty and error-proneness of manually developing immutable smart contracts and motivates MDA/UML-based generation.</t>
  </si>
  <si>
    <t>The three example contracts, tooling, JavaScript VM deployment environment and generated/original contract comparisons are documented.</t>
  </si>
  <si>
    <t>Algorithms for Blockchain PIM-to-Solidity PSM transformation and PSM-to-code generation are specified with UML state-machine and structural mappings. The three example contracts, tooling, JavaScript VM deployment environment and generated/original contract comparisons are documented. Generated smart-contract files are publicly available in the authors' GitHub repository, and transformation/tool details are documented.</t>
  </si>
  <si>
    <t>pp. 1–3; pp. 3–10; pp. 10–15; pp. 11 and 16</t>
  </si>
  <si>
    <t>The paper clearly frames multi-party smart-contract development as a collaboration, comprehensibility and efficiency problem for technical and non-technical stakeholders.</t>
  </si>
  <si>
    <t>Five contract scenarios, manual versus reuse-assisted generation procedure and measured code/state/function reuse variables are explicitly reported.</t>
  </si>
  <si>
    <t>The BPMN interaction model, multi-layer reuse library, Blockly-based visual generator, security checking, compilation and deployment components are described in detail. Five contract scenarios, manual versus reuse-assisted generation procedure and measured code/state/function reuse variables are explicitly reported. A Blockly Solidity-function component is linked publicly and implementation details are documented, but the complete study tool, datasets and evaluation package are not provided as a unified public artifact.</t>
  </si>
  <si>
    <t>pp. 1–3; pp. 3–13; pp. 13–14; pp. 10–16</t>
  </si>
  <si>
    <t>The paper clearly motivates the difficulty of locating smart contracts by category and the need for a trend-oriented public repository.</t>
  </si>
  <si>
    <t>The study reports more than 125,000 initial contracts, 100,040 cleaned contracts and category/year distributions, with explicit source repositories.</t>
  </si>
  <si>
    <t>The contribution is a categorized Ethereum smart-contract dataset created from merged repositories and a seeded-LDA classification process. The study reports more than 125,000 initial contracts, 100,040 cleaned contracts and category/year distributions, with explicit source repositories. The resulting Top-Trending-Contracts dataset is publicly available on GitHub, and the source datasets and processing steps are documented.</t>
  </si>
  <si>
    <t>pp. 1–2; pp. 1–3; pp. 2–3; pp. 2–4</t>
  </si>
  <si>
    <t>The paper clearly identifies incomplete/poorly connected smart-contract development phases and motivates a full MDA lifecycle.</t>
  </si>
  <si>
    <t>Hyperledger Fabric; Ethereum/EVM</t>
  </si>
  <si>
    <t>Solidity; Go</t>
  </si>
  <si>
    <t>The HackChain certificate-issuing workflow, model transformations, generated contracts, deployment environments and workflow execution are documented.</t>
  </si>
  <si>
    <t>MDAsmartCD covers CIM, PIM, two PSMs, UML extensions and model-to-model/model-to-text transformations for Solidity and Hyperledger Go. The HackChain certificate-issuing workflow, model transformations, generated contracts, deployment environments and workflow execution are documented. Generated Solidity/Go code and study implementation material are publicly available at the MDAsmartCD GitHub repository.</t>
  </si>
  <si>
    <t>pp. 1–3; pp. 3–20; pp. 15–25; pp. 15 and 25–26</t>
  </si>
  <si>
    <t>The paper clearly defines automated BPMN-to-smart-contract generation, developer-efficiency/error reduction, and optional sidechain cost/privacy objectives.</t>
  </si>
  <si>
    <t>Hyperledger Fabric; Ethereum/EVM; Quorum</t>
  </si>
  <si>
    <t>Three trade-oriented use cases and their deployment/execution on Ethereum, Hyperledger Fabric and Quorum are described with generated-state models.</t>
  </si>
  <si>
    <t>The BPMN-to-DE-HSM transformations, smart-contract generation, sidechain extraction and runtime-monitoring approach are described extensively. Three trade-oriented use cases and their deployment/execution on Ethereum, Hyperledger Fabric and Quorum are described with generated-state models. Implementation and deployment details are substantial and a demo/limited access is offered on request, but no public complete source-code/replication package is supplied.</t>
  </si>
  <si>
    <t>pp. 1–3; pp. 3–19; pp. 19–24; pp. 19–25</t>
  </si>
  <si>
    <t>The study clearly motivates the lack of large-scale knowledge about Ethereum proxy prevalence, deployment patterns and proxy types.</t>
  </si>
  <si>
    <t>The study covers 50,845,833 smart contracts and 1,695,517,186 transactions through September 2022 and documents ground-truth construction and DApp samples.</t>
  </si>
  <si>
    <t>A behavioral proxy-detection technique, creational-pattern taxonomy and proxy type analyses are described in depth. The study covers 50,845,833 smart contracts and 1,695,517,186 transactions through September 2022 and documents ground-truth construction and DApp samples. Four ground-truth datasets and a public supplementary/replication package are provided; the supplied manuscript identifies the GitHub replication repository.</t>
  </si>
  <si>
    <t>pp. 1–4; pp. 10–34; pp. 3–13 and Appendix; pp. 3 and 38–40</t>
  </si>
  <si>
    <t>The paper clearly identifies the absence of Solidity-focused code-generation benchmarks and the security/correctness risks of LLM-generated smart contracts.</t>
  </si>
  <si>
    <t>Fifteen reviewed use cases, test construction, model set, hardware, Docker/Ollama environment and generation process are reported.</t>
  </si>
  <si>
    <t>A TDD-inspired benchmark pipeline combining natural-language specifications, Hardhat tests, compilation and Slither analysis is specified. Fifteen reviewed use cases, test construction, model set, hardware, Docker/Ollama environment and generation process are reported. The benchmark is publicly released as an open-source GitHub pipeline and the hardware/toolchain are documented.</t>
  </si>
  <si>
    <t>pp. 1–2; pp. 2–3; pp. 2–4</t>
  </si>
  <si>
    <t>The study clearly identifies uncertainty about how Solidity developers use and misuse error-handling features over time.</t>
  </si>
  <si>
    <t>The study analyses 283,000 unique open-source Solidity contracts and 102 Solidity releases, with sampling/validation procedures specified.</t>
  </si>
  <si>
    <t>The contribution combines language-feature evolution analysis, empirical usage/misuse analysis and actionable documentation/tool recommendations. The study analyses 283,000 unique open-source Solidity contracts and 102 Solidity releases, with sampling/validation procedures specified. The curated dataset and SolBench analysis tool are publicly available on GitHub, with supplementary rule details referenced.</t>
  </si>
  <si>
    <t>pp. 1–3; pp. 2–10; pp. 1–6; pp. 2, 6 and 11</t>
  </si>
  <si>
    <t>The paper clearly identifies platform-specific smart-contract languages, maintenance constraints and the need for platform-independent graphical modelling.</t>
  </si>
  <si>
    <t>The voting case and represented code elements are documented, but the evaluation consists of a single reference contract with no participant or broader case sample.</t>
  </si>
  <si>
    <t>SCEditor's metamodel, Eclipse Sirius implementation, Smart Contract Diagram and Function Diagram elements are described in detail. The voting case and represented code elements are documented, but the evaluation consists of a single reference contract with no participant or broader case sample. Metamodel/editor implementation details are substantial, but no public SCEditor study-specific source-code or replication package is identified.</t>
  </si>
  <si>
    <t>pp. 1–2; pp. 3–8; pp. 7–9; pp. 3–10</t>
  </si>
  <si>
    <t>The study clearly motivates real-world smart-contract evolution under blockchain immutability and frames prevalence, gas and vulnerability RQs.</t>
  </si>
  <si>
    <t>The study constructs multiple on-chain/open-source/bug-fix datasets, including an 80,152-contract on-chain dataset and documented survey evidence.</t>
  </si>
  <si>
    <t>The digEvolution similarity-search algorithm, datasets and evolution/gas/security analyses are described in detail. The study constructs multiple on-chain/open-source/bug-fix datasets, including an 80,152-contract on-chain dataset and documented survey evidence. The paper publicly releases source code and study datasets at the Characterizing-Smart-Contract-Evolution GitHub repository.</t>
  </si>
  <si>
    <t>pp. 1–4; pp. 3–18; pp. 4–16; p. 4</t>
  </si>
  <si>
    <t>The paper clearly identifies the lack of systematic evidence about prevalence, co-evolution, bug-proneness and causes of Solidity code clones.</t>
  </si>
  <si>
    <t>The dataset contains 26,294 smart contracts and 97,877 functions from Etherscan, OpenZeppelin and Synthetix, with version/project-selection rules reported.</t>
  </si>
  <si>
    <t>The empirical contribution defines clone types, co-evolution categories, study RQs and a complete analysis workflow using NiCad and repository evolution. The dataset contains 26,294 smart contracts and 97,877 functions from Etherscan, OpenZeppelin and Synthetix, with version/project-selection rules reported. The authors state that the collected data are publicly shared on the study website, and project/configuration/annotation details are documented.</t>
  </si>
  <si>
    <t>pp. 1–3; pp. 2–4; pp. 3–4; pp. 3 and 11</t>
  </si>
  <si>
    <t>The study explicitly asks why early software-development phases are critical for blockchain applications and focuses on upgrading consequences after deployment.</t>
  </si>
  <si>
    <t>EVM bytecode; source language not required/reported</t>
  </si>
  <si>
    <t>The digital-identity case, microservice architecture, Ethereum smart contracts, upgrade scenario and gas-cost experiment are described in sufficient technical detail for classification.</t>
  </si>
  <si>
    <t>A digital-identity system using microservices and smart contracts is described, including initial architecture, upgrade requirements and on-chain/off-chain repercussions. The digital-identity case, microservice architecture, Ethereum smart contracts, upgrade scenario and gas-cost experiment are described in sufficient technical detail for classification. Architecture, contract-upgrade procedure and experimental details are documented, but no study-specific public code/data/replication package is identified.</t>
  </si>
  <si>
    <t>Abstract; pp. 1–2; Secs. III–V; Secs. III, IV and VI; full text</t>
  </si>
  <si>
    <t>The paper clearly identifies the lack of comprehensive tools and datasets for tracing immutable smart-contract version histories and upgrade relationships.</t>
  </si>
  <si>
    <t>Neo4j graph database</t>
  </si>
  <si>
    <t>The dataset is grounded in EthereumETL and Etherscan and contains approximately 1.3 million upgradeable proxies and nearly 15,000 historical versions.</t>
  </si>
  <si>
    <t>EvoChain's data, API and user-interface layers, Neo4j graph schema, proxy/version relationships and vulnerability views are described. The dataset is grounded in EthereumETL and Etherscan and contains approximately 1.3 million upgradeable proxies and nearly 15,000 historical versions. The EvoChain dataset and tool are publicly available on GitHub, and the data schema and supporting tools such as PROXiFY are documented.</t>
  </si>
  <si>
    <t>Abstract; Sec. I; Secs. II-A–II-C; Abstract; Sec. II-A; Sec. II-C; GitHub footnotes</t>
  </si>
  <si>
    <t>The paper clearly identifies the inadequacy of existing delegatecall/call-based maintenance patterns for combined state and logic changes and motivates transparent maintenance.</t>
  </si>
  <si>
    <t>The evaluation uses 1,355 real-world contract-maintenance cases and reports developer-oriented evaluation, experimental configurations and state/gas scenarios.</t>
  </si>
  <si>
    <t>SmartUpdater's hyperproxy pattern, DSL, optimization-oriented contract generation and SNARK-based state-migration verification are described in depth. The evaluation uses 1,355 real-world contract-maintenance cases and reports developer-oriented evaluation, experimental configurations and state/gas scenarios. The SmartUpdater source code is explicitly released on GitHub, and implementation, DSL, experiment and verification details are documented.</t>
  </si>
  <si>
    <t>Abstract; Sec. I; Secs. II–V; evaluation sections; Sec. I contributions; GitHub reference</t>
  </si>
  <si>
    <t>Develop a model-driven reference framework providing full software-lifecycle support for blockchain-based application development across platforms.</t>
  </si>
  <si>
    <t>Existing model-driven blockchain-development approaches provide fragmented lifecycle support and leave platform-specific blockchain complexities costly and error-prone.</t>
  </si>
  <si>
    <t>A cross-border food-supply-chain case and two platform implementations are described; evidence is retained only as provisional source notes.</t>
  </si>
  <si>
    <t>Provisional extraction from explicitly unreviewed preprint; peer-reviewed Version of Record required before locking. The preprint describes a full-lifecycle MDD reference framework, blockchain-specific transformations and a prototype for Ethereum and Hyperledger Fabric; criterion evidence is provisional. A cross-border food-supply-chain case and two platform implementations are described; evidence is retained only as provisional source notes. Implementation/artifact generation is described in the preprint, but the QA score remains pending until the final peer-reviewed source is supplied. Technical details are provisional because the supplied source is explicitly an unreviewed preprint.</t>
  </si>
  <si>
    <t>Abstract; Sec. 1; Secs. 3–4; evaluation section; Secs. 3–5; Supplied source is unreviewed preprint; Version of Record required</t>
  </si>
  <si>
    <t>The study clearly motivates the security risks arising from Ethereum execution semantics and the need to detect vulnerable contracts before deployment.</t>
  </si>
  <si>
    <t>The evaluation covers 19,366 Ethereum contracts from the first 1.46 million blocks, with source-available subsets used for manual false-positive verification.</t>
  </si>
  <si>
    <t>The paper formalizes relevant Ethereum semantics, documents vulnerability classes and presents the Oyente symbolic-execution architecture and detectors. The evaluation covers 19,366 Ethereum contracts from the first 1.46 million blocks, with source-available subsets used for manual false-positive verification. Oyente is described as open source/project-page software and implementation details are extensive, but the supplied paper does not present a complete study-specific replication package.</t>
  </si>
  <si>
    <t>Abstract; Sec. 1; Secs. 3–5; Sec. 6; Secs. 1, 5–6</t>
  </si>
  <si>
    <t>The paper clearly identifies the need for scalable, automated smart-contract security analysis that can distinguish definite violations from warnings.</t>
  </si>
  <si>
    <t>The study constructs Solidity/EVM datasets and reports contract-level analysis at realistic scale, together with operational experience from more than 18,000 submitted contracts and commercial audits.</t>
  </si>
  <si>
    <t>Securify's dependency-graph analysis, Datalog encoding, compliance/violation patterns and DSL are described in detail. The study constructs Solidity/EVM datasets and reports contract-level analysis at realistic scale, together with operational experience from more than 18,000 submitted contracts and commercial audits. Securify is publicly released and available online, and the analysis language, implementation and evaluation datasets/procedures are described.</t>
  </si>
  <si>
    <t>Abstract; Sec. 1; Secs. 3–6; Secs. 1 and 7; Abstract; Secs. 1 and 7</t>
  </si>
  <si>
    <t>The paper clearly motivates automated verification of smart-contract correctness and fairness before deployment because contracts are difficult to patch.</t>
  </si>
  <si>
    <t>Permissioned; Public / Ethereum-EVM ecosystem</t>
  </si>
  <si>
    <t>The authors scraped 22,493 source contracts, identified 1,524 unique contracts, report category/LOC characteristics and provide hardware/toolchain configuration.</t>
  </si>
  <si>
    <t>ZEUS combines policy specification, Solidity-to-LLVM translation, abstract interpretation, symbolic model checking and constrained Horn clauses in a detailed verification pipeline. The authors scraped 22,493 source contracts, identified 1,524 unique contracts, report category/LOC characteristics and provide hardware/toolchain configuration. Translation, policy and verifier implementation details are extensive, but no public ZEUS source/replication package is identified in the supplied article.</t>
  </si>
  <si>
    <t>Abstract; Sec. I; Secs. III–V; Sec. VI-A; full text</t>
  </si>
  <si>
    <t>The paper clearly states the goal of formally verifying blockchain smart contracts while considering attacker/user behavior.</t>
  </si>
  <si>
    <t>The crowdfunding contract, attacker contract, model attributes, initial markings and simulated deposit/withdrawal behavior are described in detail.</t>
  </si>
  <si>
    <t>A hierarchical CPN method, attacker model, stepwise simulation, ASK-CTL queries and state-space checking procedure are described. The crowdfunding contract, attacker contract, model attributes, initial markings and simulated deposit/withdrawal behavior are described in detail. Model equations, markings and query logic are reported, but no public CPN model files, code or replication package are identified.</t>
  </si>
  <si>
    <t>Abstract; Sec. I; Secs. III–IV; Secs. II–IV</t>
  </si>
  <si>
    <t>The paper clearly identifies false-positive and false-negative weaknesses of existing reentrancy detectors in cross-contract interactions.</t>
  </si>
  <si>
    <t>The study uses 11,714 Etherscan contracts for the motivating empirical study and 17,770 Google BigQuery contracts for independent tool evaluation.</t>
  </si>
  <si>
    <t>Clairvoyance's cross-contract interprocedural CFG, static taint analysis and path-protection-technique feasibility checking are described in detail. The study uses 11,714 Etherscan contracts for the motivating empirical study and 17,770 Google BigQuery contracts for independent tool evaluation. The tool is publicly available and the authors state that experimental results/datasets are or will be released to the community; implementation procedures are detailed.</t>
  </si>
  <si>
    <t>Abstract; Sec. 1; Secs. 3–5; Secs. 4 and 6; Secs. 1 and 6.6.2</t>
  </si>
  <si>
    <t>The study clearly identifies the loss of semantic context caused by single-tokenization N-gram vulnerability auditing.</t>
  </si>
  <si>
    <t>More than 7,200 Ethereum smart contracts are collected and divided into training and testing sets, with dataset-construction and labeling procedures reported.</t>
  </si>
  <si>
    <t>MSgram's text, structure and combined tokenization schemes, N-gram detectors and Intersection/Union combination strategies are explicitly defined. More than 7,200 Ethereum smart contracts are collected and divided into training and testing sets, with dataset-construction and labeling procedures reported. The complete dataset, including smart-contract source and test reports, is published on GitHub; preprocessing and experiment settings are documented.</t>
  </si>
  <si>
    <t>Abstract; Sec. I; Secs. III-A–III-C; Sec. III-B; Sec. IV; Sec. IV-B; GitHub footnote</t>
  </si>
  <si>
    <t>The study clearly motivates Wasm-level smart-contract vulnerability analysis for EOSIO and cross-platform extensibility.</t>
  </si>
  <si>
    <t>Ethereum/EVM; EOSIO</t>
  </si>
  <si>
    <t>WebAssembly/Wasm bytecode</t>
  </si>
  <si>
    <t>The study uses 83 source-available and 65,202 bytecode EOSIO contracts plus 89 manually confirmed vulnerable Ethereum contracts, with hardware/tool versions reported.</t>
  </si>
  <si>
    <t>WANA's Wasm symbolic-execution engine and vulnerability-specific detection algorithms are described for EOSIO and extended to Ethereum. The study uses 83 source-available and 65,202 bytecode EOSIO contracts plus 89 manually confirmed vulnerable Ethereum contracts, with hardware/tool versions reported. WANA is explicitly open sourced on GitHub and experiment environment, solver version, loop depth and datasets are documented.</t>
  </si>
  <si>
    <t>Abstract; Sec. I; Secs. IV–VI; Secs. V-B–V-C and VI; Sec. I; Sec. V-C</t>
  </si>
  <si>
    <t>The paper clearly motivates the need to improve symbolic-execution speed and vulnerability coverage while retaining explainable detection results.</t>
  </si>
  <si>
    <t>A dataset of 18,912 smart-contract source files is constructed, vulnerability subsets are described, random samples are selected for experiments and hardware is reported.</t>
  </si>
  <si>
    <t>The system combines Mythril path pruning, a transaction-order-dependence detector and an LSTM auxiliary classifier in a documented analysis pipeline. A dataset of 18,912 smart-contract source files is constructed, vulnerability subsets are described, random samples are selected for experiments and hardware is reported. System architecture, algorithms and experimental configuration are documented, but no complete public code/data replication package is identified.</t>
  </si>
  <si>
    <t>Abstract; Sec. I; Secs. III-A–III-D; Sec. III; Sec. IV; Secs. III–IV</t>
  </si>
  <si>
    <t>The paper clearly motivates faster, less rule-dependent smart-contract vulnerability detection and proposes a hybrid deep-learning alternative.</t>
  </si>
  <si>
    <t>SmartBugs Dataset-Wild is described, preprocessing/splitting are reported and vulnerability-specific experimental datasets are constructed.</t>
  </si>
  <si>
    <t>CBGRU combines Word2Vec/FastText representations with multiple recurrent/convolutional architectures and a hybrid feature-fusion design. SmartBugs Dataset-Wild is described, preprocessing/splitting are reported and vulnerability-specific experimental datasets are constructed. The Data Availability Statement identifies a GitHub repository containing experimental data and associated code.</t>
  </si>
  <si>
    <t>Abstract; Sec. 1; Sec. 3; Sec. 4.1; Data Availability Statement</t>
  </si>
  <si>
    <t>The paper clearly identifies symbolic-execution path explosion and limited multi-core utilization as bottlenecks for smart-contract vulnerability detection.</t>
  </si>
  <si>
    <t>Two third-party datasets are used: SmartBugs curated vulnerable contracts and 1,000 highly triggered real-world contracts from XBlock-ETH, with hardware/CPU settings documented.</t>
  </si>
  <si>
    <t>Park's dynamic forking, adaptive process restriction/adjustment and shared-memory global-variable reconstruction algorithms are described in detail. Two third-party datasets are used: SmartBugs curated vulnerable contracts and 1,000 highly triggered real-world contracts from XBlock-ETH, with hardware/CPU settings documented. The paper states that implementation/results will be released on the ParkSE website and describes the plug-in architecture, but the supplied version does not confirm a stable public replication package.</t>
  </si>
  <si>
    <t>Abstract; Sec. 1; Secs. 3–6; Sec. 7; Secs. 1 and 7–8</t>
  </si>
  <si>
    <t>The study clearly identifies the gap between contract-level vulnerability detection and statement-level localization for reentrancy vulnerabilities.</t>
  </si>
  <si>
    <t>Federated learning / ML</t>
  </si>
  <si>
    <t>The study uses 47,398 real-world contracts from SmartBugs Wild and documents data preparation, propagation-chain generation and benchmark configurations.</t>
  </si>
  <si>
    <t>ReVulDL integrates graph-based pretraining over propagation chains with post-hoc interpretable machine learning for statement localization. The study uses 47,398 real-world contracts from SmartBugs Wild and documents data preparation, propagation-chain generation and benchmark configurations. A public replication package is explicitly provided with source code, datasets and runnable examples.</t>
  </si>
  <si>
    <t>Abstract; Sec. 1; Secs. 3–4; Sec. 4.1; footnote in Sec. 2 / replication-package statement</t>
  </si>
  <si>
    <t>The objective is explicit: build a scalable multi-objective smart-contract vulnerability detector that addresses limitations of rule-based and single-vulnerability approaches.</t>
  </si>
  <si>
    <t>SCC collected 20,545 contracts and retained 18,796 after cleaning; hardware, OS/driver versions, public comparison datasets and experiment setup are reported.</t>
  </si>
  <si>
    <t>MODNN is described through the COS representation, SCC data-processing pipeline, implicit-feature extraction, BERT embeddings and multi-objective probability outputs. SCC collected 20,545 contracts and retained 18,796 after cleaning; hardware, OS/driver versions, public comparison datasets and experiment setup are reported. A public MODNN data/code repository is cited, and hardware, preprocessing, model settings, datasets and training configuration are documented.</t>
  </si>
  <si>
    <t>Abstract; Sec. 1; Secs. 3–5; Secs. 4 and 6.3; Sec. 6.3; Sec. 7; Ref. [10]</t>
  </si>
  <si>
    <t>The paper clearly motivates high false-positive/low-correct-rate problems in smart-contract vulnerability detection and targets reentrancy detection with a Siamese network.</t>
  </si>
  <si>
    <t>SmartBugs Dataset-Wild and SolidiFI Benchmark are identified with sizes; the labeling process uses Oyente, Mythril and SmartCheck and preprocessing steps are detailed.</t>
  </si>
  <si>
    <t>SCVSN architecture, similarity-based Siamese learning, LSTM subnetworks, source-code normalization/tokenization and Word2Vec embedding are described in detail. SmartBugs Dataset-Wild and SolidiFI Benchmark are identified with sizes; the labeling process uses Oyente, Mythril and SmartCheck and preprocessing steps are detailed. The Data Availability Statement provides a GitHub repository containing experimental data and associated code; preprocessing and model settings are also documented.</t>
  </si>
  <si>
    <t>Abstract; Sec. 1; Secs. 3–4; Sec. 4.1; Data Availability Statement; Sec. 4</t>
  </si>
  <si>
    <t>The study clearly identifies inconsistent ad-hoc access-control implementation as the problem and aims to detect violated/missing access-control checks with fewer false positives.</t>
  </si>
  <si>
    <t>Evaluation uses a 15-contract CVE dataset, 47,518 SmartBugs-wild contracts and 3,000 popular Ethereum contracts; hardware and timeout settings are documented.</t>
  </si>
  <si>
    <t>AChecker combines static data-flow/taint analysis for access-control inference with symbolic execution to distinguish intended behavior from vulnerabilities. Evaluation uses a 15-contract CVE dataset, 47,518 SmartBugs-wild contracts and 3,000 popular Ethereum contracts; hardware and timeout settings are documented. The AChecker implementation is explicitly public on GitHub and the paper documents datasets, runtime limits, analysis workflow and evaluation setup.</t>
  </si>
  <si>
    <t>Abstract; Sec. I; Secs. II–III; Sec. IV-A; Sec. I; Ref. [19]; Sec. IV-A</t>
  </si>
  <si>
    <t>The paper clearly motivates efficient pre-deployment vulnerability detection and proposes SCGraph-based approximate graph matching to improve detection quality and speed.</t>
  </si>
  <si>
    <t>Experiments use ESC, SmartBugs curated/wild datasets and 30,000 crawled Ethereum contracts; an Intel i7 3.2GHz/32GB environment is reported.</t>
  </si>
  <si>
    <t>Vulnerability-pattern extraction, semantic contract graph generation, WL-kernel approximate matching, vulnerability libraries and detection thresholds are described. Experiments use ESC, SmartBugs curated/wild datasets and 30,000 crawled Ethereum contracts; an Intel i7 3.2GHz/32GB environment is reported. Implementation language, hardware, datasets, graph-generation and threshold procedures are documented, but no complete public study-specific source/data package is identified.</t>
  </si>
  <si>
    <t>Abstract; Sec. I; Secs. III–IV; Sec. V-A</t>
  </si>
  <si>
    <t>The paper clearly targets the limitations of rule-based and coarse graph-based smart-contract vulnerability detection and proposes slice-level detection.</t>
  </si>
  <si>
    <t>The dataset combines SolidiFI, HuangGai, SmartBugs Curated/Wild and another manual dataset; sample sizes and Intel i5/GTX1060/16GB setup are reported.</t>
  </si>
  <si>
    <t>The sliced joint code graph combines AST, CFG and PDG, applies vulnerability-specific program slicing, and uses bidirectional GGNN plus hybrid attention pooling. The dataset combines SolidiFI, HuangGai, SmartBugs Curated/Wild and another manual dataset; sample sizes and Intel i5/GTX1060/16GB setup are reported. Datasets, dependencies, libraries, environment and hyperparameters are well documented and some source datasets are public, but no complete study-specific replication package is identified.</t>
  </si>
  <si>
    <t>Abstract; Sec. 1; Secs. 3–4; Sec. 5.2–5.3</t>
  </si>
  <si>
    <t>The paper clearly frames limited accuracy of existing smart-contract vulnerability detectors and targets reentrancy detection using contextual language models and transfer learning.</t>
  </si>
  <si>
    <t>Pretraining uses 42,000 SmartBugs Wild and about 70,000 Slither contracts; fine-tuning sets and 7:3 splits are enumerated, with hardware/software setup reported.</t>
  </si>
  <si>
    <t>A custom Solidity tokenizer, DistilBERT masked-language-model pretraining and DistilBERT-MLP/LSTM fine-tuning architectures are described with equations. Pretraining uses 42,000 SmartBugs Wild and about 70,000 Slither contracts; fine-tuning sets and 7:3 splits are enumerated, with hardware/software setup reported. Datasets, architecture, software stack and training hyperparameters are documented, but no complete study-specific code/model replication package is identified.</t>
  </si>
  <si>
    <t>Abstract; Sec. 1; Sec. 3; Sec. 4.1; Secs. 3–4</t>
  </si>
  <si>
    <t>The study explicitly motivates verification of interacting smart contracts and defines the goal of an end-to-end correct-by-design development and deployment framework.</t>
  </si>
  <si>
    <t>The evaluation reports 726 deployed Ethereum contracts, including 267 ERC20 and 459 ERC721 contracts, together with verification-state and timing analysis.</t>
  </si>
  <si>
    <t>Solidity Deployment Diagrams, extended operational semantics, the global coordinator, model checking, code generation and deployment workflow are described in detail. The evaluation reports 726 deployed Ethereum contracts, including 267 ERC20 and 459 ERC721 contracts, together with verification-state and timing analysis. The paper identifies an open-source web implementation and a public Figshare appendix containing additional specifications and supporting material.</t>
  </si>
  <si>
    <t>PDF pp. 1–2; PDF pp. 2–9; PDF pp. 13–16; PDF pp. 2 and 18</t>
  </si>
  <si>
    <t>The paper clearly defines the bytecode-only vulnerability-detection problem caused by unavailable source code and states three empirical research questions.</t>
  </si>
  <si>
    <t>The released benchmark contains 514,880 functions from 42,910 contracts collected from Ethereum, GitHub and vulnerability-analysis sources, with manual labels and an 80/20 split.</t>
  </si>
  <si>
    <t>The source-code/bytecode graph encoders, teacher-student architecture, cross-modality mutual-learning loss and transfer losses are described in detail. The released benchmark contains 514,880 functions from 42,910 contracts collected from Ethereum, GitHub and vulnerability-analysis sources, with manual labels and an 80/20 split. The authors publicly release the implementation and labelled benchmark dataset on GitHub, with additional annotation/training details in the appendices.</t>
  </si>
  <si>
    <t>PDF pp. 1–2, 6; PDF pp. 2–5; PDF p. 6 and Appendix B; PDF pp. 2, 6 and 10</t>
  </si>
  <si>
    <t>The study clearly states limitations of existing source-code/bytecode vulnerability detectors and the objective of improving accuracy and scalability with heterogeneous graph learning.</t>
  </si>
  <si>
    <t>Evaluation combines SmartBugs Curated, SolidiFI-Benchmark and collected contracts; the authors report more than 55K collected contracts and verified labels for 423 buggy and 2,742 clean contracts.</t>
  </si>
  <si>
    <t>Heterogeneous contract graph construction, customized meta-relations, HGT embeddings and contract/line-level classifiers are described in detail. Evaluation combines SmartBugs Curated, SolidiFI-Benchmark and collected contracts; the authors report more than 55K collected contracts and verified labels for 423 buggy and 2,742 clean contracts. Datasets and graph-embedding models are publicly released in the MANDO-HGT repository, with processing and model details documented.</t>
  </si>
  <si>
    <t>PDF pp. 1–2; PDF pp. 2–6; PDF pp. 1–2, 6–7; PDF p. 6</t>
  </si>
  <si>
    <t>The paper clearly identifies three shortcomings in existing smart-contract vulnerability detection and defines the prompt-tuning objective for reentrancy and timestamp dependency.</t>
  </si>
  <si>
    <t>Experiments use more than 200,000 SmartBugs Wild contracts for reentrancy and the ESC dataset with 40,932 contracts/307,396 functions for timestamp dependency.</t>
  </si>
  <si>
    <t>CSCV slicing, CodeT5 representation, prompt templates, verbalizer and classification workflow are described in detail. Experiments use more than 200,000 SmartBugs Wild contracts for reentrancy and the ESC dataset with 40,932 contracts/307,396 functions for timestamp dependency. The study states that all source code and data are publicly available through a Zenodo record and reiterates source-code/data availability in the conclusion.</t>
  </si>
  <si>
    <t>PDF pp. 1–2; PDF pp. 2–6; PDF pp. 2, 6–7; PDF pp. 2 and 10</t>
  </si>
  <si>
    <t>The paper explicitly motivates accurate scalable vulnerability detection and identifies the lack of semantic/context modelling in prior deep-learning approaches.</t>
  </si>
  <si>
    <t>The two public datasets total 24,957 contracts; class distributions, training/testing counts and the hardware/software environment are explicitly reported.</t>
  </si>
  <si>
    <t>The vulnerability-fragment extraction process and hybrid Bi-GRU/single-head/multi-head attention architecture are described in detail. The two public datasets total 24,957 contracts; class distributions, training/testing counts and the hardware/software environment are explicitly reported. Dataset sources, preprocessing, hardware, software framework and model settings are documented, but no complete public study-specific code/data replication package is identified.</t>
  </si>
  <si>
    <t>PDF pp. 1–3; PDF pp. 9–16; PDF pp. 16–18</t>
  </si>
  <si>
    <t>The paper clearly identifies the lack of Hyperledger Fabric-specific Node.js chaincode security scanners and motivates pre-deployment auditing.</t>
  </si>
  <si>
    <t>JavaScript/Node.js</t>
  </si>
  <si>
    <t>The technical evaluation shows secured and deliberately vulnerable chaincode examples, but no clearly defined labelled dataset, sample size or representative workload is reported.</t>
  </si>
  <si>
    <t>UBF-ChaincodeScan architecture, validation/scanning phases, AST processing, report format and eight Fabric/Node.js vulnerability checks are described. The technical evaluation shows secured and deliberately vulnerable chaincode examples, but no clearly defined labelled dataset, sample size or representative workload is reported. Commands, architecture, rules and output format are documented, but no public UBF-ChaincodeScan source repository or evaluation dataset is identified.</t>
  </si>
  <si>
    <t>PDF pp. 1–2; PDF pp. 2–5; PDF pp. 5–6; PDF pp. 2–6</t>
  </si>
  <si>
    <t>The study clearly states the objective of extending Oyente beyond its original seven vulnerability classes and motivates four additional detections.</t>
  </si>
  <si>
    <t>The paper states that public Ethereum contracts were collected and that the method was tested on 2,676 contracts, but sampling, composition and ground-truth construction are only lightly described.</t>
  </si>
  <si>
    <t>Detection logic and algorithms are presented for bad randomness, access control, unchecked low-level calls and DoS with unbounded operations. The paper states that public Ethereum contracts were collected and that the method was tested on 2,676 contracts, but sampling, composition and ground-truth construction are only lightly described. Algorithms and evaluation examples are documented, but no confirmed public repository for the enhanced Oyente implementation or complete evaluation dataset is provided.</t>
  </si>
  <si>
    <t>PDF pp. 1–2; PDF pp. 4–8; PDF pp. 1 and 8; PDF pp. 4–10</t>
  </si>
  <si>
    <t>The study clearly motivates the lack of authentic and diverse vulnerability datasets and defines SGDL as a vulnerability-generation/injection solution.</t>
  </si>
  <si>
    <t>The source dataset is collected from GitHub/Gitter and Ethereum, labelled with multiple tools plus manual verification; experiment settings and generated samples are reported.</t>
  </si>
  <si>
    <t>Static feature extraction, vulnerability-type matching, GAN fragment generation and AST-guided injection for seven vulnerability classes are described in detail. The source dataset is collected from GitHub/Gitter and Ethereum, labelled with multiple tools plus manual verification; experiment settings and generated samples are reported. The SGDL source code is publicly released on GitHub and the paper provides detailed model/configuration information; underlying data availability is also explicitly documented.</t>
  </si>
  <si>
    <t>PDF pp. 1–2; PDF pp. 2–13; PDF pp. 7 and 13–19; PDF pp. 13 and 22</t>
  </si>
  <si>
    <t>The paper clearly motivates contract-level analysis to capture cross-function and cross-contract vulnerability patterns missed by function-level approaches.</t>
  </si>
  <si>
    <t>The Ethereum dataset contains thirty vulnerability types and the paper describes training/testing distributions and additional imbalance scenarios.</t>
  </si>
  <si>
    <t>CLHG construction, heterogeneous edge/node types, meta-path attention and graph-level classification are described in detail. The Ethereum dataset contains thirty vulnerability types and the paper describes training/testing distributions and additional imbalance scenarios. Dataset construction, architecture and experimental configuration are documented, but no complete public CL-HGAN implementation/replication package is identified in the supplied paper.</t>
  </si>
  <si>
    <t>PDF pp. 1–3; PDF pp. 3–6; PDF pp. 6–8; Full text</t>
  </si>
  <si>
    <t>The paper clearly states the high false-positive/false-negative problem of outdated vulnerability rules and defines ContractSentry's composite-rule objective.</t>
  </si>
  <si>
    <t>The study evaluates a labelled benchmark and a 15,773-contract Etherscan dataset; dataset processing and manual reliability checks are described.</t>
  </si>
  <si>
    <t>The source-level intermediate representations, composite rules and seven detection algorithms for three vulnerability classes are described in depth. The study evaluates a labelled benchmark and a 15,773-contract Etherscan dataset; dataset processing and manual reliability checks are described. Implementation details and datasets are described, but study datasets are available only from the corresponding author on reasonable request and no public tool repository is identified.</t>
  </si>
  <si>
    <t>PDF pp. 1–3; PDF pp. 7–22; PDF pp. 22–28; PDF p. 29</t>
  </si>
  <si>
    <t>The paper clearly identifies insufficient exploration of deep smart-contract states by existing fuzzers and defines CSAFuzzer's static-analysis-guided fuzzing objective.</t>
  </si>
  <si>
    <t>Dataset 1 contains 12,351 compilable real-world contracts for coverage evaluation; Dataset 2 contains 505 Etherscan contracts with comprehensive manual vulnerability labels.</t>
  </si>
  <si>
    <t>Function-sequence extraction, coverage-guided genetic test generation and vulnerability-specific test oracles are described in detail. Dataset 1 contains 12,351 compilable real-world contracts for coverage evaluation; Dataset 2 contains 505 Etherscan contracts with comprehensive manual vulnerability labels. Software/environment settings and source datasets are documented, but generated/analyzed datasets are available only on request and no public CSAFuzzer replication package is confirmed.</t>
  </si>
  <si>
    <t>PDF pp. 1–4; PDF pp. 7–15; PDF pp. 16–17; PDF pp. 15–17 and 25</t>
  </si>
  <si>
    <t>The study clearly identifies inefficient exploration of both smart-contract code and state spaces and defines stateful directed fuzzing as the target solution.</t>
  </si>
  <si>
    <t>The study uses crafted target-reaching benchmarks, ground-truth vulnerability datasets, 42,738 real-world contracts and top-50 Ethereum DApps, with environment and filtering procedures reported.</t>
  </si>
  <si>
    <t>VULSEYE's code-target identification, backward state analysis, state targets, integrated fitness metric and fuzzing loop are described in detail. The study uses crafted target-reaching benchmarks, ground-truth vulnerability datasets, 42,738 real-world contracts and top-50 Ethereum DApps, with environment and filtering procedures reported. The VULSEYE implementation and datasets are publicly available through the authors' GitHub repository.</t>
  </si>
  <si>
    <t>PDF pp. 1–4; PDF pp. 4–8; PDF pp. 9–12; PDF p. 2</t>
  </si>
  <si>
    <t>The paper clearly motivates access-control analysis of non-compilable smart-contract repositories and defines the LLM-plus-static-analysis objective.</t>
  </si>
  <si>
    <t>Evaluation uses a 15-CVE dataset, 5,000 recent verified on-chain contracts and 83 DAppSCAN repositories containing 3,092 contracts, with sampling and complexity characteristics documented.</t>
  </si>
  <si>
    <t>Sensitive-function extraction, LLM snippet completion/self-reflection, FCG/CFG construction and access-control analysis are described in detail. Evaluation uses a 15-CVE dataset, 5,000 recent verified on-chain contracts and 83 DAppSCAN repositories containing 3,092 contracts, with sampling and complexity characteristics documented. All source code and data are publicly released through the TRACE GitHub repository.</t>
  </si>
  <si>
    <t>PDF pp. 1–3; PDF pp. 3–7; PDF pp. 7–9, 12; PDF p. 2</t>
  </si>
  <si>
    <t>—</t>
  </si>
  <si>
    <t>M01; M02; M08; M13</t>
  </si>
  <si>
    <t>Implemented technology evaluated under realistic experimental workloads, datasets, scale, configurations, or heterogeneous infrastructure; no organizational pilot is demonstrated. Evidence: The study defines repeatable benchmark workloads and evaluates Ethereum, Parity and Hyperledger through a consistent framework. YCSB, SmallBank, real Ethereum contracts and layer-specific workloads are documented together with experimental configurations.</t>
  </si>
  <si>
    <t>Full text: no explicit 'TRL' or 'Technology Readiness Level' statement located</t>
  </si>
  <si>
    <t>Reviewer-inferred TRL 4–5 (Component/Subsystem): an implemented technology is validated experimentally with realistic datasets, workloads, configurations or infrastructure, but qualification in a relevant operational environment is not shown. Evidence: BLOCKBENCH architecture, connector interface, three software-stack layers, macrobenchmarks and microbenchmarks are described in detail. The study defines repeatable benchmark workloads and evaluates Ethereum, Parity and Hyperledger through a consistent framework. YCSB, SmallBank, real Ethereum contracts and layer-specific workloads are documented together with experimental configurations. This range was inferred independently from demonstrated technology, integration, evaluation environment and use evidence; it was not converted automatically from EM.</t>
  </si>
  <si>
    <t>pp. 1–2, Abstract/Introduction; pp. 4–7, Section 3; pp. 7–12, Sections 4–5; pp. 6–8, Sections 3.4–4; pp. 6–12, Sections 3.4–5; pp. 8–12, Sections 4–5; pp. 12–13, Discussion/Conclusion; pp. 1, 13, Abstract/References</t>
  </si>
  <si>
    <t>LC3; LC4</t>
  </si>
  <si>
    <t>M01; M02; M05; M06; M08</t>
  </si>
  <si>
    <t>Implemented technology evaluated under realistic experimental workloads, datasets, scale, configurations, or heterogeneous infrastructure; no organizational pilot is demonstrated. Evidence: The paper implements Fabcoin and evaluates block size, CPU, storage, LAN/WAN scaling and gossip effects with clearly defined experiments. Evaluation describes deployment configurations, vCPU counts, block sizes, peer counts, data centers and latency stages.</t>
  </si>
  <si>
    <t>Reviewer-inferred TRL 4–5 (Integrated System): an implemented technology is validated experimentally with realistic datasets, workloads, configurations or infrastructure, but qualification in a relevant operational environment is not shown. Evidence: Fabric architecture, membership, ordering, endorsement, validation, ledger, gossip, chaincode and configuration are described extensively. The paper implements Fabcoin and evaluates block size, CPU, storage, LAN/WAN scaling and gossip effects with clearly defined experiments. Evaluation describes deployment configurations, vCPU counts, block sizes, peer counts, data centers and latency stages. This range was inferred independently from demonstrated technology, integration, evaluation environment and use evidence; it was not converted automatically from EM.</t>
  </si>
  <si>
    <t>pp. 1–2, Abstract/Introduction; pp. 2–10, Sections 2–4; pp. 10–13, Section 5; pp. 11–13, Section 5; pp. 12–13, Section 5; p. 14, Section 6; pp. 1, 15, Abstract/References</t>
  </si>
  <si>
    <t>M01; M02; M05; M08</t>
  </si>
  <si>
    <t>Implemented technology evaluated under realistic experimental workloads, datasets, scale, configurations, or heterogeneous infrastructure; no organizational pilot is demonstrated. Evidence: Improvements are added stepwise to Fabric 1.2 and evaluated against the base system under controlled configurations. The evaluation reports 15 local servers, CPU/RAM/network characteristics, Fabric configuration and transaction-validity assumptions.</t>
  </si>
  <si>
    <t>Reviewer-inferred TRL 4–5 (Integrated System): an implemented technology is validated experimentally with realistic datasets, workloads, configurations or infrastructure, but qualification in a relevant operational environment is not shown. Evidence: The proposed changes to ordering, validation, caching, in-memory state and role separation are described at implementation level. Improvements are added stepwise to Fabric 1.2 and evaluated against the base system under controlled configurations. The evaluation reports 15 local servers, CPU/RAM/network characteristics, Fabric configuration and transaction-validity assumptions. This range was inferred independently from demonstrated technology, integration, evaluation environment and use evidence; it was not converted automatically from EM.</t>
  </si>
  <si>
    <t>p. 1, Abstract/Introduction; pp. 2–5, Sections II–III; pp. 5–7, Section IV; p. 5, Section IV; p. 8, Conclusion; pp. 2–8, Design/Evaluation</t>
  </si>
  <si>
    <t>CT1; CT4</t>
  </si>
  <si>
    <t>BC11; BC5</t>
  </si>
  <si>
    <t>M08; M09; M13</t>
  </si>
  <si>
    <t>Simulation/synthetic validation without a target-system prototype operating in its intended form. Evidence: Analytical propositions are followed by numerical verification using an explicitly described OPNET simulation model. The OPNET/LTE-A MEC topology, bandwidth, base stations, node behavior and other simulation parameters are specified.</t>
  </si>
  <si>
    <t>Reviewer-inferred TRL 2–3 (Component/Subsystem): a proof-of-concept, illustrative demonstrator, or simulation establishes feasibility but does not validate an integrated technology in a representative environment. Evidence: System architecture, reputation model, consensus method, coalition game and shard-formation algorithm are described with formal definitions and proofs. Analytical propositions are followed by numerical verification using an explicitly described OPNET simulation model. The OPNET/LTE-A MEC topology, bandwidth, base stations, node behavior and other simulation parameters are specified. This range was inferred independently from demonstrated technology, integration, evaluation environment and use evidence; it was not converted automatically from EM.</t>
  </si>
  <si>
    <t>pp. 1–3, Abstract/Introduction; pp. 3–15, Sections III–V; pp. 15–19, Sections V–VI; pp. 15–16, Section VI-A; pp. 17–19, Section VI; pp. 15–19, Section VI; p. 1 and pp. 15–19</t>
  </si>
  <si>
    <t>M01; M02; M13</t>
  </si>
  <si>
    <t>Working prototype evaluated in a controlled laboratory/testbed. Evidence: The proposed mechanism is implemented in a consortium-blockchain experiment and compared under controlled parameter settings. CPU, storage, memory, OS, node counts, Ganache setup, transaction amounts, block size, repetitions and fault nodes are reported.</t>
  </si>
  <si>
    <t>Reviewer-inferred TRL 3–4 (Component/Subsystem): an implemented prototype/component is validated in a controlled laboratory/testbed. Evidence: Node roles, dynamic trust computation and the consensus process are defined through equations and algorithms. The proposed mechanism is implemented in a consortium-blockchain experiment and compared under controlled parameter settings. CPU, storage, memory, OS, node counts, Ganache setup, transaction amounts, block size, repetitions and fault nodes are reported. This range was inferred independently from demonstrated technology, integration, evaluation environment and use evidence; it was not converted automatically from EM.</t>
  </si>
  <si>
    <t>pp. 1–3, Abstract/Introduction; pp. 4–7, Section III; pp. 7–11, Section IV; pp. 7–8, Section IV-A; pp. 8–11, Sections IV-B–IV-C; pp. 8–11, Section IV-C; p. 11, Conclusion/Future Work; pp. 1, 7–11</t>
  </si>
  <si>
    <t>BC13; BC5</t>
  </si>
  <si>
    <t>M01; M02; M08</t>
  </si>
  <si>
    <t>Implemented technology evaluated under realistic experimental workloads, datasets, scale, configurations, or heterogeneous infrastructure; no organizational pilot is demonstrated. Evidence: A prototype integrated with BFT-SMaRt is evaluated with controlled workload and parameter variations. The four-VM cluster, CPU/memory, OS, SGX SDK, enclave size, languages, SmallBank workload, 1M customers, warm-up and 10-run averaging are reported.</t>
  </si>
  <si>
    <t>Reviewer-inferred TRL 4–5 (Integrated System): an implemented technology is validated experimentally with realistic datasets, workloads, configurations or infrastructure, but qualification in a relevant operational environment is not shown. Evidence: The two-phase SGX architecture, pre-execution, compact read/write sets and Merkle Forest are described with algorithms and diagrams. A prototype integrated with BFT-SMaRt is evaluated with controlled workload and parameter variations. The four-VM cluster, CPU/memory, OS, SGX SDK, enclave size, languages, SmallBank workload, 1M customers, warm-up and 10-run averaging are reported. This range was inferred independently from demonstrated technology, integration, evaluation environment and use evidence; it was not converted automatically from EM.</t>
  </si>
  <si>
    <t>pp. 1–2, Abstract/Introduction; pp. 2–4, Sections II–III; pp. 5–6, Section V; p. 5, Section V-A; pp. 5–6, Section V-B; pp. 5–6</t>
  </si>
  <si>
    <t>CT1; CT5</t>
  </si>
  <si>
    <t>M02; M05; M08</t>
  </si>
  <si>
    <t>Simulation/synthetic validation without a target-system prototype operating in its intended form. Evidence: Analytical results are validated empirically under multiple datasets and parameter settings. Four datasets, non-IID settings, model choices and experimental parameters are documented.</t>
  </si>
  <si>
    <t>Reviewer-inferred TRL 2–3 (Integrated System): a proof-of-concept, illustrative demonstrator, or simulation establishes feasibility but does not validate an integrated technology in a representative environment. Evidence: BLADE-FL architecture, loss-bound analysis, resource allocation and lazy-client model are mathematically specified. Analytical results are validated empirically under multiple datasets and parameter settings. Four datasets, non-IID settings, model choices and experimental parameters are documented. This range was inferred independently from demonstrated technology, integration, evaluation environment and use evidence; it was not converted automatically from EM.</t>
  </si>
  <si>
    <t>pp. 1–2, Abstract/Introduction; pp. 2–7, Sections 3–7; pp. 7–12, Section 8; pp. 7–8, Section 8.1; pp. 8–12, Section 8; pp. 7–12</t>
  </si>
  <si>
    <t>M01; M02; M07; M08; M13</t>
  </si>
  <si>
    <t>Simulation/synthetic validation without a target-system prototype operating in its intended form. Evidence: The protocol is evaluated through formal proofs, complexity analysis and implementation-oriented simulation against Omniledger. CPU, network link, per-node bandwidth/latency, transaction size, shard counts and block size are explicitly reported.</t>
  </si>
  <si>
    <t>Reviewer-inferred TRL 2–3 (Component/Subsystem): a proof-of-concept, illustrative demonstrator, or simulation establishes feasibility but does not validate an integrated technology in a representative environment. Evidence: CSBFT, parallel leaders, view change, reconfiguration and formal security properties are described in detail. The protocol is evaluated through formal proofs, complexity analysis and implementation-oriented simulation against Omniledger. CPU, network link, per-node bandwidth/latency, transaction size, shard counts and block size are explicitly reported. This range was inferred independently from demonstrated technology, integration, evaluation environment and use evidence; it was not converted automatically from EM.</t>
  </si>
  <si>
    <t>pp. 1–2, Abstract/Introduction; pp. 2–14, Sections II–IV; pp. 14–15, Section V; pp. 14–15, Section V-B; pp. 14–16; pp. 1, 14–16</t>
  </si>
  <si>
    <t>M01; M02; M08; M14</t>
  </si>
  <si>
    <t>Implemented technology evaluated under realistic experimental workloads, datasets, scale, configurations, or heterogeneous infrastructure; no organizational pilot is demonstrated. Evidence: A formal UC security proof is combined with an implemented Ethereum-derived prototype and systematic experiments. Implementation libraries, cryptographic instantiations, hardware, OS, topology variations, node counts and parameter ranges are reported.</t>
  </si>
  <si>
    <t>Reviewer-inferred TRL 4–5 (Integrated System): an implemented technology is validated experimentally with realistic datasets, workloads, configurations or infrastructure, but qualification in a relevant operational environment is not shown. Evidence: Hierarchical architecture, dual-balance model, 2PXT protocol, zero-knowledge circuits and security model are fully described. A formal UC security proof is combined with an implemented Ethereum-derived prototype and systematic experiments. Implementation libraries, cryptographic instantiations, hardware, OS, topology variations, node counts and parameter ranges are reported. This range was inferred independently from demonstrated technology, integration, evaluation environment and use evidence; it was not converted automatically from EM.</t>
  </si>
  <si>
    <t>pp. 1–2, Abstract/Introduction; pp. 2–13, Sections 2–5; pp. 13–16, Section 6; pp. 13–15, Sections 6.1–6.2; pp. 15–16; pp. 13–16</t>
  </si>
  <si>
    <t>CT4; CT6</t>
  </si>
  <si>
    <t>Implemented technology evaluated under realistic experimental workloads, datasets, scale, configurations, or heterogeneous infrastructure; no organizational pilot is demonstrated. Evidence: The proposed trust and consensus mechanisms are implemented and evaluated on local and cloud testbeds. Local/cloud server configurations, SGX use, message/client variations and consensus-node configurations are reported.</t>
  </si>
  <si>
    <t>Reviewer-inferred TRL 4–5 (Integrated System): an implemented technology is validated experimentally with realistic datasets, workloads, configurations or infrastructure, but qualification in a relevant operational environment is not shown. Evidence: VT-Eva, TEE-secured computation, multi-shard architecture and HierBFT are specified with algorithms and formal properties. The proposed trust and consensus mechanisms are implemented and evaluated on local and cloud testbeds. Local/cloud server configurations, SGX use, message/client variations and consensus-node configurations are reported. This range was inferred independently from demonstrated technology, integration, evaluation environment and use evidence; it was not converted automatically from EM.</t>
  </si>
  <si>
    <t>pp. 1–2, Abstract/Introduction; pp. 2–10, Sections II–V; pp. 10–12, Section VI; pp. 10–11, Section VI; pp. 11–12, Sections VII–VIII; pp. 10–12</t>
  </si>
  <si>
    <t>M01; M02; M07; M08</t>
  </si>
  <si>
    <t>Simulation/synthetic validation without a target-system prototype operating in its intended form. Evidence: The protocol is assessed through security/complexity analysis and parameterized implementation-oriented simulation. Simulation hardware, memory, network bandwidth, message delay, hash function, shard sizes and batch sizes are reported.</t>
  </si>
  <si>
    <t>Reviewer-inferred TRL 2–3 (Component/Subsystem): a proof-of-concept, illustrative demonstrator, or simulation establishes feasibility but does not validate an integrated technology in a representative environment. Evidence: The pipelined 2PC, PL-BFT, batch processing and aggregatable multi-signature mechanisms are specified in detail. The protocol is assessed through security/complexity analysis and parameterized implementation-oriented simulation. Simulation hardware, memory, network bandwidth, message delay, hash function, shard sizes and batch sizes are reported. This range was inferred independently from demonstrated technology, integration, evaluation environment and use evidence; it was not converted automatically from EM.</t>
  </si>
  <si>
    <t>pp. 1–3, Abstract/Introduction; pp. 3–12, Sections III–VI; pp. 12–15, Section VII; p. 14, Section VII-B; pp. 13–15, Section VII; pp. 14–15, Section VII-B; pp. 14–15; pp. 3, 13–15</t>
  </si>
  <si>
    <t>Implemented technology evaluated under realistic experimental workloads, datasets, scale, configurations, or heterogeneous infrastructure; no organizational pilot is demonstrated. Evidence: ICOE and the SYN baseline are implemented and evaluated experimentally on physical servers. Five physical servers, CPU specifications, 12 groups/36 nodes, 20,000 smart contracts, workload composition and parameter settings are reported.</t>
  </si>
  <si>
    <t>Reviewer-inferred TRL 4–5 (Integrated System): an implemented technology is validated experimentally with realistic datasets, workloads, configurations or infrastructure, but qualification in a relevant operational environment is not shown. Evidence: ICOE architecture, coordinator, 2PL/2PC behavior, consensus-group execution and correctness/security reasoning are described in detail. ICOE and the SYN baseline are implemented and evaluated experimentally on physical servers. Five physical servers, CPU specifications, 12 groups/36 nodes, 20,000 smart contracts, workload composition and parameter settings are reported. This range was inferred independently from demonstrated technology, integration, evaluation environment and use evidence; it was not converted automatically from EM.</t>
  </si>
  <si>
    <t>pp. 1–2, Abstract/Introduction; pp. 2–10, Sections III–V; pp. 10–11, Section VI; p. 10, Section VI-A; pp. 10–11</t>
  </si>
  <si>
    <t>Representative prototype demonstrated in a relevant environment with realistic projects/users/infrastructure. Evidence: The proof-of-concept is integrated with FreedomFi/Magma and evaluated repeatedly against multiple blockchain platforms. Raspberry Pi edge devices, Docker/Kubernetes, FreedomFi 5G gateway/radio, SIM/mobile hotspot and blockchain-peer ranges are described.</t>
  </si>
  <si>
    <t>Reviewer-inferred TRL 5–6 (Integrated System): a representative prototype is demonstrated in an environment approaching intended use, but operational qualification/use is not established. Evidence: Librum architecture, hierarchical CFT/BFT consensus, Validate–Execute model, hardware, IPFS storage and smart-contract design are extensively described. The proof-of-concept is integrated with FreedomFi/Magma and evaluated repeatedly against multiple blockchain platforms. Raspberry Pi edge devices, Docker/Kubernetes, FreedomFi 5G gateway/radio, SIM/mobile hotspot and blockchain-peer ranges are described. This range was inferred independently from demonstrated technology, integration, evaluation environment and use evidence; it was not converted automatically from EM.</t>
  </si>
  <si>
    <t>pp. 1–2, Abstract/Introduction; pp. 2–14, Sections 1–4; pp. 14–20, Section 5; p. 14, Experimental setup; pp. 15–20, Section 5; p. 26, Section 7; pp. 14–20, 26</t>
  </si>
  <si>
    <t>NA — PS014 is an excluded secondary systematic review/survey (EC5). Technology evidence maturity and reviewer-inferred TRL are not assigned.</t>
  </si>
  <si>
    <t>pp. 1–3, Abstract/Introduction; secondary-study design</t>
  </si>
  <si>
    <t>UNC — primary-study eligibility remains under adjudication. The supplied paper evaluates an optimized generic Raft implementation in a simulator/key-value setting, while blockchain is mainly a prospective application; final S3 classification is withheld until the IC4 eligibility decision.</t>
  </si>
  <si>
    <t>Full supplied text: no explicit 'TRL' or 'Technology Readiness Level' statement located</t>
  </si>
  <si>
    <t>UNC — reviewer-inferred TRL is not locked while blockchain primary-study eligibility is unresolved.</t>
  </si>
  <si>
    <t>pp. 1–3, Abstract/Introduction; simulation/evaluation sections; eligibility adjudication required</t>
  </si>
  <si>
    <t>CT4; CT5</t>
  </si>
  <si>
    <t>Implemented technology evaluated under realistic experimental workloads, datasets, scale, configurations, or heterogeneous infrastructure; no organizational pilot is demonstrated. Evidence: The protocol and optimizer are implemented as testbed modules and evaluated experimentally in a real cloud environment. The cloud testbed reports geographically distributed Google Cloud VMs, node counts, CPU/memory resources, TCP/IP communication and failure-model settings.</t>
  </si>
  <si>
    <t>Reviewer-inferred TRL 4–5 (Component/Subsystem): an implemented technology is validated experimentally with realistic datasets, workloads, configurations or infrastructure, but qualification in a relevant operational environment is not shown. Evidence: SharBFT's hierarchical multishard architecture, threshold-signature voting, cross-shard BFT operation and sharding optimization model are specified in detail. The protocol and optimizer are implemented as testbed modules and evaluated experimentally in a real cloud environment. The cloud testbed reports geographically distributed Google Cloud VMs, node counts, CPU/memory resources, TCP/IP communication and failure-model settings. This range was inferred independently from demonstrated technology, integration, evaluation environment and use evidence; it was not converted automatically from EM.</t>
  </si>
  <si>
    <t>pp. 1–2, Abstract/Introduction; pp. 2–10, protocol and optimization sections; pp. 10–11, Section VII; p. 10, experimental setup; pp. 10–12; pp. 1, 10–12</t>
  </si>
  <si>
    <t>BC10; BC11; BC5</t>
  </si>
  <si>
    <t>M02; M05; M08; M09</t>
  </si>
  <si>
    <t>Working prototype evaluated in a controlled laboratory/testbed. Evidence: Theoretical complexity/security analysis is complemented by functional and performance testing. The evaluation specifies CPU/memory platform, bandwidth and delay assumptions, domain/node parameters and test settings.</t>
  </si>
  <si>
    <t>Reviewer-inferred TRL 3–4 (Component/Subsystem): an implemented prototype/component is validated in a controlled laboratory/testbed. Evidence: It specifies PCE, partial-trust and zero-trust data-sharing protocols, sharding architecture, certificate authority, formal security definitions and proofs. Theoretical complexity/security analysis is complemented by functional and performance testing. The evaluation specifies CPU/memory platform, bandwidth and delay assumptions, domain/node parameters and test settings. This range was inferred independently from demonstrated technology, integration, evaluation environment and use evidence; it was not converted automatically from EM.</t>
  </si>
  <si>
    <t>pp. 1–2, Introduction; pp. 2–13, protocol/security sections; pp. 13–14, Section VI; p. 13, performance-test setup; pp. 13–15; pp. 1, 13–15</t>
  </si>
  <si>
    <t>Implemented technology evaluated under realistic experimental workloads, datasets, scale, configurations, or heterogeneous infrastructure; no organizational pilot is demonstrated. Evidence: A Golang prototype is deployed on Amazon EC2 and evaluated under controlled shard/network/workload settings. The setup reports EC2 instance type, link delay/bandwidth and a large real Ethereum transaction/account trace from XBlock, with one million transactions replayed per run.</t>
  </si>
  <si>
    <t>Reviewer-inferred TRL 4–5 (Component/Subsystem): an implemented technology is validated experimentally with realistic datasets, workloads, configurations or infrastructure, but qualification in a relevant operational environment is not shown. Evidence: X-Shard's transaction allocation, optimistic MIMO processing, gateway accounts, rollback logic and threshold-signature commit protocol are described in detail. A Golang prototype is deployed on Amazon EC2 and evaluated under controlled shard/network/workload settings. The setup reports EC2 instance type, link delay/bandwidth and a large real Ethereum transaction/account trace from XBlock, with one million transactions replayed per run. This range was inferred independently from demonstrated technology, integration, evaluation environment and use evidence; it was not converted automatically from EM.</t>
  </si>
  <si>
    <t>pp. 1–2, Introduction; pp. 2–8, Sections II–V; p. 8 onward, Section VI; p. 8, Section VI-A; pp. 8–10, Section VI; pp. 9–11, Section VI; pp. 8–11; p. 8 and artifact references</t>
  </si>
  <si>
    <t>Implemented technology evaluated under realistic experimental workloads, datasets, scale, configurations, or heterogeneous infrastructure; no organizational pilot is demonstrated. Evidence: The authors implement JUMBO, FIN-NG and comparable baselines in Golang and evaluate them systematically across scales and network conditions. AWS EC2 instance type, CPU/memory, node counts up to 256, bandwidth/RTT settings and regional/continental/global network emulation are reported.</t>
  </si>
  <si>
    <t>Reviewer-inferred TRL 4–5 (Component/Subsystem): an implemented technology is validated experimentally with realistic datasets, workloads, configurations or infrastructure, but qualification in a relevant operational environment is not shown. Evidence: FIN-NG and JUMBO are fully specified with protocol redesigns, aggregation/dispersal techniques, complexity arguments and security reasoning. The authors implement JUMBO, FIN-NG and comparable baselines in Golang and evaluate them systematically across scales and network conditions. AWS EC2 instance type, CPU/memory, node counts up to 256, bandwidth/RTT settings and regional/continental/global network emulation are reported. This range was inferred independently from demonstrated technology, integration, evaluation environment and use evidence; it was not converted automatically from EM.</t>
  </si>
  <si>
    <t>pp. 1–3, Introduction; pp. 3–15, protocol sections; pp. 15–17, Section VII; pp. 15–16, experimental setup; pp. 16–17, Section VII; pp. 15–17; artifact references and supplementary material</t>
  </si>
  <si>
    <t>M01; M05; M08; M09</t>
  </si>
  <si>
    <t>Simulation/synthetic validation without a target-system prototype operating in its intended form. Evidence: Analytical results are validated through extensive simulation and attack/security experiments. The paper reports MATLAB setup, 100 heterogeneous peers, a geographic area, 5G/3GPP-style communication assumptions, computation parameters and a Caltrans traffic dataset.</t>
  </si>
  <si>
    <t>Reviewer-inferred TRL 2–3 (Integrated System): a proof-of-concept, illustrative demonstrator, or simulation establishes feasibility but does not validate an integrated technology in a representative environment. Evidence: The reputation-based inspection framework, reputation model, optimization formulation and distributed ADMM-based solution are fully developed. Analytical results are validated through extensive simulation and attack/security experiments. The paper reports MATLAB setup, 100 heterogeneous peers, a geographic area, 5G/3GPP-style communication assumptions, computation parameters and a Caltrans traffic dataset. This range was inferred independently from demonstrated technology, integration, evaluation environment and use evidence; it was not converted automatically from EM.</t>
  </si>
  <si>
    <t>pp. 1–2, Introduction; pp. 2–13, Sections III–VI; pp. 13–16, experimental sections; p. 13, experimental setup; pp. 13–16; pp. 14–16; pp. 1, 13–16</t>
  </si>
  <si>
    <t>Working prototype evaluated in a controlled laboratory/testbed. Evidence: A lightweight EZchain prototype/simulation is used to test theoretical predictions across large network sizes and repeated runs. Transaction/abstract/block sizes, network/committee parameters, transaction frequency and epoch settings are reported, and results are verified by at least five experiments.</t>
  </si>
  <si>
    <t>Reviewer-inferred TRL 3–4 (Component/Subsystem): an implemented prototype/component is validated in a controlled laboratory/testbed. Evidence: ACC/CCC/local-chain architecture, consensus algorithms, transaction verification, validity, security and storage properties are formally detailed. A lightweight EZchain prototype/simulation is used to test theoretical predictions across large network sizes and repeated runs. Transaction/abstract/block sizes, network/committee parameters, transaction frequency and epoch settings are reported, and results are verified by at least five experiments. This range was inferred independently from demonstrated technology, integration, evaluation environment and use evidence; it was not converted automatically from EM.</t>
  </si>
  <si>
    <t>pp. 1–2, Introduction; pp. 2–12; pp. 12–16, Section VI; pp. 12–13, Section VI-A; pp. 12–15; pp. 13–15; pp. 12–16; pp. 1, 12–16</t>
  </si>
  <si>
    <t>CT1; CT6</t>
  </si>
  <si>
    <t>M01; M02; M05; M08; M09</t>
  </si>
  <si>
    <t>Implemented technology evaluated under realistic experimental workloads, datasets, scale, configurations, or heterogeneous infrastructure; no organizational pilot is demonstrated. Evidence: LiteChain is implemented using Hyperledger Fabric and evaluated across network scales and attack conditions. Fabric/Python/PyTorch/Go versions, server GPU/CPU/memory, Docker, CIFAR-10, ResNet9, heterogeneous-device simulation and repeated latency measurement are documented.</t>
  </si>
  <si>
    <t>Reviewer-inferred TRL 4–5 (Integrated System): an implemented technology is validated experimentally with realistic datasets, workloads, configurations or infrastructure, but qualification in a relevant operational environment is not shown. Evidence: Distributed clustering, CBFT, consensus-security quantification, update consensus and storage-reduction mechanisms are described and analyzed. LiteChain is implemented using Hyperledger Fabric and evaluated across network scales and attack conditions. Fabric/Python/PyTorch/Go versions, server GPU/CPU/memory, Docker, CIFAR-10, ResNet9, heterogeneous-device simulation and repeated latency measurement are documented. This range was inferred independently from demonstrated technology, integration, evaluation environment and use evidence; it was not converted automatically from EM.</t>
  </si>
  <si>
    <t>pp. 1–2, Introduction; pp. 2–11; pp. 11–15, Section V; p. 11, experimental setup; pp. 12–15; pp. 11–15</t>
  </si>
  <si>
    <t>M01; M02; M03; M08</t>
  </si>
  <si>
    <t>Implemented technology evaluated under realistic experimental workloads, datasets, scale, configurations, or heterogeneous infrastructure; no organizational pilot is demonstrated. Evidence: The analytical model is validated experimentally on a Cosmos/Tendermint relay-chain deployment under multiple parameter settings. The setup reports Tendermint/Cosmos software, ten nodes on nine physical machines, server hardware/OS, traffic generation and timing synchronization.</t>
  </si>
  <si>
    <t>Reviewer-inferred TRL 4–5 (Component/Subsystem): an implemented technology is validated experimentally with realistic datasets, workloads, configurations or infrastructure, but qualification in a relevant operational environment is not shown. Evidence: The MX/GB/1 batch-arrival/bulk-service framework, PBFT phase-type model and formulas for throughput/confirmation delay are developed rigorously. The analytical model is validated experimentally on a Cosmos/Tendermint relay-chain deployment under multiple parameter settings. The setup reports Tendermint/Cosmos software, ten nodes on nine physical machines, server hardware/OS, traffic generation and timing synchronization. This range was inferred independently from demonstrated technology, integration, evaluation environment and use evidence; it was not converted automatically from EM.</t>
  </si>
  <si>
    <t>pp. 1–2, Introduction; pp. 2–11; pp. 11–15, Section V; p. 11, experiment setup; pp. 11–14; pp. 12–14; pp. 11–15; pp. 1, 11–15</t>
  </si>
  <si>
    <t>Implemented technology evaluated under realistic experimental workloads, datasets, scale, configurations, or heterogeneous infrastructure; no organizational pilot is demonstrated. Evidence: A Geth-based prototype/benchmark is evaluated using replayed Ethereum workloads against a representative serial sharding baseline. The evaluation documents 640,000 real Ethereum transactions, block range, shard counts, consensus/network delay assumptions, block capacity, retry count and cache ratio.</t>
  </si>
  <si>
    <t>Reviewer-inferred TRL 4–5 (Component/Subsystem): an implemented technology is validated experimentally with realistic datasets, workloads, configurations or infrastructure, but qualification in a relevant operational environment is not shown. Evidence: SPARROW's cache synchronization, one-step execution, multi-branch exploration and conflict-reduction mechanisms are specified in detail. A Geth-based prototype/benchmark is evaluated using replayed Ethereum workloads against a representative serial sharding baseline. The evaluation documents 640,000 real Ethereum transactions, block range, shard counts, consensus/network delay assumptions, block capacity, retry count and cache ratio. This range was inferred independently from demonstrated technology, integration, evaluation environment and use evidence; it was not converted automatically from EM.</t>
  </si>
  <si>
    <t>pp. 1–2, Introduction; pp. 2–11; pp. 11–13, evaluation section; p. 11, setup; pp. 11–12; pp. 11–13</t>
  </si>
  <si>
    <t>Simulation/synthetic validation without a target-system prototype operating in its intended form. Evidence: The architecture is evaluated with Veins plus MATLAB simulations, comparative baselines, sensitivity testing and repeated experiments. The paper reports Veins/MATLAB versions, processor/memory, an actual urban map, 20–80 vehicles, speeds, mobility model, communication range/protocol, packet rate and incentive settings.</t>
  </si>
  <si>
    <t>Reviewer-inferred TRL 2–3 (Integrated System): a proof-of-concept, illustrative demonstrator, or simulation establishes feasibility but does not validate an integrated technology in a representative environment. Evidence: The dual-layer multi-shard architecture, dynamic node/shard management, BLS-PBFT consensus, reputation and evolutionary-game incentive mechanisms are detailed. The architecture is evaluated with Veins plus MATLAB simulations, comparative baselines, sensitivity testing and repeated experiments. The paper reports Veins/MATLAB versions, processor/memory, an actual urban map, 20–80 vehicles, speeds, mobility model, communication range/protocol, packet rate and incentive settings. This range was inferred independently from demonstrated technology, integration, evaluation environment and use evidence; it was not converted automatically from EM.</t>
  </si>
  <si>
    <t>pp. 1–3; pp. 2–13; pp. 13–17, Section VI; pp. 13–14; pp. 14–17; pp. 13–17</t>
  </si>
  <si>
    <t>Conceptual contribution with no implemented evaluation of the proposed technology. Evidence: The research method is a formal construction with lemmas, theorems, impossibility results and complexity analysis, reproducible from the stated definitions. No empirical dataset, workload, participants or experimental environment is part of this theoretical protocol study.</t>
  </si>
  <si>
    <t>Reviewer-inferred TRL 1–2 (Component/Subsystem): technology principles/concept are formulated, but an implemented technology is not validated. Evidence: Cross-chain swaps are modeled as directed graphs and a hashed-timelock protocol is specified for strongly connected graphs using a feedback vertex set. The research method is a formal construction with lemmas, theorems, impossibility results and complexity analysis, reproducible from the stated definitions. No empirical dataset, workload, participants or experimental environment is part of this theoretical protocol study. This range was inferred independently from demonstrated technology, integration, evaluation environment and use evidence; it was not converted automatically from EM.</t>
  </si>
  <si>
    <t>pp. 1–3, Motivation/Contributions; pp. 3–8, model/protocol; pp. 3–9; pp. 5–9; pp. 2–10</t>
  </si>
  <si>
    <t>M02; M04; M17</t>
  </si>
  <si>
    <t>Implemented technology evaluated under realistic experimental workloads, datasets, scale, configurations, or heterogeneous infrastructure; no organizational pilot is demonstrated. Evidence: A roughly 35,000-line prototype is implemented and evaluated using multiple cross-chain application categories. The experiment uses heterogeneous blockchain networks and cloud/testnet infrastructure across geographic locations, with repeated measurements and end-to-end execution scenarios.</t>
  </si>
  <si>
    <t>Reviewer-inferred TRL 4–5 (Integrated System): an implemented technology is validated experimentally with realistic datasets, workloads, configurations or infrastructure, but qualification in a relevant operational environment is not shown. Evidence: USM, HSL, UIP, Network Status Blockchain, Insurance Smart Contracts and the UC security construction are extensively specified. A roughly 35,000-line prototype is implemented and evaluated using multiple cross-chain application categories. The experiment uses heterogeneous blockchain networks and cloud/testnet infrastructure across geographic locations, with repeated measurements and end-to-end execution scenarios. This range was inferred independently from demonstrated technology, integration, evaluation environment and use evidence; it was not converted automatically from EM.</t>
  </si>
  <si>
    <t>pp. 1–2, Introduction; pp. 2–11; pp. 11–13, evaluation; p. 12, setup; pp. 12–13; pp. 11–13; artifact/reference section</t>
  </si>
  <si>
    <t>M02; M04; M09; M17</t>
  </si>
  <si>
    <t>Implemented technology evaluated under realistic experimental workloads, datasets, scale, configurations, or heterogeneous infrastructure; no organizational pilot is demonstrated. Evidence: XCLAIM(BTC,ETH) is implemented and evaluated using Bitcoin/Ethereum-compatible infrastructure and direct HTLC comparison. Implementation language/version, BTCRelay/Bitcoin assumptions, Ethereum Ropsten environment, confirmation parameters and fee/rate assumptions are documented.</t>
  </si>
  <si>
    <t>Reviewer-inferred TRL 4–5 (Component/Subsystem): an implemented technology is validated experimentally with realistic datasets, workloads, configurations or infrastructure, but qualification in a relevant operational environment is not shown. Evidence: The CBA model, actors, threat assumptions, proof-or-punishment protocol, issuance/redeem/swap procedures and security requirements are detailed. XCLAIM(BTC,ETH) is implemented and evaluated using Bitcoin/Ethereum-compatible infrastructure and direct HTLC comparison. Implementation language/version, BTCRelay/Bitcoin assumptions, Ethereum Ropsten environment, confirmation parameters and fee/rate assumptions are documented. This range was inferred independently from demonstrated technology, integration, evaluation environment and use evidence; it was not converted automatically from EM.</t>
  </si>
  <si>
    <t>pp. 1–2, Introduction; pp. 2–11; pp. 11–12, Section VIII; p. 11, implementation/evaluation; p. 12; pp. 11–13; pp. 11–12</t>
  </si>
  <si>
    <t>Conceptual contribution with no implemented evaluation of the proposed technology. Evidence: The method and tool basis are described, but the paper reports that the code-generation part is unfinished and provides no empirical validation of effectiveness. No empirical dataset, workload, participants or evaluation environment is reported.</t>
  </si>
  <si>
    <t>Reviewer-inferred TRL 1–2 (Component/Subsystem): technology principles/concept are formulated, but an implemented technology is not validated. Evidence: It presents a three-layer framework, three DSMLs, workflow/configuration/specification mappings and GeMoC/CCSL-based analysis support. The method and tool basis are described, but the paper reports that the code-generation part is unfinished and provides no empirical validation of effectiveness. No empirical dataset, workload, participants or evaluation environment is reported. This range was inferred independently from demonstrated technology, integration, evaluation environment and use evidence; it was not converted automatically from EM.</t>
  </si>
  <si>
    <t>pp. 2–3; p. 3</t>
  </si>
  <si>
    <t>Implemented technology evaluated under realistic experimental workloads, datasets, scale, configurations, or heterogeneous infrastructure; no organizational pilot is demonstrated. Evidence: A Solidity/node.js implementation is evaluated on a live Ethereum test network for cost and execution time. The Rinkeby testnet, deployed contracts, test data types, waitingBlocks/blocksPerPhase configurations and repeated runs are documented.</t>
  </si>
  <si>
    <t>Reviewer-inferred TRL 4–5 (Component/Subsystem): an implemented technology is validated experimentally with realistic datasets, workloads, configurations or infrastructure, but qualification in a relevant operational environment is not shown. Evidence: The distribution/invocation contracts, intermediaries, validators, execution phases, continuation and recursion mechanisms are described in detail. A Solidity/node.js implementation is evaluated on a live Ethereum test network for cost and execution time. The Rinkeby testnet, deployed contracts, test data types, waitingBlocks/blocksPerPhase configurations and repeated runs are documented. This range was inferred independently from demonstrated technology, integration, evaluation environment and use evidence; it was not converted automatically from EM.</t>
  </si>
  <si>
    <t>pp. 2–3, Introduction; pp. 4–9; pp. 9–10, Section VI; p. 10, Section VI; pp. 10–11; pp. 9–11</t>
  </si>
  <si>
    <t>UNC — the supplied PS031 file is the TechRxiv preprint, whereas the study register represents the later peer-reviewed version. Final classification, evidence maturity and TRL must be locked against the Version of Record.</t>
  </si>
  <si>
    <t>Version-of-record hold: supplied TechRxiv preprint is not the final peer-reviewed PS031 source</t>
  </si>
  <si>
    <t>UNC — reviewer TRL withheld until the peer-reviewed PS031 full text replaces the supplied preprint.</t>
  </si>
  <si>
    <t>Supplied TechRxiv preprint; final peer-reviewed full text required before locking S3 coding</t>
  </si>
  <si>
    <t>M01; M02; M08; M09; M17</t>
  </si>
  <si>
    <t>Implemented technology evaluated under realistic experimental workloads, datasets, scale, configurations, or heterogeneous infrastructure; no organizational pilot is demonstrated. Evidence: An Ethereum-based prototype is implemented and evaluated through repeatable performance experiments. The hardware/OS environment, 15,000-transaction stress workload, concurrency approach and test interfaces are reported.</t>
  </si>
  <si>
    <t>Reviewer-inferred TRL 4–5 (Integrated System): an implemented technology is validated experimentally with realistic datasets, workloads, configurations or infrastructure, but qualification in a relevant operational environment is not shown. Evidence: SynergyChain's three-tier architecture, consensus/verification modules, hierarchical access-control contracts and data workflow are specified in detail. An Ethereum-based prototype is implemented and evaluated through repeatable performance experiments. The hardware/OS environment, 15,000-transaction stress workload, concurrency approach and test interfaces are reported. This range was inferred independently from demonstrated technology, integration, evaluation environment and use evidence; it was not converted automatically from EM.</t>
  </si>
  <si>
    <t>pp. 1–2; pp. 3–8; pp. 8–10, Section VI; p. 8, Section VI-A; pp. 8–10; pp. 4–10</t>
  </si>
  <si>
    <t>UNC — only the first page/abstract is available. Full-text evidence is insufficient to verify contribution, lifecycle, evaluation method, evidence maturity or reviewer TRL.</t>
  </si>
  <si>
    <t>Incomplete source: only p. 1/abstract is supplied</t>
  </si>
  <si>
    <t>UNC — reviewer TRL cannot be assigned from the incomplete one-page source.</t>
  </si>
  <si>
    <t>p. 1/abstract only; complete peer-reviewed article required</t>
  </si>
  <si>
    <t>BC1; BC3</t>
  </si>
  <si>
    <t>M01; M02; M08; M17</t>
  </si>
  <si>
    <t>Implemented technology evaluated under realistic experimental workloads, datasets, scale, configurations, or heterogeneous infrastructure; no organizational pilot is demonstrated. Evidence: A working heterogeneous prototype is implemented and evaluated under multiple experiment sets. The study reports Ethereum/FISCO configurations, three blockchains, 50 Oracle gateways, server resources and parameterized contract/chain counts.</t>
  </si>
  <si>
    <t>Reviewer-inferred TRL 4–5 (Integrated System): an implemented technology is validated experimentally with realistic datasets, workloads, configurations or infrastructure, but qualification in a relevant operational environment is not shown. Evidence: The Oracle-gateway architecture and subscription-based active state-access mechanism are specified with workflow diagrams and protocol details. A working heterogeneous prototype is implemented and evaluated under multiple experiment sets. The study reports Ethereum/FISCO configurations, three blockchains, 50 Oracle gateways, server resources and parameterized contract/chain counts. This range was inferred independently from demonstrated technology, integration, evaluation environment and use evidence; it was not converted automatically from EM.</t>
  </si>
  <si>
    <t>pp. 1–2; pp. 1–3; pp. 3–4; p. 3, Table I/experimental setup; pp. 1–3, prototype footnote</t>
  </si>
  <si>
    <t>CT6; CT7</t>
  </si>
  <si>
    <t>M01; M02; M17</t>
  </si>
  <si>
    <t>Implemented technology evaluated under realistic experimental workloads, datasets, scale, configurations, or heterogeneous infrastructure; no organizational pilot is demonstrated. Evidence: The framework is implemented in Go/Hyperledger Fabric and benchmarked with Hyperledger Caliper in production mode. Two Fabric networks, VPS specifications, organizations, Docker isolation, Caliper placement and concurrency settings are reported.</t>
  </si>
  <si>
    <t>Reviewer-inferred TRL 4–5 (Integrated System): an implemented technology is validated experimentally with realistic datasets, workloads, configurations or infrastructure, but qualification in a relevant operational environment is not shown. Evidence: Policy smart contracts, relay architecture, authentication/authorization flow and service invocation are described in detail. The framework is implemented in Go/Hyperledger Fabric and benchmarked with Hyperledger Caliper in production mode. Two Fabric networks, VPS specifications, organizations, Docker isolation, Caliper placement and concurrency settings are reported. This range was inferred independently from demonstrated technology, integration, evaluation environment and use evidence; it was not converted automatically from EM.</t>
  </si>
  <si>
    <t>pp. 1–2; pp. 3–6; pp. 6–7; p. 6, Section IV-A/B; pp. 6–8; p. 6, footnote 1</t>
  </si>
  <si>
    <t>M02; M05; M07; M09; M17</t>
  </si>
  <si>
    <t>Implemented technology evaluated under realistic experimental workloads, datasets, scale, configurations, or heterogeneous infrastructure; no organizational pilot is demonstrated. Evidence: Formal security proofs are combined with theoretical overhead analysis and prototype experiments. The Hyperledger Fabric-based multi-chain prototype and experiment parameters are sufficiently described for the reported tests.</t>
  </si>
  <si>
    <t>Reviewer-inferred TRL 4–5 (Component/Subsystem): an implemented technology is validated experimentally with realistic datasets, workloads, configurations or infrastructure, but qualification in a relevant operational environment is not shown. Evidence: EDCA, AGMS, D-MHT/index state, audit-chain workflow and security goals are specified mathematically and procedurally. Formal security proofs are combined with theoretical overhead analysis and prototype experiments. The Hyperledger Fabric-based multi-chain prototype and experiment parameters are sufficiently described for the reported tests. This range was inferred independently from demonstrated technology, integration, evaluation environment and use evidence; it was not converted automatically from EM.</t>
  </si>
  <si>
    <t>pp. 1–2; pp. 3–9; pp. 9–12; pp. 10–11, Section VII; pp. 10–11; pp. 9–11; pp. 10–12; pp. 1, 9–12</t>
  </si>
  <si>
    <t>BC3; BC8; BC11; BC13</t>
  </si>
  <si>
    <t>M02; M05; M14; M17</t>
  </si>
  <si>
    <t>Implemented technology evaluated under realistic experimental workloads, datasets, scale, configurations, or heterogeneous infrastructure; no organizational pilot is demonstrated. Evidence: The protocol is assessed by theoretical complexity/security analysis and heterogeneous cross-chain experiments. The evaluation reports FISCO BCOS and Hyperledger Fabric versions, WeCross integration, client/VM hardware and varying key/node/workload settings.</t>
  </si>
  <si>
    <t>Reviewer-inferred TRL 4–5 (Component/Subsystem): an implemented technology is validated experimentally with realistic datasets, workloads, configurations or infrastructure, but qualification in a relevant operational environment is not shown. Evidence: Relay-chain coordination, threshold Paillier encryption, distributed key slices, smart contracts and verification/decryption protocols are detailed. The protocol is assessed by theoretical complexity/security analysis and heterogeneous cross-chain experiments. The evaluation reports FISCO BCOS and Hyperledger Fabric versions, WeCross integration, client/VM hardware and varying key/node/workload settings. This range was inferred independently from demonstrated technology, integration, evaluation environment and use evidence; it was not converted automatically from EM.</t>
  </si>
  <si>
    <t>pp. 1–3; pp. 5–11; pp. 11–15; pp. 11–12, experimental setup; pp. 12–15; pp. 12–16; pp. 8–15 and supplementary-material references</t>
  </si>
  <si>
    <t>M02; M04; M05; M09; M17; M19</t>
  </si>
  <si>
    <t>Implemented technology evaluated under realistic experimental workloads, datasets, scale, configurations, or heterogeneous infrastructure; no organizational pilot is demonstrated. Evidence: The implemented bridge is evaluated for gas cost, latency, resource use, economics and adversarial resilience. Cloud hardware, Intel SGX environment, transaction counts and attack/failure cases are explicitly documented.</t>
  </si>
  <si>
    <t>Reviewer-inferred TRL 4–5 (Integrated System): an implemented technology is validated experimentally with realistic datasets, workloads, configurations or infrastructure, but qualification in a relevant operational environment is not shown. Evidence: EquiLink Service, Light Server, TEE validator/watchtower network, HTLC workflow, economic model and attack defenses are fully described. The implemented bridge is evaluated for gas cost, latency, resource use, economics and adversarial resilience. Cloud hardware, Intel SGX environment, transaction counts and attack/failure cases are explicitly documented. This range was inferred independently from demonstrated technology, integration, evaluation environment and use evidence; it was not converted automatically from EM.</t>
  </si>
  <si>
    <t>pp. 1–2; pp. 4–9; pp. 9–13; pp. 10–12; pp. 9–12; pp. 10–13; p. 2, contributions/artifact</t>
  </si>
  <si>
    <t>CT3; CT6</t>
  </si>
  <si>
    <t>M01; M02; M08; M11; M13; M17</t>
  </si>
  <si>
    <t>Implemented technology evaluated under realistic experimental workloads, datasets, scale, configurations, or heterogeneous infrastructure; no organizational pilot is demonstrated. Evidence: A 12K+ LoC implementation is evaluated in a large-scale heterogeneous cloud deployment under load, churn, faults and attacks. The study reports 90+ Huawei Cloud nodes across three continents, node resources, Ethereum/ChainMaker stacks, traffic patterns and repeated trials.</t>
  </si>
  <si>
    <t>Reviewer-inferred TRL 4–5 (Integrated System): an implemented technology is validated experimentally with realistic datasets, workloads, configurations or infrastructure, but qualification in a relevant operational environment is not shown. Evidence: Celestial's hybrid relay, interchain data unit, geo-aware routing and Proof of Cross-chain Transmission are specified in detail. A 12K+ LoC implementation is evaluated in a large-scale heterogeneous cloud deployment under load, churn, faults and attacks. The study reports 90+ Huawei Cloud nodes across three continents, node resources, Ethereum/ChainMaker stacks, traffic patterns and repeated trials. This range was inferred independently from demonstrated technology, integration, evaluation environment and use evidence; it was not converted automatically from EM.</t>
  </si>
  <si>
    <t>pp. 1–3; pp. 2–9; pp. 9–10 experimental setup; pp. 1, 9–13; source-file reconciliation: supplied PS040.pdf corresponds to PS039 (Celestial)</t>
  </si>
  <si>
    <t>UNC — the actual PS040 (ShiftHub) full text is missing. The file previously named PS040.pdf contains PS039 (Celestial), so no PS040 coding is inferred from that file.</t>
  </si>
  <si>
    <t>Actual PS040 (ShiftHub) full text missing</t>
  </si>
  <si>
    <t>UNC — reviewer TRL cannot be assigned without the actual PS040 full text.</t>
  </si>
  <si>
    <t>UNC — actual PS040 (ShiftHub) full text missing</t>
  </si>
  <si>
    <t>M01; M02; M05; M14; M17</t>
  </si>
  <si>
    <t>Implemented technology evaluated under realistic experimental workloads, datasets, scale, configurations, or heterogeneous infrastructure; no organizational pilot is demonstrated. Evidence: Formal analysis is combined with an implemented Hyperledger Fabric/jsnark/libsnark prototype and systematic experiments. Fabric version, ZK libraries, server configurations, network topology, request rates and server-count variations are reported.</t>
  </si>
  <si>
    <t>Reviewer-inferred TRL 4–5 (Component/Subsystem): an implemented technology is validated experimentally with realistic datasets, workloads, configurations or infrastructure, but qualification in a relevant operational environment is not shown. Evidence: The dual-balance model, four zk-SNARK transaction types, relay-chain workflow and UC/privacy guarantees are described in detail. Formal analysis is combined with an implemented Hyperledger Fabric/jsnark/libsnark prototype and systematic experiments. Fabric version, ZK libraries, server configurations, network topology, request rates and server-count variations are reported. This range was inferred independently from demonstrated technology, integration, evaluation environment and use evidence; it was not converted automatically from EM.</t>
  </si>
  <si>
    <t>pp. 1–2; pp. 3–10; pp. 10–13; pp. 11–13; pp. 10–15; pp. 1, 10–15</t>
  </si>
  <si>
    <t>LC2; LC3; LC4</t>
  </si>
  <si>
    <t>EM not applicable: the study's principal evidence is observational, repository-, survey-, or case-oriented rather than maturity evidence for a demonstrable technology/system/intervention. Evidence: The exploratory repository study uses a documented selection/filtering process based on Moody's blockchain projects and CoinMarketCap.</t>
  </si>
  <si>
    <t>NA — reviewer TRL is not assigned because the study does not evaluate maturity of a demonstrable technology/system/intervention.</t>
  </si>
  <si>
    <t>pp. 1–2; pp. 2–3; pp. 3–4; p. 3, Section IV</t>
  </si>
  <si>
    <t>EM not applicable: the study's principal evidence is observational, repository-, survey-, or case-oriented rather than maturity evidence for a demonstrable technology/system/intervention. Evidence: The survey method, participant mining/recruitment, qualitative coding, statistical analysis and inter-rater reliability procedures are documented.</t>
  </si>
  <si>
    <t>pp. 1–7; methodology sections; methodology/demographics sections; methodology/results sections; results sections; discussion/conclusion; appendix/methodology</t>
  </si>
  <si>
    <t>LC2; LC3; LC4; LC5</t>
  </si>
  <si>
    <t>EV7; EV6</t>
  </si>
  <si>
    <t>M16; M20</t>
  </si>
  <si>
    <t>Representative prototype demonstrated in a relevant environment with realistic projects/users/infrastructure. Evidence: The method is specified step-by-step and evaluated through real-project usage, a worked DEX example and an early-developer survey. The evaluation reports a 14-developer early-use survey, experience/project counts, ABCDE project use and a worked real-case-derived DApp example.</t>
  </si>
  <si>
    <t>Reviewer-inferred TRL 5–6 (Component/Subsystem): a representative prototype is demonstrated in an environment approaching intended use, but operational qualification/use is not established. Evidence: ABCDE covers requirements, parallel smart-contract/app flows, design, implementation, testing, integration, deployment, security and gas optimization with adapted UML. The method is specified step-by-step and evaluated through real-project usage, a worked DEX example and an early-developer survey. The evaluation reports a 14-developer early-use survey, experience/project counts, ABCDE project use and a worked real-case-derived DApp example. This range was inferred independently from demonstrated technology, integration, evaluation environment and use evidence; it was not converted automatically from EM.</t>
  </si>
  <si>
    <t>pp. 1–2; pp. 2–10; pp. 4–15; pp. 10–15, Table 4/Section 5; p. 11, Table 4; pp. 10–16; pp. 4–16</t>
  </si>
  <si>
    <t>Operational/public-service use by intended users or in real audit/production-oriented practice. Evidence: The operational platform is described and statistics are reported, but the paper does not present a rigorous controlled evaluation of developer efficiency or usability. Platform usage volume and setup examples are given, but workload/user sampling and data-collection procedures for the operational statistics are only partially documented.</t>
  </si>
  <si>
    <t>Reviewer-inferred TRL 7–8 (Integrated System): the integrated technology is demonstrated/used as an operational service or in real operational practice, but sustained fully qualified operational evidence is not established. Evidence: ChainIDE 2.0's cloud IDE architecture, multi-blockchain support, CDN/cache use and development workflow are described. The operational platform is described and statistics are reported, but the paper does not present a rigorous controlled evaluation of developer efficiency or usability. Platform usage volume and setup examples are given, but workload/user sampling and data-collection procedures for the operational statistics are only partially documented. This range was inferred independently from demonstrated technology, integration, evaluation environment and use evidence; it was not converted automatically from EM.</t>
  </si>
  <si>
    <t>pp. 1–2; pp. 2–4; pp. 3–5; pp. 4–5; pp. 4–5, Tables I–II; pp. 2–5</t>
  </si>
  <si>
    <t>LC2; LC3</t>
  </si>
  <si>
    <t>Conceptual contribution with no implemented evaluation of the proposed technology. Evidence: The work is a reasoned methodological discussion rather than a reproducible empirical evaluation; the authors explicitly state that the proposal is preliminary. No empirical dataset, participants or experimental environment are used because the contribution is conceptual/methodological.</t>
  </si>
  <si>
    <t>Reviewer-inferred TRL 1–2 (Component/Subsystem): technology principles/concept are formulated, but an implemented technology is not validated. Evidence: A preliminary model-based approach is outlined through UML/model-based testing, smart-contract templates and code-generation concepts, but it is not specified as a complete executable method. The work is a reasoned methodological discussion rather than a reproducible empirical evaluation; the authors explicitly state that the proposal is preliminary. No empirical dataset, participants or experimental environment are used because the contribution is conceptual/methodological. This range was inferred independently from demonstrated technology, integration, evaluation environment and use evidence; it was not converted automatically from EM.</t>
  </si>
  <si>
    <t>LC3; LC5</t>
  </si>
  <si>
    <t>Illustrative/limited demonstrator or narrow proof-of-concept evidence. Evidence: The framework is explained systematically, but no empirical or controlled validation procedure is reported. The contribution is an architectural framework illustrated by an online car-rental scenario rather than an empirical experiment.</t>
  </si>
  <si>
    <t>Reviewer-inferred TRL 2–3 (Integrated System): a proof-of-concept, illustrative demonstrator, or simulation establishes feasibility but does not validate an integrated technology in a representative environment. Evidence: The legal–logic–interactive models, four-layer blockchain framework and smart-contract design/development/deployment/execution architecture are described in detail. The framework is explained systematically, but no empirical or controlled validation procedure is reported. The contribution is an architectural framework illustrated by an online car-rental scenario rather than an empirical experiment. This range was inferred independently from demonstrated technology, integration, evaluation environment and use evidence; it was not converted automatically from EM.</t>
  </si>
  <si>
    <t>pp. 1–3; pp. 2–8; pp. 3–8; pp. 7–8</t>
  </si>
  <si>
    <t>LC3; LC4; LC5</t>
  </si>
  <si>
    <t>Implemented technology evaluated under realistic experimental workloads, datasets, scale, configurations, or heterogeneous infrastructure; no organizational pilot is demonstrated. Evidence: The approach is implemented and evaluated as case studies for feasibility, functional correctness and cost effectiveness. Four industry/government-derived use cases are described, together with generated contracts, testing workflow and Ethereum execution context.</t>
  </si>
  <si>
    <t>Reviewer-inferred TRL 4–5 (Component/Subsystem): an implemented technology is validated experimentally with realistic datasets, workloads, configurations or infrastructure, but qualification in a relevant operational environment is not shown. Evidence: The integrated MDE approach, BPMN/asset-registry models, smart-contract generators, blockchain interaction methods and Lorikeet tool are described in detail. The approach is implemented and evaluated as case studies for feasibility, functional correctness and cost effectiveness. Four industry/government-derived use cases are described, together with generated contracts, testing workflow and Ethereum execution context. This range was inferred independently from demonstrated technology, integration, evaluation environment and use evidence; it was not converted automatically from EM.</t>
  </si>
  <si>
    <t>pp. 1–3; pp. 3–16; pp. 17–24; pp. 17–23; pp. 20–24; pp. 23–24; pp. 15–24</t>
  </si>
  <si>
    <t>EM not applicable: the study's principal evidence is observational, repository-, survey-, or case-oriented rather than maturity evidence for a demonstrable technology/system/intervention. Evidence: The study uses a systematic multi-stage empirical methodology combining public Stack Exchange data, per-platform LDA models, manual labelling and architectural mapping.</t>
  </si>
  <si>
    <t>pp. 1–3; pp. 2–7; pp. 4–10; pp. 4–7; pp. 6–14; pp. 8–15; pp. 15–17; pp. 4–7 and Appendix reference</t>
  </si>
  <si>
    <t>LC2; LC5</t>
  </si>
  <si>
    <t>Working prototype evaluated in a controlled laboratory/testbed. Evidence: The implemented ATL/Acceleo transformations are applied to three Solidity documentation examples, and generated contracts are compiled, deployed and compared with originals. The three example contracts, tooling, JavaScript VM deployment environment and generated/original contract comparisons are documented.</t>
  </si>
  <si>
    <t>Reviewer-inferred TRL 3–4 (Component/Subsystem): an implemented prototype/component is validated in a controlled laboratory/testbed. Evidence: Algorithms for Blockchain PIM-to-Solidity PSM transformation and PSM-to-code generation are specified with UML state-machine and structural mappings. The implemented ATL/Acceleo transformations are applied to three Solidity documentation examples, and generated contracts are compiled, deployed and compared with originals. The three example contracts, tooling, JavaScript VM deployment environment and generated/original contract comparisons are documented. This range was inferred independently from demonstrated technology, integration, evaluation environment and use evidence; it was not converted automatically from EM.</t>
  </si>
  <si>
    <t>pp. 1–3; pp. 3–10; pp. 10–16; pp. 10–15; pp. 11–15; pp. 11–16; pp. 11 and 16</t>
  </si>
  <si>
    <t>Working prototype evaluated in a controlled laboratory/testbed. Evidence: The implemented tool is evaluated using five representative smart-contract cases and compared with related generation tools. Five contract scenarios, manual versus reuse-assisted generation procedure and measured code/state/function reuse variables are explicitly reported.</t>
  </si>
  <si>
    <t>Reviewer-inferred TRL 3–4 (Component/Subsystem): an implemented prototype/component is validated in a controlled laboratory/testbed. Evidence: The BPMN interaction model, multi-layer reuse library, Blockly-based visual generator, security checking, compilation and deployment components are described in detail. The implemented tool is evaluated using five representative smart-contract cases and compared with related generation tools. Five contract scenarios, manual versus reuse-assisted generation procedure and measured code/state/function reuse variables are explicitly reported. This range was inferred independently from demonstrated technology, integration, evaluation environment and use evidence; it was not converted automatically from EM.</t>
  </si>
  <si>
    <t>pp. 1–3; pp. 3–13; pp. 13–15; pp. 13–14; pp. 14–15; pp. 10–16</t>
  </si>
  <si>
    <t>EM not applicable: the study's principal evidence is observational, repository-, survey-, or case-oriented rather than maturity evidence for a demonstrable technology/system/intervention. Evidence: Dataset merging, cleaning, deployment-date retrieval and seeded-LDA categorisation are described sufficiently to reproduce the broad process.</t>
  </si>
  <si>
    <t>pp. 1–2; pp. 1–3; pp. 2–3; pp. 3–4; pp. 1–4; pp. 2–4</t>
  </si>
  <si>
    <t>Working prototype evaluated in a controlled laboratory/testbed. Evidence: The method is implemented with MagicDraw, ATL and Acceleo and demonstrated by generated/deployed smart contracts on Ethereum and Hyperledger Fabric. The HackChain certificate-issuing workflow, model transformations, generated contracts, deployment environments and workflow execution are documented.</t>
  </si>
  <si>
    <t>Reviewer-inferred TRL 3–4 (Component/Subsystem): an implemented prototype/component is validated in a controlled laboratory/testbed. Evidence: MDAsmartCD covers CIM, PIM, two PSMs, UML extensions and model-to-model/model-to-text transformations for Solidity and Hyperledger Go. The method is implemented with MagicDraw, ATL and Acceleo and demonstrated by generated/deployed smart contracts on Ethereum and Hyperledger Fabric. The HackChain certificate-issuing workflow, model transformations, generated contracts, deployment environments and workflow execution are documented. This range was inferred independently from demonstrated technology, integration, evaluation environment and use evidence; it was not converted automatically from EM.</t>
  </si>
  <si>
    <t>pp. 1–3; pp. 3–20; pp. 15–25; pp. 23–25; pp. 24–25; pp. 25–26; pp. 15 and 25–26</t>
  </si>
  <si>
    <t>LC2; LC5; LC6</t>
  </si>
  <si>
    <t>M02; M04; M14</t>
  </si>
  <si>
    <t>Implemented technology evaluated under realistic experimental workloads, datasets, scale, configurations, or heterogeneous infrastructure; no organizational pilot is demonstrated. Evidence: A proof-of-concept implementation is exercised on multiple business-process use cases and blockchain environments. Three trade-oriented use cases and their deployment/execution on Ethereum, Hyperledger Fabric and Quorum are described with generated-state models.</t>
  </si>
  <si>
    <t>Reviewer-inferred TRL 4–5 (Component/Subsystem): an implemented technology is validated experimentally with realistic datasets, workloads, configurations or infrastructure, but qualification in a relevant operational environment is not shown. Evidence: The BPMN-to-DE-HSM transformations, smart-contract generation, sidechain extraction and runtime-monitoring approach are described extensively. A proof-of-concept implementation is exercised on multiple business-process use cases and blockchain environments. Three trade-oriented use cases and their deployment/execution on Ethereum, Hyperledger Fabric and Quorum are described with generated-state models. This range was inferred independently from demonstrated technology, integration, evaluation environment and use evidence; it was not converted automatically from EM.</t>
  </si>
  <si>
    <t>pp. 1–3; pp. 3–19; pp. 19–25; pp. 19–24; pp. 22–24; p. 25</t>
  </si>
  <si>
    <t>CT2; CT11</t>
  </si>
  <si>
    <t>M10; M15</t>
  </si>
  <si>
    <t>Implemented technology evaluated under realistic experimental workloads, datasets, scale, configurations, or heterogeneous infrastructure; no organizational pilot is demonstrated. Evidence: The detection method is validated against ground truth and then applied to a complete Ethereum-scale dataset with quantitative and qualitative analyses. The study covers 50,845,833 smart contracts and 1,695,517,186 transactions through September 2022 and documents ground-truth construction and DApp samples.</t>
  </si>
  <si>
    <t>Reviewer-inferred TRL 4–5 (Component/Subsystem): an implemented technology is validated experimentally with realistic datasets, workloads, configurations or infrastructure, but qualification in a relevant operational environment is not shown. Evidence: A behavioral proxy-detection technique, creational-pattern taxonomy and proxy type analyses are described in depth. The detection method is validated against ground truth and then applied to a complete Ethereum-scale dataset with quantitative and qualitative analyses. The study covers 50,845,833 smart contracts and 1,695,517,186 transactions through September 2022 and documents ground-truth construction and DApp samples. This range was inferred independently from demonstrated technology, integration, evaluation environment and use evidence; it was not converted automatically from EM.</t>
  </si>
  <si>
    <t>pp. 1–4; pp. 10–34; pp. 10–35; pp. 3–13 and Appendix; pp. 11–34; pp. 13–34; pp. 31–38; pp. 3 and 38–40</t>
  </si>
  <si>
    <t>M09; M10</t>
  </si>
  <si>
    <t>Implemented technology evaluated under realistic experimental workloads, datasets, scale, configurations, or heterogeneous infrastructure; no organizational pilot is demonstrated. Evidence: The open-source benchmark is executed systematically on five 7–8B parameter models across three complexity levels using repeated generations and pass@k. Fifteen reviewed use cases, test construction, model set, hardware, Docker/Ollama environment and generation process are reported.</t>
  </si>
  <si>
    <t>Reviewer-inferred TRL 4–5 (Component/Subsystem): an implemented technology is validated experimentally with realistic datasets, workloads, configurations or infrastructure, but qualification in a relevant operational environment is not shown. Evidence: A TDD-inspired benchmark pipeline combining natural-language specifications, Hardhat tests, compilation and Slither analysis is specified. The open-source benchmark is executed systematically on five 7–8B parameter models across three complexity levels using repeated generations and pass@k. Fifteen reviewed use cases, test construction, model set, hardware, Docker/Ollama environment and generation process are reported. This range was inferred independently from demonstrated technology, integration, evaluation environment and use evidence; it was not converted automatically from EM.</t>
  </si>
  <si>
    <t>pp. 1–2; pp. 2–3; pp. 3–4; pp. 2–4</t>
  </si>
  <si>
    <t>EM not applicable: the study's principal evidence is observational, repository-, survey-, or case-oriented rather than maturity evidence for a demonstrable technology/system/intervention. Evidence: A large-scale empirical methodology, heuristic detection rules, AST cross-checking and manual false-positive validation are documented.</t>
  </si>
  <si>
    <t>pp. 1–3; pp. 2–10; pp. 3–10; pp. 1–6; pp. 5–10; pp. 6–10; pp. 9–10; pp. 2, 6 and 11</t>
  </si>
  <si>
    <t>Illustrative/limited demonstrator or narrow proof-of-concept evidence. Evidence: The prototype is validated against one voting smart contract in Solidity/Vyper, but there is no controlled user, usability or comparative experimental design. The voting case and represented code elements are documented, but the evaluation consists of a single reference contract with no participant or broader case sample.</t>
  </si>
  <si>
    <t>Reviewer-inferred TRL 2–3 (Component/Subsystem): a proof-of-concept, illustrative demonstrator, or simulation establishes feasibility but does not validate an integrated technology in a representative environment. Evidence: SCEditor's metamodel, Eclipse Sirius implementation, Smart Contract Diagram and Function Diagram elements are described in detail. The prototype is validated against one voting smart contract in Solidity/Vyper, but there is no controlled user, usability or comparative experimental design. The voting case and represented code elements are documented, but the evaluation consists of a single reference contract with no participant or broader case sample. This range was inferred independently from demonstrated technology, integration, evaluation environment and use evidence; it was not converted automatically from EM.</t>
  </si>
  <si>
    <t>pp. 1–2; pp. 3–8; pp. 7–9; p. 9; pp. 9–10; pp. 3–10</t>
  </si>
  <si>
    <t>CT5; CT7</t>
  </si>
  <si>
    <t>M04; M09; M10; M15</t>
  </si>
  <si>
    <t>Implemented technology evaluated under realistic experimental workloads, datasets, scale, configurations, or heterogeneous infrastructure; no organizational pilot is demonstrated. Evidence: The method is validated under multiple search strategies before large-scale application and is complemented by vulnerability tools and a developer survey. The study constructs multiple on-chain/open-source/bug-fix datasets, including an 80,152-contract on-chain dataset and documented survey evidence.</t>
  </si>
  <si>
    <t>Reviewer-inferred TRL 4–5 (Component/Subsystem): an implemented technology is validated experimentally with realistic datasets, workloads, configurations or infrastructure, but qualification in a relevant operational environment is not shown. Evidence: The digEvolution similarity-search algorithm, datasets and evolution/gas/security analyses are described in detail. The method is validated under multiple search strategies before large-scale application and is complemented by vulnerability tools and a developer survey. The study constructs multiple on-chain/open-source/bug-fix datasets, including an 80,152-contract on-chain dataset and documented survey evidence. This range was inferred independently from demonstrated technology, integration, evaluation environment and use evidence; it was not converted automatically from EM.</t>
  </si>
  <si>
    <t>pp. 1–4; pp. 3–18; pp. 4–18; pp. 4–16; pp. 7–17; pp. 11–18; pp. 18–20; p. 4</t>
  </si>
  <si>
    <t>EM not applicable: the study's principal evidence is observational, repository-, survey-, or case-oriented rather than maturity evidence for a demonstrable technology/system/intervention. Evidence: The study uses explicit project-selection criteria, clone detection configurations, version analysis, bug-fix analysis and qualitative multi-rater validation.</t>
  </si>
  <si>
    <t>pp. 1–3; pp. 2–4; pp. 3–11; pp. 3–4; pp. 4–10; pp. 10–11; pp. 3 and 11</t>
  </si>
  <si>
    <t>LC5; LC7</t>
  </si>
  <si>
    <t>M04; M15; M19</t>
  </si>
  <si>
    <t>EM not applicable: the study's principal evidence is observational, repository-, survey-, or case-oriented rather than maturity evidence for a demonstrable technology/system/intervention. Evidence: The authors state that the research follows case-based research and analyse economic, computational and interconnected effects, but the single-case design does not provide a detailed replication protocol or multi-case validation.</t>
  </si>
  <si>
    <t>Abstract; pp. 1–2; Secs. III–V; pp. 2; Secs. III–VII; Secs. III, IV and VI; Sec. VI; Secs. VII–VIII; full text</t>
  </si>
  <si>
    <t>Illustrative/limited demonstrator or narrow proof-of-concept evidence. Evidence: Data collection and graph construction are explained, but the paper does not report a formal accuracy, usability or performance evaluation of the framework itself. The dataset is grounded in EthereumETL and Etherscan and contains approximately 1.3 million upgradeable proxies and nearly 15,000 historical versions.</t>
  </si>
  <si>
    <t>Reviewer-inferred TRL 2–3 (Component/Subsystem): a proof-of-concept, illustrative demonstrator, or simulation establishes feasibility but does not validate an integrated technology in a representative environment. Evidence: EvoChain's data, API and user-interface layers, Neo4j graph schema, proxy/version relationships and vulnerability views are described. Data collection and graph construction are explained, but the paper does not report a formal accuracy, usability or performance evaluation of the framework itself. The dataset is grounded in EthereumETL and Etherscan and contains approximately 1.3 million upgradeable proxies and nearly 15,000 historical versions. This range was inferred independently from demonstrated technology, integration, evaluation environment and use evidence; it was not converted automatically from EM.</t>
  </si>
  <si>
    <t>Abstract; Sec. I; Secs. II-A–II-C; Secs. II–IV; Abstract; Sec. II-A; Secs. III–V; Sec. II-C; GitHub footnotes</t>
  </si>
  <si>
    <t>M04; M15; M18</t>
  </si>
  <si>
    <t>Implemented technology evaluated under realistic experimental workloads, datasets, scale, configurations, or heterogeneous infrastructure; no organizational pilot is demonstrated. Evidence: The approach is implemented and evaluated through extensive experiments, real-world maintenance cases, developer-effort measurements, gas analysis and state-migration verification. The evaluation uses 1,355 real-world contract-maintenance cases and reports developer-oriented evaluation, experimental configurations and state/gas scenarios.</t>
  </si>
  <si>
    <t>Reviewer-inferred TRL 4–5 (Component/Subsystem): an implemented technology is validated experimentally with realistic datasets, workloads, configurations or infrastructure, but qualification in a relevant operational environment is not shown. Evidence: SmartUpdater's hyperproxy pattern, DSL, optimization-oriented contract generation and SNARK-based state-migration verification are described in depth. The approach is implemented and evaluated through extensive experiments, real-world maintenance cases, developer-effort measurements, gas analysis and state-migration verification. The evaluation uses 1,355 real-world contract-maintenance cases and reports developer-oriented evaluation, experimental configurations and state/gas scenarios. This range was inferred independently from demonstrated technology, integration, evaluation environment and use evidence; it was not converted automatically from EM.</t>
  </si>
  <si>
    <t>Abstract; Sec. I; Secs. II–V; Secs. VI–VII; evaluation sections; evaluation tables/figures; Abstract; evaluation sections; Discussion and limitations; Sec. I contributions; GitHub reference</t>
  </si>
  <si>
    <t>UNC — the supplied PS064 file is explicitly an unreviewed preprint, while the study register represents the peer-reviewed 2026 Version of Record. Final S3 classification, EM and reviewer TRL are withheld until the Version of Record is supplied.</t>
  </si>
  <si>
    <t>Version-of-record hold: supplied PS064 source is an unreviewed preprint</t>
  </si>
  <si>
    <t>UNC — reviewer TRL withheld until coding can be verified against the peer-reviewed Version of Record.</t>
  </si>
  <si>
    <t>Supplied unreviewed preprint; peer-reviewed Version of Record required before locking S3 coding</t>
  </si>
  <si>
    <t>M02; M09; M10</t>
  </si>
  <si>
    <t>Implemented technology evaluated under realistic experimental workloads, datasets, scale, configurations, or heterogeneous infrastructure; no organizational pilot is demonstrated. Evidence: Oyente is implemented and evaluated on deployed Ethereum bytecode, with manual validation of contracts having available source code and real-network attack confirmation on the authors' own accounts. The evaluation covers 19,366 Ethereum contracts from the first 1.46 million blocks, with source-available subsets used for manual false-positive verification.</t>
  </si>
  <si>
    <t>Reviewer-inferred TRL 4–5 (Component/Subsystem): an implemented technology is validated experimentally with realistic datasets, workloads, configurations or infrastructure, but qualification in a relevant operational environment is not shown. Evidence: The paper formalizes relevant Ethereum semantics, documents vulnerability classes and presents the Oyente symbolic-execution architecture and detectors. Oyente is implemented and evaluated on deployed Ethereum bytecode, with manual validation of contracts having available source code and real-network attack confirmation on the authors' own accounts. The evaluation covers 19,366 Ethereum contracts from the first 1.46 million blocks, with source-available subsets used for manual false-positive verification. This range was inferred independently from demonstrated technology, integration, evaluation environment and use evidence; it was not converted automatically from EM.</t>
  </si>
  <si>
    <t>Abstract; Sec. 1; Secs. 3–5; Sec. 6; Secs. 6–7; Abstract; Sec. 6; Secs. 1, 5–6</t>
  </si>
  <si>
    <t>RT2; RT1</t>
  </si>
  <si>
    <t>Operational/public-service use by intended users or in real audit/production-oriented practice. Evidence: The tool is evaluated on real-world Ethereum contracts and compared with existing analyzers, supported by practical audit experience. The study constructs Solidity/EVM datasets and reports contract-level analysis at realistic scale, together with operational experience from more than 18,000 submitted contracts and commercial audits.</t>
  </si>
  <si>
    <t>Reviewer-inferred TRL 7–8 (Component/Subsystem): the integrated technology is demonstrated/used as an operational service or in real operational practice, but sustained fully qualified operational evidence is not established. Evidence: Securify's dependency-graph analysis, Datalog encoding, compliance/violation patterns and DSL are described in detail. The tool is evaluated on real-world Ethereum contracts and compared with existing analyzers, supported by practical audit experience. The study constructs Solidity/EVM datasets and reports contract-level analysis at realistic scale, together with operational experience from more than 18,000 submitted contracts and commercial audits. This range was inferred independently from demonstrated technology, integration, evaluation environment and use evidence; it was not converted automatically from EM.</t>
  </si>
  <si>
    <t>Abstract; Sec. 1; Secs. 3–6; Sec. 7; Secs. 1 and 7; Sec. 1; Abstract; Secs. 1 and 7</t>
  </si>
  <si>
    <t>Implemented technology evaluated under realistic experimental workloads, datasets, scale, configurations, or heterogeneous infrastructure; no organizational pilot is demonstrated. Evidence: The framework is implemented and evaluated at scale with controlled experimental settings, comparisons with Oyente and a Fabric applicability demonstration. The authors scraped 22,493 source contracts, identified 1,524 unique contracts, report category/LOC characteristics and provide hardware/toolchain configuration.</t>
  </si>
  <si>
    <t>Reviewer-inferred TRL 4–5 (Component/Subsystem): an implemented technology is validated experimentally with realistic datasets, workloads, configurations or infrastructure, but qualification in a relevant operational environment is not shown. Evidence: ZEUS combines policy specification, Solidity-to-LLVM translation, abstract interpretation, symbolic model checking and constrained Horn clauses in a detailed verification pipeline. The framework is implemented and evaluated at scale with controlled experimental settings, comparisons with Oyente and a Fabric applicability demonstration. The authors scraped 22,493 source contracts, identified 1,524 unique contracts, report category/LOC characteristics and provide hardware/toolchain configuration. This range was inferred independently from demonstrated technology, integration, evaluation environment and use evidence; it was not converted automatically from EM.</t>
  </si>
  <si>
    <t>Abstract; Sec. I; Secs. III–V; Sec. VI; Sec. VI-A; Abstract; Sec. VI; Secs. I and VI; full text</t>
  </si>
  <si>
    <t>Illustrative/limited demonstrator or narrow proof-of-concept evidence. Evidence: The CPN model and ASK-CTL verification steps are sufficiently explicit to understand and reproduce the demonstrated formal-analysis workflow. The crowdfunding contract, attacker contract, model attributes, initial markings and simulated deposit/withdrawal behavior are described in detail.</t>
  </si>
  <si>
    <t>Reviewer-inferred TRL 2–3 (Component/Subsystem): a proof-of-concept, illustrative demonstrator, or simulation establishes feasibility but does not validate an integrated technology in a representative environment. Evidence: A hierarchical CPN method, attacker model, stepwise simulation, ASK-CTL queries and state-space checking procedure are described. The CPN model and ASK-CTL verification steps are sufficiently explicit to understand and reproduce the demonstrated formal-analysis workflow. The crowdfunding contract, attacker contract, model attributes, initial markings and simulated deposit/withdrawal behavior are described in detail. This range was inferred independently from demonstrated technology, integration, evaluation environment and use evidence; it was not converted automatically from EM.</t>
  </si>
  <si>
    <t>Abstract; Sec. I; Secs. III–IV; Secs. II–IV; Sec. IV; Secs. II–V</t>
  </si>
  <si>
    <t>Implemented technology evaluated under realistic experimental workloads, datasets, scale, configurations, or heterogeneous infrastructure; no organizational pilot is demonstrated. Evidence: The approach is grounded in an empirical study of existing tools and then evaluated against five state-of-the-art tools on a separate large real-world dataset. The study uses 11,714 Etherscan contracts for the motivating empirical study and 17,770 Google BigQuery contracts for independent tool evaluation.</t>
  </si>
  <si>
    <t>Reviewer-inferred TRL 4–5 (Component/Subsystem): an implemented technology is validated experimentally with realistic datasets, workloads, configurations or infrastructure, but qualification in a relevant operational environment is not shown. Evidence: Clairvoyance's cross-contract interprocedural CFG, static taint analysis and path-protection-technique feasibility checking are described in detail. The approach is grounded in an empirical study of existing tools and then evaluated against five state-of-the-art tools on a separate large real-world dataset. The study uses 11,714 Etherscan contracts for the motivating empirical study and 17,770 Google BigQuery contracts for independent tool evaluation. This range was inferred independently from demonstrated technology, integration, evaluation environment and use evidence; it was not converted automatically from EM.</t>
  </si>
  <si>
    <t>Abstract; Sec. 1; Secs. 3–5; Secs. 4–6; Secs. 4 and 6; Sec. 6; Abstract; Sec. 6; Sec. 6.5–6.6; Secs. 1 and 6.6.2</t>
  </si>
  <si>
    <t>Implemented technology evaluated under realistic experimental workloads, datasets, scale, configurations, or heterogeneous infrastructure; no organizational pilot is demonstrated. Evidence: The study uses a two-phase model-construction/security-auditing design with train/test separation and systematic parameter/threshold exploration. More than 7,200 Ethereum smart contracts are collected and divided into training and testing sets, with dataset-construction and labeling procedures reported.</t>
  </si>
  <si>
    <t>Reviewer-inferred TRL 4–5 (Component/Subsystem): an implemented technology is validated experimentally with realistic datasets, workloads, configurations or infrastructure, but qualification in a relevant operational environment is not shown. Evidence: MSgram's text, structure and combined tokenization schemes, N-gram detectors and Intersection/Union combination strategies are explicitly defined. The study uses a two-phase model-construction/security-auditing design with train/test separation and systematic parameter/threshold exploration. More than 7,200 Ethereum smart contracts are collected and divided into training and testing sets, with dataset-construction and labeling procedures reported. This range was inferred independently from demonstrated technology, integration, evaluation environment and use evidence; it was not converted automatically from EM.</t>
  </si>
  <si>
    <t>Abstract; Sec. I; Secs. III-A–III-C; Sec. III; Sec. III-B; Sec. IV; Sec. IV; Abstract; Sec. IV; Secs. IV–VII; Sec. IV-B; GitHub footnote</t>
  </si>
  <si>
    <t>Implemented technology evaluated under realistic experimental workloads, datasets, scale, configurations, or heterogeneous infrastructure; no organizational pilot is demonstrated. Evidence: The tool is evaluated using large-scale EOSIO experiments, comparison with EVulHunter, efficiency measurement and a separate Ethereum extensibility case study. The study uses 83 source-available and 65,202 bytecode EOSIO contracts plus 89 manually confirmed vulnerable Ethereum contracts, with hardware/tool versions reported.</t>
  </si>
  <si>
    <t>Reviewer-inferred TRL 4–5 (Component/Subsystem): an implemented technology is validated experimentally with realistic datasets, workloads, configurations or infrastructure, but qualification in a relevant operational environment is not shown. Evidence: WANA's Wasm symbolic-execution engine and vulnerability-specific detection algorithms are described for EOSIO and extended to Ethereum. The tool is evaluated using large-scale EOSIO experiments, comparison with EVulHunter, efficiency measurement and a separate Ethereum extensibility case study. The study uses 83 source-available and 65,202 bytecode EOSIO contracts plus 89 manually confirmed vulnerable Ethereum contracts, with hardware/tool versions reported. This range was inferred independently from demonstrated technology, integration, evaluation environment and use evidence; it was not converted automatically from EM.</t>
  </si>
  <si>
    <t>Abstract; Sec. I; Secs. IV–VI; Secs. V–VI; Secs. V-B–V-C and VI; Sec. V; Secs. V-D–V-E; Sec. VI; Sec. I; Sec. V-C</t>
  </si>
  <si>
    <t>Implemented technology evaluated under realistic experimental workloads, datasets, scale, configurations, or heterogeneous infrastructure; no organizational pilot is demonstrated. Evidence: Four experiments assess pruning speed, TOD detection, overall accuracy and time consumption against Mythril/Oyente under a specified hardware/software setup. A dataset of 18,912 smart-contract source files is constructed, vulnerability subsets are described, random samples are selected for experiments and hardware is reported.</t>
  </si>
  <si>
    <t>Reviewer-inferred TRL 4–5 (Component/Subsystem): an implemented technology is validated experimentally with realistic datasets, workloads, configurations or infrastructure, but qualification in a relevant operational environment is not shown. Evidence: The system combines Mythril path pruning, a transaction-order-dependence detector and an LSTM auxiliary classifier in a documented analysis pipeline. Four experiments assess pruning speed, TOD detection, overall accuracy and time consumption against Mythril/Oyente under a specified hardware/software setup. A dataset of 18,912 smart-contract source files is constructed, vulnerability subsets are described, random samples are selected for experiments and hardware is reported. This range was inferred independently from demonstrated technology, integration, evaluation environment and use evidence; it was not converted automatically from EM.</t>
  </si>
  <si>
    <t>Abstract; Sec. I; Secs. III-A–III-D; Sec. IV; Sec. III; Sec. IV; Secs. IV–V; Secs. III–IV</t>
  </si>
  <si>
    <t>Implemented technology evaluated under realistic experimental workloads, datasets, scale, configurations, or heterogeneous infrastructure; no organizational pilot is demonstrated. Evidence: The model is evaluated through multiple controlled experiments using public SmartBugs data, model ablations/configurations and comparisons with prior methods. SmartBugs Dataset-Wild is described, preprocessing/splitting are reported and vulnerability-specific experimental datasets are constructed.</t>
  </si>
  <si>
    <t>Reviewer-inferred TRL 4–5 (Component/Subsystem): an implemented technology is validated experimentally with realistic datasets, workloads, configurations or infrastructure, but qualification in a relevant operational environment is not shown. Evidence: CBGRU combines Word2Vec/FastText representations with multiple recurrent/convolutional architectures and a hybrid feature-fusion design. The model is evaluated through multiple controlled experiments using public SmartBugs data, model ablations/configurations and comparisons with prior methods. SmartBugs Dataset-Wild is described, preprocessing/splitting are reported and vulnerability-specific experimental datasets are constructed. This range was inferred independently from demonstrated technology, integration, evaluation environment and use evidence; it was not converted automatically from EM.</t>
  </si>
  <si>
    <t>Abstract; Sec. 1; Sec. 3; Sec. 4; Sec. 4.1; Secs. 4.2–4.4; Secs. 4–5; Data Availability Statement</t>
  </si>
  <si>
    <t>M02; M09</t>
  </si>
  <si>
    <t>Implemented technology evaluated under realistic experimental workloads, datasets, scale, configurations, or heterogeneous infrastructure; no organizational pilot is demonstrated. Evidence: Park is implemented as a plug-in for Oyente and Mythril and evaluated experimentally under controlled multi-core configurations. Two third-party datasets are used: SmartBugs curated vulnerable contracts and 1,000 highly triggered real-world contracts from XBlock-ETH, with hardware/CPU settings documented.</t>
  </si>
  <si>
    <t>Reviewer-inferred TRL 4–5 (Component/Subsystem): an implemented technology is validated experimentally with realistic datasets, workloads, configurations or infrastructure, but qualification in a relevant operational environment is not shown. Evidence: Park's dynamic forking, adaptive process restriction/adjustment and shared-memory global-variable reconstruction algorithms are described in detail. Park is implemented as a plug-in for Oyente and Mythril and evaluated experimentally under controlled multi-core configurations. Two third-party datasets are used: SmartBugs curated vulnerable contracts and 1,000 highly triggered real-world contracts from XBlock-ETH, with hardware/CPU settings documented. This range was inferred independently from demonstrated technology, integration, evaluation environment and use evidence; it was not converted automatically from EM.</t>
  </si>
  <si>
    <t>Abstract; Sec. 1; Secs. 3–6; Sec. 7; Abstract; Sec. 7; Secs. 7–8; Secs. 1 and 7–8</t>
  </si>
  <si>
    <t>Implemented technology evaluated under realistic experimental workloads, datasets, scale, configurations, or heterogeneous infrastructure; no organizational pilot is demonstrated. Evidence: The approach is evaluated through large-scale experiments, extensive baselines, statistical tests and ablation studies. The study uses 47,398 real-world contracts from SmartBugs Wild and documents data preparation, propagation-chain generation and benchmark configurations.</t>
  </si>
  <si>
    <t>Reviewer-inferred TRL 4–5 (Component/Subsystem): an implemented technology is validated experimentally with realistic datasets, workloads, configurations or infrastructure, but qualification in a relevant operational environment is not shown. Evidence: ReVulDL integrates graph-based pretraining over propagation chains with post-hoc interpretable machine learning for statement localization. The approach is evaluated through large-scale experiments, extensive baselines, statistical tests and ablation studies. The study uses 47,398 real-world contracts from SmartBugs Wild and documents data preparation, propagation-chain generation and benchmark configurations. This range was inferred independently from demonstrated technology, integration, evaluation environment and use evidence; it was not converted automatically from EM.</t>
  </si>
  <si>
    <t>Abstract; Sec. 1; Secs. 3–4; Sec. 4; Sec. 4.1; Secs. 4.2–4.6; Abstract; Sec. 4; Secs. 5–8; footnote in Sec. 2 / replication-package statement</t>
  </si>
  <si>
    <t>Implemented technology evaluated under realistic experimental workloads, datasets, scale, configurations, or heterogeneous infrastructure; no organizational pilot is demonstrated. Evidence: The evaluation procedure specifies focal loss for imbalance, k-fold cross-validation, optimizer/learning-rate choices, training/testing of known and new vulnerability types and baseline configurations. SCC collected 20,545 contracts and retained 18,796 after cleaning; hardware, OS/driver versions, public comparison datasets and experiment setup are reported.</t>
  </si>
  <si>
    <t>Reviewer-inferred TRL 4–5 (Component/Subsystem): an implemented technology is validated experimentally with realistic datasets, workloads, configurations or infrastructure, but qualification in a relevant operational environment is not shown. Evidence: MODNN is described through the COS representation, SCC data-processing pipeline, implicit-feature extraction, BERT embeddings and multi-objective probability outputs. The evaluation procedure specifies focal loss for imbalance, k-fold cross-validation, optimizer/learning-rate choices, training/testing of known and new vulnerability types and baseline configurations. SCC collected 20,545 contracts and retained 18,796 after cleaning; hardware, OS/driver versions, public comparison datasets and experiment setup are r… This range was inferred independently from demonstrated technology, integration, evaluation environment and use evidence; it was not converted automatically from EM.</t>
  </si>
  <si>
    <t>Abstract; Sec. 1; Secs. 3–5; Secs. 6.2–6.5; Secs. 4 and 6.3; Secs. 6.2, 6.5; Sec. 6.4–6.5; Secs. 6–7; Sec. 6.3; Sec. 7; Ref. [10]</t>
  </si>
  <si>
    <t>Implemented technology evaluated under realistic experimental workloads, datasets, scale, configurations, or heterogeneous infrastructure; no organizational pilot is demonstrated. Evidence: Dataset labeling, preprocessing, repeated training, parameter testing and model-comparison procedures are sufficiently specified to reproduce the study. SmartBugs Dataset-Wild and SolidiFI Benchmark are identified with sizes; the labeling process uses Oyente, Mythril and SmartCheck and preprocessing steps are detailed.</t>
  </si>
  <si>
    <t>Reviewer-inferred TRL 4–5 (Component/Subsystem): an implemented technology is validated experimentally with realistic datasets, workloads, configurations or infrastructure, but qualification in a relevant operational environment is not shown. Evidence: SCVSN architecture, similarity-based Siamese learning, LSTM subnetworks, source-code normalization/tokenization and Word2Vec embedding are described in detail. Dataset labeling, preprocessing, repeated training, parameter testing and model-comparison procedures are sufficiently specified to reproduce the study. SmartBugs Dataset-Wild and SolidiFI Benchmark are identified with sizes; the labeling process uses Oyente, Mythril and SmartCheck and preprocessing steps are detailed. This range was inferred independently from demonstrated technology, integration, evaluation environment and use evidence; it was not converted automatically from EM.</t>
  </si>
  <si>
    <t>Abstract; Sec. 1; Secs. 3–4; Secs. 4.1–4.3; Sec. 4.1; Sec. 4.3; Secs. 4.2–4.3; Secs. 4–5; Data Availability Statement; Sec. 4</t>
  </si>
  <si>
    <t>Implemented technology evaluated under realistic experimental workloads, datasets, scale, configurations, or heterogeneous infrastructure; no organizational pilot is demonstrated. Evidence: The tool, analysis steps, evaluation RQs, datasets, baseline execution procedure, timeouts and manual-inspection protocol are explicitly described. Evaluation uses a 15-contract CVE dataset, 47,518 SmartBugs-wild contracts and 3,000 popular Ethereum contracts; hardware and timeout settings are documented.</t>
  </si>
  <si>
    <t>Reviewer-inferred TRL 4–5 (Component/Subsystem): an implemented technology is validated experimentally with realistic datasets, workloads, configurations or infrastructure, but qualification in a relevant operational environment is not shown. Evidence: AChecker combines static data-flow/taint analysis for access-control inference with symbolic execution to distinguish intended behavior from vulnerabilities. The tool, analysis steps, evaluation RQs, datasets, baseline execution procedure, timeouts and manual-inspection protocol are explicitly described. Evaluation uses a 15-contract CVE dataset, 47,518 SmartBugs-wild contracts and 3,000 popular Ethereum contracts; hardware and timeout settings are documented. This range was inferred independently from demonstrated technology, integration, evaluation environment and use evidence; it was not converted automatically from EM.</t>
  </si>
  <si>
    <t>Abstract; Sec. I; Secs. II–III; Secs. III–IV; Sec. IV-A; Sec. IV-A–IV-D; Sec. IV; Secs. IV–VII; Sec. I; Ref. [19]; Sec. IV-A</t>
  </si>
  <si>
    <t>Implemented technology evaluated under realistic experimental workloads, datasets, scale, configurations, or heterogeneous infrastructure; no organizational pilot is demonstrated. Evidence: The workflow, threshold-selection procedure, Python implementation, datasets, hardware and real-world evaluation are specified in sufficient detail. Experiments use ESC, SmartBugs curated/wild datasets and 30,000 crawled Ethereum contracts; an Intel i7 3.2GHz/32GB environment is reported.</t>
  </si>
  <si>
    <t>Reviewer-inferred TRL 4–5 (Component/Subsystem): an implemented technology is validated experimentally with realistic datasets, workloads, configurations or infrastructure, but qualification in a relevant operational environment is not shown. Evidence: Vulnerability-pattern extraction, semantic contract graph generation, WL-kernel approximate matching, vulnerability libraries and detection thresholds are described. The workflow, threshold-selection procedure, Python implementation, datasets, hardware and real-world evaluation are specified in sufficient detail. Experiments use ESC, SmartBugs curated/wild datasets and 30,000 crawled Ethereum contracts; an Intel i7 3.2GHz/32GB environment is reported. This range was inferred independently from demonstrated technology, integration, evaluation environment and use evidence; it was not converted automatically from EM.</t>
  </si>
  <si>
    <t>Abstract; Sec. I; Secs. III–IV; Sec. V-A; Secs. V-B–V-C; Secs. V-B–V-D; Secs. V-D–VI</t>
  </si>
  <si>
    <t>Implemented technology evaluated under realistic experimental workloads, datasets, scale, configurations, or heterogeneous infrastructure; no organizational pilot is demonstrated. Evidence: Graph construction, slicing criteria, model architecture, implementation libraries and hyperparameters are described, with three explicit research-question experiments. The dataset combines SolidiFI, HuangGai, SmartBugs Curated/Wild and another manual dataset; sample sizes and Intel i5/GTX1060/16GB setup are reported.</t>
  </si>
  <si>
    <t>Reviewer-inferred TRL 4–5 (Component/Subsystem): an implemented technology is validated experimentally with realistic datasets, workloads, configurations or infrastructure, but qualification in a relevant operational environment is not shown. Evidence: The sliced joint code graph combines AST, CFG and PDG, applies vulnerability-specific program slicing, and uses bidirectional GGNN plus hybrid attention pooling. Graph construction, slicing criteria, model architecture, implementation libraries and hyperparameters are described, with three explicit research-question experiments. The dataset combines SolidiFI, HuangGai, SmartBugs Curated/Wild and another manual dataset; sample sizes and Intel i5/GTX1060/16GB setup are reported. This range was inferred independently from demonstrated technology, integration, evaluation environment and use evidence; it was not converted automatically from EM.</t>
  </si>
  <si>
    <t>Abstract; Sec. 1; Secs. 3–4; Secs. 4–6; Sec. 5.2–5.3; Secs. 5.3–6; Sec. 6; Secs. 6–9</t>
  </si>
  <si>
    <t>Implemented technology evaluated under realistic experimental workloads, datasets, scale, configurations, or heterogeneous infrastructure; no organizational pilot is demonstrated. Evidence: Pretraining/fine-tuning procedures, loss, optimizer, learning rate, dropout, batch size and train/test process are sufficiently specified. Pretraining uses 42,000 SmartBugs Wild and about 70,000 Slither contracts; fine-tuning sets and 7:3 splits are enumerated, with hardware/software setup reported.</t>
  </si>
  <si>
    <t>Reviewer-inferred TRL 4–5 (Component/Subsystem): an implemented technology is validated experimentally with realistic datasets, workloads, configurations or infrastructure, but qualification in a relevant operational environment is not shown. Evidence: A custom Solidity tokenizer, DistilBERT masked-language-model pretraining and DistilBERT-MLP/LSTM fine-tuning architectures are described with equations. Pretraining/fine-tuning procedures, loss, optimizer, learning rate, dropout, batch size and train/test process are sufficiently specified. Pretraining uses 42,000 SmartBugs Wild and about 70,000 Slither contracts; fine-tuning sets and 7:3 splits are enumerated, with hardware/software setup reported. This range was inferred independently from demonstrated technology, integration, evaluation environment and use evidence; it was not converted automatically from EM.</t>
  </si>
  <si>
    <t>Abstract; Sec. 1; Sec. 3; Secs. 3.3–4.1; Sec. 4.1; Secs. 4.1–4.2; Sec. 4.2; Abstract; Secs. 4–5; Secs. 3–4</t>
  </si>
  <si>
    <t>CT7; CT10</t>
  </si>
  <si>
    <t>Implemented technology evaluated under realistic experimental workloads, datasets, scale, configurations, or heterogeneous infrastructure; no organizational pilot is demonstrated. Evidence: The formal model, ASM/BIP transformations, CTL-property generation, verification loop and code-generation/deployment procedure are sufficiently specified for methodological reproduction. The evaluation reports 726 deployed Ethereum contracts, including 267 ERC20 and 459 ERC721 contracts, together with verification-state and timing analysis.</t>
  </si>
  <si>
    <t>Reviewer-inferred TRL 4–5 (Component/Subsystem): an implemented technology is validated experimentally with realistic datasets, workloads, configurations or infrastructure, but qualification in a relevant operational environment is not shown. Evidence: Solidity Deployment Diagrams, extended operational semantics, the global coordinator, model checking, code generation and deployment workflow are described in detail. The formal model, ASM/BIP transformations, CTL-property generation, verification loop and code-generation/deployment procedure are sufficiently specified for methodological reproduction. The evaluation reports 726 deployed Ethereum contracts, including 267 ERC20 and 459 ERC721 contracts, together with verification-state and timing analysis. This range was inferred independently from demonstrated technology, integration, evaluation environment and use evidence; it was not converted automatically from EM.</t>
  </si>
  <si>
    <t>PDF pp. 1–2; PDF pp. 2–9; PDF pp. 2–10; PDF pp. 13–16; PDF pp. 13–17; PDF pp. 2 and 18</t>
  </si>
  <si>
    <t>Implemented technology evaluated under realistic experimental workloads, datasets, scale, configurations, or heterogeneous infrastructure; no organizational pilot is demonstrated. Evidence: Graph extraction, network architecture, optimization, grid-search parameters, train/test split and five-run averaging are explicitly documented. The released benchmark contains 514,880 functions from 42,910 contracts collected from Ethereum, GitHub and vulnerability-analysis sources, with manual labels and an 80/20 split.</t>
  </si>
  <si>
    <t>Reviewer-inferred TRL 4–5 (Component/Subsystem): an implemented technology is validated experimentally with realistic datasets, workloads, configurations or infrastructure, but qualification in a relevant operational environment is not shown. Evidence: The source-code/bytecode graph encoders, teacher-student architecture, cross-modality mutual-learning loss and transfer losses are described in detail. Graph extraction, network architecture, optimization, grid-search parameters, train/test split and five-run averaging are explicitly documented. The released benchmark contains 514,880 functions from 42,910 contracts collected from Ethereum, GitHub and vulnerability-analysis sources, with manual labels and an 80/20 split. This range was inferred independently from demonstrated technology, integration, evaluation environment and use evidence; it was not converted automatically from EM.</t>
  </si>
  <si>
    <t>PDF pp. 1–2, 6; PDF pp. 2–5; PDF pp. 3–6; PDF p. 6 and Appendix B; PDF pp. 6–8; PDF pp. 2, 6 and 10</t>
  </si>
  <si>
    <t>Implemented technology evaluated under realistic experimental workloads, datasets, scale, configurations, or heterogeneous infrastructure; no organizational pilot is demonstrated. Evidence: The graph-processing pipeline, model training, confidence threshold, dataset curation and comparative design are explicitly specified. Evaluation combines SmartBugs Curated, SolidiFI-Benchmark and collected contracts; the authors report more than 55K collected contracts and verified labels for 423 buggy and 2,742 clean contracts.</t>
  </si>
  <si>
    <t>Reviewer-inferred TRL 4–5 (Component/Subsystem): an implemented technology is validated experimentally with realistic datasets, workloads, configurations or infrastructure, but qualification in a relevant operational environment is not shown. Evidence: Heterogeneous contract graph construction, customized meta-relations, HGT embeddings and contract/line-level classifiers are described in detail. The graph-processing pipeline, model training, confidence threshold, dataset curation and comparative design are explicitly specified. Evaluation combines SmartBugs Curated, SolidiFI-Benchmark and collected contracts; the authors report more than 55K collected contracts and verified labels for 423 buggy and 2,742 clean contracts. This range was inferred independently from demonstrated technology, integration, evaluation environment and use evidence; it was not converted automatically from EM.</t>
  </si>
  <si>
    <t>PDF pp. 1–2; PDF pp. 2–6; PDF pp. 4–7; PDF pp. 1–2, 6–7; PDF pp. 7–10; PDF pp. 7–11; PDF pp. 10–11; PDF p. 6</t>
  </si>
  <si>
    <t>Implemented technology evaluated under realistic experimental workloads, datasets, scale, configurations, or heterogeneous infrastructure; no organizational pilot is demonstrated. Evidence: The experimental pipeline, optimization strategy, model configuration, preprocessing and prompt-tuning procedure are sufficiently specified. Experiments use more than 200,000 SmartBugs Wild contracts for reentrancy and the ESC dataset with 40,932 contracts/307,396 functions for timestamp dependency.</t>
  </si>
  <si>
    <t>Reviewer-inferred TRL 4–5 (Integrated System): an implemented technology is validated experimentally with realistic datasets, workloads, configurations or infrastructure, but qualification in a relevant operational environment is not shown. Evidence: CSCV slicing, CodeT5 representation, prompt templates, verbalizer and classification workflow are described in detail. The experimental pipeline, optimization strategy, model configuration, preprocessing and prompt-tuning procedure are sufficiently specified. Experiments use more than 200,000 SmartBugs Wild contracts for reentrancy and the ESC dataset with 40,932 contracts/307,396 functions for timestamp dependency. This range was inferred independently from demonstrated technology, integration, evaluation environment and use evidence; it was not converted automatically from EM.</t>
  </si>
  <si>
    <t>PDF pp. 1–2; PDF pp. 2–6; PDF pp. 4–7; PDF pp. 2, 6–7; PDF pp. 7–9; PDF p. 10; PDF pp. 2 and 10</t>
  </si>
  <si>
    <t>Implemented technology evaluated under realistic experimental workloads, datasets, scale, configurations, or heterogeneous infrastructure; no organizational pilot is demonstrated. Evidence: Preprocessing, Word2Vec representation, model construction and implementation environment are sufficiently documented for the reported experiments. The two public datasets total 24,957 contracts; class distributions, training/testing counts and the hardware/software environment are explicitly reported.</t>
  </si>
  <si>
    <t>Reviewer-inferred TRL 4–5 (Component/Subsystem): an implemented technology is validated experimentally with realistic datasets, workloads, configurations or infrastructure, but qualification in a relevant operational environment is not shown. Evidence: The vulnerability-fragment extraction process and hybrid Bi-GRU/single-head/multi-head attention architecture are described in detail. Preprocessing, Word2Vec representation, model construction and implementation environment are sufficiently documented for the reported experiments. The two public datasets total 24,957 contracts; class distributions, training/testing counts and the hardware/software environment are explicitly reported. This range was inferred independently from demonstrated technology, integration, evaluation environment and use evidence; it was not converted automatically from EM.</t>
  </si>
  <si>
    <t>PDF pp. 1–3; PDF pp. 9–16; PDF pp. 16–18; PDF pp. 18–22; PDF pp. 17–23</t>
  </si>
  <si>
    <t>Illustrative/limited demonstrator or narrow proof-of-concept evidence. Evidence: The analysis concepts and command workflow are described, but rule specifications and an end-to-end reproducible evaluation protocol are incomplete. The technical evaluation shows secured and deliberately vulnerable chaincode examples, but no clearly defined labelled dataset, sample size or representative workload is reported.</t>
  </si>
  <si>
    <t>Reviewer-inferred TRL 2–3 (Component/Subsystem): a proof-of-concept, illustrative demonstrator, or simulation establishes feasibility but does not validate an integrated technology in a representative environment. Evidence: UBF-ChaincodeScan architecture, validation/scanning phases, AST processing, report format and eight Fabric/Node.js vulnerability checks are described. The analysis concepts and command workflow are described, but rule specifications and an end-to-end reproducible evaluation protocol are incomplete. The technical evaluation shows secured and deliberately vulnerable chaincode examples, but no clearly defined labelled dataset, sample size or representative workload is reported. This range was inferred independently from demonstrated technology, integration, evaluation environment and use evidence; it was not converted automatically from EM.</t>
  </si>
  <si>
    <t>PDF pp. 1–2; PDF pp. 2–5; PDF pp. 5–6; PDF p. 6; PDF pp. 6–7; PDF pp. 2–6</t>
  </si>
  <si>
    <t>Implemented technology evaluated under realistic experimental workloads, datasets, scale, configurations, or heterogeneous infrastructure; no organizational pilot is demonstrated. Evidence: The extension is implemented in Oyente and the vulnerability-specific opcode/CFG detection procedures are sufficiently described to understand the method. The paper states that public Ethereum contracts were collected and that the method was tested on 2,676 contracts, but sampling, composition and ground-truth construction are only lightly described.</t>
  </si>
  <si>
    <t>Reviewer-inferred TRL 4–5 (Component/Subsystem): an implemented technology is validated experimentally with realistic datasets, workloads, configurations or infrastructure, but qualification in a relevant operational environment is not shown. Evidence: Detection logic and algorithms are presented for bad randomness, access control, unchecked low-level calls and DoS with unbounded operations. The extension is implemented in Oyente and the vulnerability-specific opcode/CFG detection procedures are sufficiently described to understand the method. The paper states that public Ethereum contracts were collected and that the method was tested on 2,676 contracts, but sampling, composition and ground-truth construction are only lightly described. This range was inferred independently from demonstrated technology, integration, evaluation environment and use evidence; it was not converted automatically from EM.</t>
  </si>
  <si>
    <t>PDF pp. 1–2; PDF pp. 4–8; PDF pp. 1 and 8; PDF pp. 8–9; PDF pp. 8–10; PDF pp. 4–10</t>
  </si>
  <si>
    <t>Implemented technology evaluated under realistic experimental workloads, datasets, scale, configurations, or heterogeneous infrastructure; no organizational pilot is demonstrated. Evidence: Data collection/labeling, model settings, training/test split, generation process and activation-validation procedures are explicitly documented. The source dataset is collected from GitHub/Gitter and Ethereum, labelled with multiple tools plus manual verification; experiment settings and generated samples are reported.</t>
  </si>
  <si>
    <t>Reviewer-inferred TRL 4–5 (Component/Subsystem): an implemented technology is validated experimentally with realistic datasets, workloads, configurations or infrastructure, but qualification in a relevant operational environment is not shown. Evidence: Static feature extraction, vulnerability-type matching, GAN fragment generation and AST-guided injection for seven vulnerability classes are described in detail. Data collection/labeling, model settings, training/test split, generation process and activation-validation procedures are explicitly documented. The source dataset is collected from GitHub/Gitter and Ethereum, labelled with multiple tools plus manual verification; experiment settings and generated samples are reported. This range was inferred independently from demonstrated technology, integration, evaluation environment and use evidence; it was not converted automatically from EM.</t>
  </si>
  <si>
    <t>PDF pp. 1–2; PDF pp. 2–13; PDF pp. 7, 13–19; PDF pp. 7 and 13–19; PDF pp. 13–19; PDF pp. 14–20; PDF pp. 16–20; PDF pp. 13 and 22</t>
  </si>
  <si>
    <t>Implemented technology evaluated under realistic experimental workloads, datasets, scale, configurations, or heterogeneous infrastructure; no organizational pilot is demonstrated. Evidence: Graph construction, encoding, attention layers, training and experimental procedures are sufficiently described for methodological reproduction. The Ethereum dataset contains thirty vulnerability types and the paper describes training/testing distributions and additional imbalance scenarios.</t>
  </si>
  <si>
    <t>Reviewer-inferred TRL 4–5 (Component/Subsystem): an implemented technology is validated experimentally with realistic datasets, workloads, configurations or infrastructure, but qualification in a relevant operational environment is not shown. Evidence: CLHG construction, heterogeneous edge/node types, meta-path attention and graph-level classification are described in detail. Graph construction, encoding, attention layers, training and experimental procedures are sufficiently described for methodological reproduction. The Ethereum dataset contains thirty vulnerability types and the paper describes training/testing distributions and additional imbalance scenarios. This range was inferred independently from demonstrated technology, integration, evaluation environment and use evidence; it was not converted automatically from EM.</t>
  </si>
  <si>
    <t>PDF pp. 1–3; PDF pp. 3–6; PDF pp. 3–7; PDF pp. 6–8; PDF pp. 6–9; PDF pp. 7–9; Full text</t>
  </si>
  <si>
    <t>Implemented technology evaluated under realistic experimental workloads, datasets, scale, configurations, or heterogeneous infrastructure; no organizational pilot is demonstrated. Evidence: Contract preprocessing, intermediate representation, rule application and evaluation procedures are systematically specified. The study evaluates a labelled benchmark and a 15,773-contract Etherscan dataset; dataset processing and manual reliability checks are described.</t>
  </si>
  <si>
    <t>Reviewer-inferred TRL 4–5 (Component/Subsystem): an implemented technology is validated experimentally with realistic datasets, workloads, configurations or infrastructure, but qualification in a relevant operational environment is not shown. Evidence: The source-level intermediate representations, composite rules and seven detection algorithms for three vulnerability classes are described in depth. Contract preprocessing, intermediate representation, rule application and evaluation procedures are systematically specified. The study evaluates a labelled benchmark and a 15,773-contract Etherscan dataset; dataset processing and manual reliability checks are described. This range was inferred independently from demonstrated technology, integration, evaluation environment and use evidence; it was not converted automatically from EM.</t>
  </si>
  <si>
    <t>PDF pp. 1–3; PDF pp. 7–22; PDF pp. 7–23; PDF pp. 22–28; PDF pp. 22–26; PDF pp. 23–28; PDF pp. 26–29; PDF p. 29</t>
  </si>
  <si>
    <t>Implemented technology evaluated under realistic experimental workloads, datasets, scale, configurations, or heterogeneous infrastructure; no organizational pilot is demonstrated. Evidence: The implementation environment, baseline configuration, runtime limits, evaluation metrics and manual labelling procedure are explicitly specified. Dataset 1 contains 12,351 compilable real-world contracts for coverage evaluation; Dataset 2 contains 505 Etherscan contracts with comprehensive manual vulnerability labels.</t>
  </si>
  <si>
    <t>Reviewer-inferred TRL 4–5 (Component/Subsystem): an implemented technology is validated experimentally with realistic datasets, workloads, configurations or infrastructure, but qualification in a relevant operational environment is not shown. Evidence: Function-sequence extraction, coverage-guided genetic test generation and vulnerability-specific test oracles are described in detail. The implementation environment, baseline configuration, runtime limits, evaluation metrics and manual labelling procedure are explicitly specified. Dataset 1 contains 12,351 compilable real-world contracts for coverage evaluation; Dataset 2 contains 505 Etherscan contracts with comprehensive manual vulnerability labels. This range was inferred independently from demonstrated technology, integration, evaluation environment and use evidence; it was not converted automatically from EM.</t>
  </si>
  <si>
    <t>PDF pp. 1–4; PDF pp. 7–15; PDF pp. 15–17; PDF pp. 16–17; PDF pp. 15–20; PDF pp. 17–21; PDF pp. 21–22; PDF pp. 15–17 and 25</t>
  </si>
  <si>
    <t>Implemented technology evaluated under realistic experimental workloads, datasets, scale, configurations, or heterogeneous infrastructure; no organizational pilot is demonstrated. Evidence: The implementation, target algorithms, fitness parameters, instrumented execution environment and experimental protocol are explicitly reported. The study uses crafted target-reaching benchmarks, ground-truth vulnerability datasets, 42,738 real-world contracts and top-50 Ethereum DApps, with environment and filtering procedures reported.</t>
  </si>
  <si>
    <t>Reviewer-inferred TRL 4–5 (Component/Subsystem): an implemented technology is validated experimentally with realistic datasets, workloads, configurations or infrastructure, but qualification in a relevant operational environment is not shown. Evidence: VULSEYE's code-target identification, backward state analysis, state targets, integrated fitness metric and fuzzing loop are described in detail. The implementation, target algorithms, fitness parameters, instrumented execution environment and experimental protocol are explicitly reported. The study uses crafted target-reaching benchmarks, ground-truth vulnerability datasets, 42,738 real-world contracts and top-50 Ethereum DApps, with environment and filtering procedures reported. This range was inferred independently from demonstrated technology, integration, evaluation environment and use evidence; it was not converted automatically from EM.</t>
  </si>
  <si>
    <t>PDF pp. 1–4; PDF pp. 4–8; PDF pp. 6–9; PDF pp. 9–12; PDF pp. 11–13; PDF p. 2</t>
  </si>
  <si>
    <t>Implemented technology evaluated under realistic experimental workloads, datasets, scale, configurations, or heterogeneous infrastructure; no organizational pilot is demonstrated. Evidence: The prompt strategy, completion validation, static-analysis stages, datasets and baseline procedures are sufficiently specified for methodological reproduction. Evaluation uses a 15-CVE dataset, 5,000 recent verified on-chain contracts and 83 DAppSCAN repositories containing 3,092 contracts, with sampling and complexity characteristics documented.</t>
  </si>
  <si>
    <t>Reviewer-inferred TRL 4–5 (Component/Subsystem): an implemented technology is validated experimentally with realistic datasets, workloads, configurations or infrastructure, but qualification in a relevant operational environment is not shown. Evidence: Sensitive-function extraction, LLM snippet completion/self-reflection, FCG/CFG construction and access-control analysis are described in detail. The prompt strategy, completion validation, static-analysis stages, datasets and baseline procedures are sufficiently specified for methodological reproduction. Evaluation uses a 15-CVE dataset, 5,000 recent verified on-chain contracts and 83 DAppSCAN repositories containing 3,092 contracts, with sampling and complexity characteristics documented. This range was inferred independently from demonstrated technology, integration, evaluation environment and use evidence; it was not converted automatically from EM.</t>
  </si>
  <si>
    <t>PDF pp. 1–3; PDF pp. 3–7; PDF pp. 4–8; PDF pp. 7–9, 12; PDF pp. 8–11; PDF pp. 9–11; PDF pp. 9–12; PDF p. 2</t>
  </si>
  <si>
    <t>Scope/version constraints and future re-evaluation are acknowledged.</t>
  </si>
  <si>
    <t>No distinct unresolved engineering challenge is explicitly stated beyond evaluation/generalizability limitations.</t>
  </si>
  <si>
    <t>Evaluate the newer blockchain version in future benchmarking.</t>
  </si>
  <si>
    <t>No explicit operational-deployment barrier stated in the supplied source.</t>
  </si>
  <si>
    <t>Reviewer synthesis: author-stated gaps remain primarily within Scalability/performance; no strong cross-domain dependency is explicit.</t>
  </si>
  <si>
    <t>No explicit lifecycle-phase gap; the author-stated limitation is primarily evidential/methodological.</t>
  </si>
  <si>
    <t>TH5 — Evaluation/evidence weakness</t>
  </si>
  <si>
    <t>QA7 evidence: pp. 9, 13, Results/Conclusion</t>
  </si>
  <si>
    <t>The paper acknowledges evaluation/configuration limitations and lists substantial future work.</t>
  </si>
  <si>
    <t>Reviewer synthesis from author-stated gaps: scaling/efficiency under broader loads or resource constraints; transition from research evidence to operational/industrial deployment.</t>
  </si>
  <si>
    <t>Extend Fabric evaluation and design work on benchmarks/optimizations, large-deployment scalability, richer consistency/data models, alternative resilience/consensus guarantees, and transaction/ledger privacy.</t>
  </si>
  <si>
    <t>Reviewer synthesis from author-stated limitations/future work: limited validation/integration in a relevant or operational environment; scale/performance/resource constraints; security/privacy/assurance constraints.</t>
  </si>
  <si>
    <t>Reviewer synthesis: ED3 via implementation, lifecycle or deployment concerns.</t>
  </si>
  <si>
    <t>Source-derived future/limitation needs touch: LC2 Architecture/design; LC5 Deployment/transition.</t>
  </si>
  <si>
    <t>TH1 — Scalability/performance barrier; TH5 — Evaluation/evidence weakness; TH6 — Operational/deployment barrier</t>
  </si>
  <si>
    <t>QA7 evidence: pp. 10, 14–15, Evaluation/Conclusion; Limitations: PDF p. 4</t>
  </si>
  <si>
    <t>The evaluation discloses constraints such as testing valid non-conflicting transactions and identifies out-of-scope issues/future work.</t>
  </si>
  <si>
    <t>Reviewer synthesis from author-stated gaps: scaling/efficiency under broader loads or resource constraints; incomplete lifecycle/tooling/language automation.</t>
  </si>
  <si>
    <t>Compare alternative transaction-pruning approaches under different workloads and further improve Fabric using efficient BFT, faster transaction-ID extraction, faster cryptography, greater channel parallelism and a scalable analytics layer.</t>
  </si>
  <si>
    <t>Reviewer synthesis from author-stated limitations/future work: scale/performance/resource constraints.</t>
  </si>
  <si>
    <t>Source-derived future/limitation needs touch: LC4 Testing/verification.</t>
  </si>
  <si>
    <t>TH1 — Scalability/performance barrier; TH3 — Software-engineering/lifecycle gap; TH5 — Evaluation/evidence weakness</t>
  </si>
  <si>
    <t>QA7 evidence: pp. 5, 8, Evaluation/Conclusion</t>
  </si>
  <si>
    <t>Model assumptions and security bounds are explicit.</t>
  </si>
  <si>
    <t>No post-study engineering challenge explicitly identified in the supplied source.</t>
  </si>
  <si>
    <t>No explicit future-research recommendation identified in the supplied full text.</t>
  </si>
  <si>
    <t>Source-derived future/limitation needs touch: LC2 Architecture/design.</t>
  </si>
  <si>
    <t>NR — no author-stated limitation/future gap suitable for thematic coding.</t>
  </si>
  <si>
    <t>QA7 evidence: pp. 4–15, Model/Analysis</t>
  </si>
  <si>
    <t>Future work explicitly identifies untested scalability/vulnerability properties and additional blockchain-quality properties.</t>
  </si>
  <si>
    <t>Optimize the consensus method for use on actual industry blockchains and study its scalability, vulnerability, chain quality, common-prefix and chain-growth properties.</t>
  </si>
  <si>
    <t>Source-derived future/limitation needs touch: LC4 Testing/verification; LC5 Deployment/transition.</t>
  </si>
  <si>
    <t>TH1 — Scalability/performance barrier; TH6 — Operational/deployment barrier</t>
  </si>
  <si>
    <t>QA7 evidence: p. 11, Conclusion/Future Work; Future Work: PDF p. 11; Conclusion/Future Work: PDF p. 11</t>
  </si>
  <si>
    <t>The paper discloses SGX EPC constraints and that experiments use SGX debug simulation mode.</t>
  </si>
  <si>
    <t>Reviewer synthesis from author-stated gaps: cost/hardware/resource feasibility.</t>
  </si>
  <si>
    <t>Reviewer synthesis from author-stated limitations/future work: cost or specialized resource/hardware overhead.</t>
  </si>
  <si>
    <t>TH5 — Evaluation/evidence weakness; TH9 — Economic/resource barrier</t>
  </si>
  <si>
    <t>QA7 evidence: pp. 1, 5</t>
  </si>
  <si>
    <t>The convexity assumption, lazy-client challenge and several unresolved issues are acknowledged in conclusion/future work.</t>
  </si>
  <si>
    <t>Reviewer synthesis from author-stated gaps: scaling/efficiency under broader loads or resource constraints; governance, incentives, compliance or multi-party coordination; cost/hardware/resource feasibility.</t>
  </si>
  <si>
    <t>Design incentives that discourage lazy clients, detect plagiarism/laziness, study learning without the convexity assumption, and analyze optimization under limited energy.</t>
  </si>
  <si>
    <t>Reviewer synthesis from author-stated limitations/future work: scale/performance/resource constraints; cost or specialized resource/hardware overhead; human/coordination/adoption constraints.</t>
  </si>
  <si>
    <t>Source-derived future/limitation needs touch: LC2 Architecture/design; LC8 Governance/retirement.</t>
  </si>
  <si>
    <t>TH1 — Scalability/performance barrier; TH7 — Organizational/governance/regulatory barrier; TH9 — Economic/resource barrier</t>
  </si>
  <si>
    <t>QA7 evidence: p. 12, Section 9</t>
  </si>
  <si>
    <t>Adversary/network assumptions and protocol scope are explicit.</t>
  </si>
  <si>
    <t>QA7 evidence: pp. 2–14</t>
  </si>
  <si>
    <t>Configuration trade-offs and design constraints are discussed.</t>
  </si>
  <si>
    <t>QA7 evidence: pp. 15–16, Section 6.2.5/Discussion</t>
  </si>
  <si>
    <t>Vehicle mobility and sharding-configuration optimization as unresolved challenges.</t>
  </si>
  <si>
    <t>Reviewer synthesis from author-stated gaps: scaling/efficiency under broader loads or resource constraints.</t>
  </si>
  <si>
    <t>Address vehicle mobility and optimize sharding configuration for dynamic vehicular topologies while maintaining performance and security.</t>
  </si>
  <si>
    <t>No explicit lifecycle gap identified in the author-stated limitations/future work.</t>
  </si>
  <si>
    <t>TH1 — Scalability/performance barrier</t>
  </si>
  <si>
    <t>QA7 evidence: p. 12, Section VIII</t>
  </si>
  <si>
    <t>Protocol assumptions and scope limitations are stated, but empirical-validity and external-validity threats are not systematically discussed.</t>
  </si>
  <si>
    <t>QA7 evidence: pp. 3–13</t>
  </si>
  <si>
    <t>Strong coordinator assumptions and compromised-group behavior.</t>
  </si>
  <si>
    <t>Open challenge follows the author's future-work recommendation: Improve the system's access-control management.</t>
  </si>
  <si>
    <t>Improve the system's access-control management.</t>
  </si>
  <si>
    <t>QA7 evidence: p. 10, Security discussion</t>
  </si>
  <si>
    <t>Future development is identified.</t>
  </si>
  <si>
    <t>Reviewer synthesis from author-stated gaps: incomplete lifecycle/tooling/language automation; transition from research evidence to operational/industrial deployment.</t>
  </si>
  <si>
    <t>Integrate NB-IoT/LTE-M devices into a larger IoT testbed and extend the 5G-oriented deployment environment.</t>
  </si>
  <si>
    <t>Reviewer synthesis from author-stated limitations/future work: limited validation/integration in a relevant or operational environment.</t>
  </si>
  <si>
    <t>Source-derived future/limitation needs touch: LC5 Deployment/transition.</t>
  </si>
  <si>
    <t>TH3 — Software-engineering/lifecycle gap; TH6 — Operational/deployment barrier</t>
  </si>
  <si>
    <t>QA7 evidence: p. 26, Section 7</t>
  </si>
  <si>
    <t>NA — excluded secondary study; not included in primary-study gap synthesis.</t>
  </si>
  <si>
    <t>NA — excluded secondary study.</t>
  </si>
  <si>
    <t>pp. 1–3, Abstract/Introduction; secondary-study design (excluded from primary-study synthesis)</t>
  </si>
  <si>
    <t>UNC — eligibility remains under adjudication; primary-study limitation synthesis is not locked.</t>
  </si>
  <si>
    <t>UNC — source/eligibility issue prevents locked primary-study gap synthesis.</t>
  </si>
  <si>
    <t>UNC — eligibility remains under adjudication; gap/future-research synthesis is not locked.</t>
  </si>
  <si>
    <t>UNC — source/eligibility issue prevents reliable operational-barrier synthesis.</t>
  </si>
  <si>
    <t>UNC — engineering-domain relationship not locked while source/eligibility status is unresolved.</t>
  </si>
  <si>
    <t>UNC — source/eligibility issue prevents locked lifecycle-gap synthesis.</t>
  </si>
  <si>
    <t>UNC — source/eligibility hold; thematic coding not locked.</t>
  </si>
  <si>
    <t>Full supplied text; eligibility adjudication required before primary-study gap synthesis</t>
  </si>
  <si>
    <t>Assumptions and future industrial-platform integration are mentioned.</t>
  </si>
  <si>
    <t>Reviewer synthesis from author-stated gaps: transition from research evidence to operational/industrial deployment.</t>
  </si>
  <si>
    <t>Implement and integrate the scheme with existing industrial blockchain platforms.</t>
  </si>
  <si>
    <t>Source-derived future/limitation needs touch: LC3 Implementation; LC5 Deployment/transition.</t>
  </si>
  <si>
    <t>TH6 — Operational/deployment barrier</t>
  </si>
  <si>
    <t>QA7 evidence: p. 12, conclusion/future work</t>
  </si>
  <si>
    <t>Formal assumptions are explicit.</t>
  </si>
  <si>
    <t>QA7 evidence: pp. 5–13</t>
  </si>
  <si>
    <t>Protocol assumptions and future combinations/extensions are discussed.</t>
  </si>
  <si>
    <t>Open challenge follows the author's future-work recommendation: Explore combining PolyShard-style coded computing with X-shard's optimistic processing and develop more specific migration protocols.</t>
  </si>
  <si>
    <t>Explore combining PolyShard-style coded computing with X-shard's optimistic processing and develop more specific migration protocols.</t>
  </si>
  <si>
    <t>QA7 evidence: pp. 7–11</t>
  </si>
  <si>
    <t>Remaining O(n^3) behavior and malicious-attack performance degradation as unresolved limitations/future research.</t>
  </si>
  <si>
    <t>Reviewer synthesis from author-stated gaps: scaling/efficiency under broader loads or resource constraints; cost/hardware/resource feasibility.</t>
  </si>
  <si>
    <t>Reduce FIN-NG's cubic communication cost and improve JUMBO's performance under malicious attacks.</t>
  </si>
  <si>
    <t>Reviewer synthesis from author-stated limitations/future work: scale/performance/resource constraints; security/privacy/assurance constraints; cost or specialized resource/hardware overhead.</t>
  </si>
  <si>
    <t>TH1 — Scalability/performance barrier; TH9 — Economic/resource barrier</t>
  </si>
  <si>
    <t>QA7 evidence: p. 17, Conclusion</t>
  </si>
  <si>
    <t>Several threat models and attacks are analyzed.</t>
  </si>
  <si>
    <t>Reviewer synthesis from author-stated limitations/future work: security/privacy/assurance constraints.</t>
  </si>
  <si>
    <t>QA7 evidence: pp. 7–16</t>
  </si>
  <si>
    <t>Equipment-related limits on larger parameter settings and discuss protocol trade-offs and boundaries.</t>
  </si>
  <si>
    <t>Evaluate larger parameter settings when hardware permits and further investigate the protocol's practical trade-offs and operating boundaries.</t>
  </si>
  <si>
    <t>TH9 — Economic/resource barrier</t>
  </si>
  <si>
    <t>QA7 evidence: pp. 13–16</t>
  </si>
  <si>
    <t>Model-privacy leakage from full-model verification and discusses differential-privacy/homomorphic-encryption trade-offs for future work.</t>
  </si>
  <si>
    <t>Open challenge follows the author's future-work recommendation: Develop lightweight verification mechanisms that preserve model privacy and are robust to inference attacks, including privacy-enhancing alternatives.</t>
  </si>
  <si>
    <t>Develop lightweight verification mechanisms that preserve model privacy and are robust to inference attacks, including privacy-enhancing alternatives.</t>
  </si>
  <si>
    <t>Source-derived future/limitation needs touch: LC2 Architecture/design; LC4 Testing/verification.</t>
  </si>
  <si>
    <t>QA7 evidence: p. 15, Conclusion</t>
  </si>
  <si>
    <t>The conclusion explicitly bounds the current analysis to relay-chain performance and identifies full ecosystem/multi-chain/sharding extensions as future work.</t>
  </si>
  <si>
    <t>Reviewer synthesis from author-stated gaps: scaling/efficiency under broader loads or resource constraints; heterogeneous-chain/platform integration, state transfer or trust dependencies.</t>
  </si>
  <si>
    <t>Extend relay-chain analysis to the wider cross-chain ecosystem, including multiple chains and sharding configurations.</t>
  </si>
  <si>
    <t>Reviewer synthesis from author-stated limitations/future work: scale/performance/resource constraints; heterogeneous-platform/interoperability constraints.</t>
  </si>
  <si>
    <t>Reviewer synthesis: ED2 via cross-chain/heterogeneous integration performance.</t>
  </si>
  <si>
    <t>TH1 — Scalability/performance barrier; TH2 — Interoperability/integration barrier</t>
  </si>
  <si>
    <t>QA7 evidence: p. 15, Conclusion; Future Work: PDF p. 15; Conclusion/Future Work: PDF p. 15</t>
  </si>
  <si>
    <t>The benchmark's abstractions and security assumptions are discussed.</t>
  </si>
  <si>
    <t>QA7 evidence: pp. 10–13</t>
  </si>
  <si>
    <t>The current 20–80 vehicle scale and lists 500+ vehicles, privacy, cross-shard communication, long-term incentives and real deployment as future work.</t>
  </si>
  <si>
    <t>Reviewer synthesis from author-stated gaps: transition from research evidence to operational/industrial deployment; governance, incentives, compliance or multi-party coordination.</t>
  </si>
  <si>
    <t>Evaluate 500+ vehicle scenarios and real deployment; strengthen privacy protection, cross-shard coordination and long-term incentive stability.</t>
  </si>
  <si>
    <t>Reviewer synthesis from author-stated limitations/future work: limited validation/integration in a relevant or operational environment; security/privacy/assurance constraints; human/coordination/adoption constraints.</t>
  </si>
  <si>
    <t>Source-derived future/limitation needs touch: LC5 Deployment/transition; LC6 Operation/monitoring; LC8 Governance/retirement.</t>
  </si>
  <si>
    <t>TH6 — Operational/deployment barrier; TH7 — Organizational/governance/regulatory barrier</t>
  </si>
  <si>
    <t>The concluding remarks explicitly discuss denial-of-service exposure, common-knowledge assumptions and multiple open problems/extensions.</t>
  </si>
  <si>
    <t>Reviewer synthesis from author-stated gaps: heterogeneous-chain/platform integration, state transfer or trust dependencies.</t>
  </si>
  <si>
    <t>Develop mechanisms for dynamically constructing/propagating common knowledge and address open problems in atomic cross-chain transactions, including DoS exposure.</t>
  </si>
  <si>
    <t>Reviewer synthesis from author-stated limitations/future work: heterogeneous-platform/interoperability constraints.</t>
  </si>
  <si>
    <t>Reviewer synthesis: author-stated gaps remain primarily within Interoperability/cross-chain; no strong cross-domain dependency is explicit.</t>
  </si>
  <si>
    <t>TH2 — Interoperability/integration barrier</t>
  </si>
  <si>
    <t>QA7 evidence: pp. 9–10</t>
  </si>
  <si>
    <t>Privacy and platform-dependency limitations/future extensions are discussed, but empirical validity is not organized in a dedicated threats section.</t>
  </si>
  <si>
    <t>Add support for privacy-preserving blockchains and continue scaling/validating HyperService across more heterogeneous chains.</t>
  </si>
  <si>
    <t>Reviewer synthesis from author-stated limitations/future work: security/privacy/assurance constraints; heterogeneous-platform/interoperability constraints.</t>
  </si>
  <si>
    <t>TH2 — Interoperability/integration barrier; TH5 — Evaluation/evidence weakness</t>
  </si>
  <si>
    <t>The security/practicality analysis discusses relay-chain assumptions, confirmation security, DoS/extortion, hard-fork and TEE-related limitations and future extensions.</t>
  </si>
  <si>
    <t>Open challenge follows the author's future-work recommendation: Study alternative cryptocurrency-backed assets, including asymmetric and non-fungible forms, and extend practicality/security analysis.</t>
  </si>
  <si>
    <t>Study alternative cryptocurrency-backed assets, including asymmetric and non-fungible forms, and extend practicality/security analysis.</t>
  </si>
  <si>
    <t>QA7 evidence: security/discussion sections; Limitations: PDF p. 4</t>
  </si>
  <si>
    <t>That code generation is not finished and positions the current contribution as partial tooling/semantics support.</t>
  </si>
  <si>
    <t>Reviewer synthesis from author-stated gaps: incomplete lifecycle/tooling/language automation.</t>
  </si>
  <si>
    <t>Complete the unfinished code-generation capability and move the current semantics/tooling toward a fuller executable development workflow.</t>
  </si>
  <si>
    <t>Reviewer synthesis: ED3 via integration tooling/deployment support.</t>
  </si>
  <si>
    <t>Source-derived future/limitation needs touch: LC3 Implementation.</t>
  </si>
  <si>
    <t>TH3 — Software-engineering/lifecycle gap</t>
  </si>
  <si>
    <t>QA7 evidence: p. 3, Conclusion</t>
  </si>
  <si>
    <t>Security discussion covers dishonest validators/intermediaries, Sybil concerns, selection assumptions and further cost/voting/blockchain-support limitations.</t>
  </si>
  <si>
    <t>Reviewer synthesis from author-stated gaps: heterogeneous-chain/platform integration, state transfer or trust dependencies; cost/hardware/resource feasibility.</t>
  </si>
  <si>
    <t>Reduce cross-chain call costs and strengthen validator/intermediary selection, voting and broader blockchain support.</t>
  </si>
  <si>
    <t>Reviewer synthesis from author-stated limitations/future work: heterogeneous-platform/interoperability constraints; cost or specialized resource/hardware overhead.</t>
  </si>
  <si>
    <t>Reviewer synthesis: ED1 via cross-chain performance/resource efficiency.</t>
  </si>
  <si>
    <t>TH2 — Interoperability/integration barrier; TH9 — Economic/resource barrier</t>
  </si>
  <si>
    <t>QA7 evidence: pp. 8–11</t>
  </si>
  <si>
    <t>UNC — supplied source is a TechRxiv preprint rather than the peer-reviewed Version of Record; limitation coding is not locked.</t>
  </si>
  <si>
    <t>UNC — supplied source is a preprint rather than the peer-reviewed Version of Record; future-research coding is not locked.</t>
  </si>
  <si>
    <t>Supplied TechRxiv preprint; peer-reviewed Version of Record required</t>
  </si>
  <si>
    <t>No explicit author-stated study limitation or threats-to-validity discussion identified in the supplied full text.</t>
  </si>
  <si>
    <t>Full text; Conclusion: PDF p. 11</t>
  </si>
  <si>
    <t>UNC — only the first page/abstract is available; author-stated limitations cannot be assessed from the incomplete source.</t>
  </si>
  <si>
    <t>UNC — complete full text is unavailable; future-research recommendations cannot be assessed reliably.</t>
  </si>
  <si>
    <t>p. 1/abstract only; complete full text required</t>
  </si>
  <si>
    <t>Cross-chain state verification and Oracle-gateway trust dependency as future improvement areas.</t>
  </si>
  <si>
    <t>Optimize cross-chain state verification and reduce trust dependency on the Oracle gateway.</t>
  </si>
  <si>
    <t>QA7 evidence: p. 4, Conclusion</t>
  </si>
  <si>
    <t>Extend the gateway solution with atomic swaps and token transfers across multiple blockchains.</t>
  </si>
  <si>
    <t>Full text; Conclusion: PDF p. 2</t>
  </si>
  <si>
    <t>The conclusion identifies deployment on public blockchains such as Ethereum as future work.</t>
  </si>
  <si>
    <t>Deploy EDCA on a public blockchain such as Ethereum to assess efficiency and scalability in that environment.</t>
  </si>
  <si>
    <t>Reviewer synthesis from author-stated limitations/future work: limited validation/integration in a relevant or operational environment; scale/performance/resource constraints.</t>
  </si>
  <si>
    <t>Reviewer synthesis: ED1 via cross-chain performance/resource efficiency; ED3 via integration tooling/deployment support.</t>
  </si>
  <si>
    <t>QA7 evidence: p. 12, Conclusion</t>
  </si>
  <si>
    <t>Full text; Conclusion: PDF p. 14</t>
  </si>
  <si>
    <t>Lack of transaction privacy and limited current support for heterogeneous/non-EVM chains and L2 systems.</t>
  </si>
  <si>
    <t>Improve transaction privacy and extend EquiLink to heterogeneous non-EVM chains and Layer-2 rollups.</t>
  </si>
  <si>
    <t>QA7 evidence: p. 13, Section VIII-A; Limitations: PDF p. 13; Future Work: PDF p. 13</t>
  </si>
  <si>
    <t>Full text; Conclusion: PDF p. 12</t>
  </si>
  <si>
    <t>UNC — actual PS040 (ShiftHub) full text is missing.</t>
  </si>
  <si>
    <t>Actual PS040 (ShiftHub) full text missing; supplied PS040-named file corresponds to PS039</t>
  </si>
  <si>
    <t>Homogeneous-chain scope, trusted setup/key rotation, auditability and richer privacy as deployment limitations/extensions.</t>
  </si>
  <si>
    <t>Reviewer synthesis from author-stated gaps: heterogeneous-chain/platform integration, state transfer or trust dependencies; transition from research evidence to operational/industrial deployment; governance, incentives, compliance or multi-party coordination.</t>
  </si>
  <si>
    <t>Support heterogeneous cross-chain scenarios and develop privacy-preserving regulatory-audit mechanisms with stronger auditability.</t>
  </si>
  <si>
    <t>Reviewer synthesis from author-stated limitations/future work: limited validation/integration in a relevant or operational environment; security/privacy/assurance constraints; heterogeneous-platform/interoperability constraints; human/coordination/adoption constraints.</t>
  </si>
  <si>
    <t>Source-derived future/limitation needs touch: LC4 Testing/verification; LC5 Deployment/transition; LC8 Governance/retirement.</t>
  </si>
  <si>
    <t>TH2 — Interoperability/integration barrier; TH6 — Operational/deployment barrier; TH7 — Organizational/governance/regulatory barrier</t>
  </si>
  <si>
    <t>QA7 evidence: p. 14 onward, Section VI</t>
  </si>
  <si>
    <t>Reviewer synthesis from author-stated gaps: incomplete lifecycle/tooling/language automation; developer/usability/adoption constraints.</t>
  </si>
  <si>
    <t>Strengthen blockchain-oriented software development through better testing, large-team collaboration and smart-contract development support.</t>
  </si>
  <si>
    <t>Reviewer synthesis from author-stated limitations/future work: human/coordination/adoption constraints.</t>
  </si>
  <si>
    <t>Reviewer synthesis: author-stated gaps remain primarily within Blockchain-oriented software engineering; no strong cross-domain dependency is explicit.</t>
  </si>
  <si>
    <t>TH3 — Software-engineering/lifecycle gap; TH10 — Human/usability/stakeholder barrier</t>
  </si>
  <si>
    <t>Full text; Conclusion: PDF p. 1</t>
  </si>
  <si>
    <t>Survey validity is limited by participant selection, an approximately 13% response rate and possible non-response bias; respondents mainly represent leading blockchain projects, so smaller-project challenges may differ.</t>
  </si>
  <si>
    <t>Develop fuzzers for additional blockchain systems and automate documentation generation to reduce newcomer/developer barriers.</t>
  </si>
  <si>
    <t>TH3 — Software-engineering/lifecycle gap; TH5 — Evaluation/evidence weakness; TH10 — Human/usability/stakeholder barrier</t>
  </si>
  <si>
    <t>QA7 evidence: Threats to Validity section; Threats to Validity: PDF p. 29</t>
  </si>
  <si>
    <t>Evidence is based on 14 developers and is scoped primarily to Ethereum/Solidity, limiting broader generalization.</t>
  </si>
  <si>
    <t>Reviewer synthesis from author-stated gaps: developer/usability/adoption constraints.</t>
  </si>
  <si>
    <t>Broaden empirical validation beyond the small Ethereum/Solidity developer sample and assess software-engineering practices across more blockchain projects/platforms.</t>
  </si>
  <si>
    <t>TH5 — Evaluation/evidence weakness; TH10 — Human/usability/stakeholder barrier</t>
  </si>
  <si>
    <t>QA7 evidence: p. 15–16, Threats to Validity</t>
  </si>
  <si>
    <t>Expand ChainIDE to additional public/consortium blockchain systems and investigate cloud IDE support for consortium-oriented financial/banking applications.</t>
  </si>
  <si>
    <t>The work is explicitly preliminary; model-based testing/tool constraints remain, and industrial validation has not yet been established.</t>
  </si>
  <si>
    <t>Extend smart-contract testing with model-based testing and validate the proposed approach in industrial settings.</t>
  </si>
  <si>
    <t>Source-derived future/limitation needs touch: LC2 Architecture/design; LC3 Implementation; LC4 Testing/verification; LC5 Deployment/transition.</t>
  </si>
  <si>
    <t>QA7 evidence: pp. 18–20; Future Work: PDF p. 18</t>
  </si>
  <si>
    <t>Reviewer synthesis from author-stated gaps: scaling/efficiency under broader loads or resource constraints; incomplete lifecycle/tooling/language automation; governance, incentives, compliance or multi-party coordination.</t>
  </si>
  <si>
    <t>Develop contract-oriented architectures that can support large-scale, complex service applications and coordination across multiple development teams.</t>
  </si>
  <si>
    <t>Reviewer synthesis from author-stated limitations/future work: scale/performance/resource constraints; human/coordination/adoption constraints.</t>
  </si>
  <si>
    <t>Reviewer synthesis: ED1 via gas/performance/resource concerns.</t>
  </si>
  <si>
    <t>TH1 — Scalability/performance barrier; TH3 — Software-engineering/lifecycle gap; TH7 — Organizational/governance/regulatory barrier</t>
  </si>
  <si>
    <t>Full text</t>
  </si>
  <si>
    <t>The conclusion explicitly cautions that the large-scale gas comparison cannot support definitive absolute conclusions and identifies further work.</t>
  </si>
  <si>
    <t>Extend the MDE approach to support more comprehensive access-control policies across generated smart contracts.</t>
  </si>
  <si>
    <t>Reviewer synthesis from author-stated limitations/future work: scale/performance/resource constraints; cost or specialized resource/hardware overhead.</t>
  </si>
  <si>
    <t>QA7 evidence: p. 24; Future Work: PDF p. 23; Conclusion/Future Work: PDF p. 23</t>
  </si>
  <si>
    <t>Threats include dataset-selection bias, subjective interpretation of topic-model outputs and possible errors when mapping architectural information.</t>
  </si>
  <si>
    <t>Further characterize blockchain-community contributors, including contributor evolution, participation patterns and participation motivations.</t>
  </si>
  <si>
    <t>Source-derived future/limitation needs touch: LC2 Architecture/design; LC7 Maintenance/evolution.</t>
  </si>
  <si>
    <t>TH3 — Software-engineering/lifecycle gap; TH5 — Evaluation/evidence weakness</t>
  </si>
  <si>
    <t>QA7 evidence: p. 15; Threats to Validity: PDF p. 15</t>
  </si>
  <si>
    <t>The conclusion identifies remaining methodology-development and broader-platform work.</t>
  </si>
  <si>
    <t>Develop a more expressive formal system and an extensible curated library of reusable specified Solidity code samples.</t>
  </si>
  <si>
    <t>QA7 evidence: p. 16</t>
  </si>
  <si>
    <t>The conclusion identifies continued domain-library expansion, execution monitoring and correctness verification as ongoing work.</t>
  </si>
  <si>
    <t>Expand the domain library and strengthen execution monitoring and correctness verification.</t>
  </si>
  <si>
    <t>Source-derived future/limitation needs touch: LC3 Implementation; LC4 Testing/verification; LC6 Operation/monitoring.</t>
  </si>
  <si>
    <t>QA7 evidence: p. 15</t>
  </si>
  <si>
    <t>The authors explicitly acknowledge poor coverage for 2015–2016 and uneven representation of later years, but provide no formal threats-to-validity analysis.</t>
  </si>
  <si>
    <t>Collect additional design-pattern samples for poorly represented years, especially 2015–2016.</t>
  </si>
  <si>
    <t>Source-derived future/limitation needs touch: LC2 Architecture/design; LC3 Implementation.</t>
  </si>
  <si>
    <t>QA7 evidence: pp. 2 and 4; Future Work: PDF p. 4; Conclusion/Future Work: PDF p. 4</t>
  </si>
  <si>
    <t>Single-case evaluation, usability-study needs, cross-language static-analysis limitations and incomplete lifecycle automation.</t>
  </si>
  <si>
    <t>Conduct broader usability studies, improve cross-language static analysis and automate more of the blockchain application lifecycle.</t>
  </si>
  <si>
    <t>QA7 evidence: pp. 25–26</t>
  </si>
  <si>
    <t>Unsupported BPMN elements, open long-running transaction semantics, PoC status and scalability/global-clock concerns.</t>
  </si>
  <si>
    <t>Resolve unsupported BPMN elements and long-running-transaction semantics; improve scalability/global-clock handling and the treatment of off-chain storage/documentation.</t>
  </si>
  <si>
    <t>TH1 — Scalability/performance barrier; TH3 — Software-engineering/lifecycle gap</t>
  </si>
  <si>
    <t>QA7 evidence: pp. 24–25</t>
  </si>
  <si>
    <t>Threats concern vulnerability detection, dataset construction, labelling validity and generalizability beyond the evaluated data.</t>
  </si>
  <si>
    <t>Use the ground-truth dataset for further detector evaluation and pursue additional research opportunities identified from the empirical findings.</t>
  </si>
  <si>
    <t>QA7 evidence: p. 35 onward; Threats to Validity: PDF p. 35</t>
  </si>
  <si>
    <t>Future work explicitly identifies the need for more use cases, unit tests, static analyzers, fuzzing, formal verification, prompting methods and larger models.</t>
  </si>
  <si>
    <t>Open challenge follows the author's future-work recommendation: Expand use cases and tests and combine LLM synthesis with static analysis, fuzzing, formal verification, improved prompting and larger models.</t>
  </si>
  <si>
    <t>Expand use cases and tests and combine LLM synthesis with static analysis, fuzzing, formal verification, improved prompting and larger models.</t>
  </si>
  <si>
    <t>QA7 evidence: p. 4; Future Work: PDF p. 4</t>
  </si>
  <si>
    <t>The heuristics may produce false positives/false negatives; revert-related cases are excluded and the findings may not generalize to all contracts.</t>
  </si>
  <si>
    <t>Reviewer synthesis from author-stated gaps: security/privacy/correctness assurance and vulnerability coverage; developer/usability/adoption constraints.</t>
  </si>
  <si>
    <t>Improve detection of cases where implicit error handling is adequate and conduct additional empirical/human studies to inform Solidity framework design.</t>
  </si>
  <si>
    <t>Reviewer synthesis from author-stated limitations/future work: security/privacy/assurance constraints; human/coordination/adoption constraints.</t>
  </si>
  <si>
    <t>Reviewer synthesis: ED4 via testing, verification, security or correctness.</t>
  </si>
  <si>
    <t>TH4 — Smart-contract assurance gap; TH5 — Evaluation/evidence weakness; TH10 — Human/usability/stakeholder barrier</t>
  </si>
  <si>
    <t>QA7 evidence: p. 10; Threats to Validity: PDF p. 10</t>
  </si>
  <si>
    <t>Overcrowded behavioral diagrams, unsupported statements, absent testing/exception-handling features and need for further validation.</t>
  </si>
  <si>
    <t>Add currently unsupported statements, testing and exception-handling features and conduct further validation/usability evaluation of the abstraction.</t>
  </si>
  <si>
    <t>QA7 evidence: p. 9</t>
  </si>
  <si>
    <t>Threats include possible evolution-chain misclassification, code homogeneity, incomplete detection-tool coverage and dataset-dependent conclusions.</t>
  </si>
  <si>
    <t>Use evolution information to support better contract development and improve analysis of harder logic-related vulnerabilities.</t>
  </si>
  <si>
    <t>Source-derived future/limitation needs touch: LC3 Implementation; LC4 Testing/verification; LC7 Maintenance/evolution.</t>
  </si>
  <si>
    <t>QA7 evidence: pp. 18–19; Threats to Validity: PDF p. 18</t>
  </si>
  <si>
    <t>Threats include sensitivity to NiCad configuration, qualitative-coding bias and external-validity limits.</t>
  </si>
  <si>
    <t>QA7 evidence: p. 11; Threats to Validity: PDF p. 11</t>
  </si>
  <si>
    <t>The study explicitly excludes consensus changes, blockchain attacks, inter-microservice security and tunneling from its scope.</t>
  </si>
  <si>
    <t>Investigate excluded software-development concerns such as consensus changes, blockchain attacks, inter-microservice security and tunneling, and address the broader future research questions identified by the study.</t>
  </si>
  <si>
    <t>QA7 evidence: Sec. VII-A; Delimitation: PDF p. 13</t>
  </si>
  <si>
    <t>Data completeness, proxy-pattern scope, cross-platform coverage and scalability challenges, with planned enhancements.</t>
  </si>
  <si>
    <t>Improve data completeness, support additional proxy patterns/platforms and strengthen EvoChain scalability and cross-platform coverage.</t>
  </si>
  <si>
    <t>Reviewer synthesis: ED1 via gas/performance/resource concerns; ED2 via multi-platform/cross-chain development support.</t>
  </si>
  <si>
    <t>QA7 evidence: limitations/future-enhancement discussion; Limitations: PDF p. 3; Future Work: PDF p. 3</t>
  </si>
  <si>
    <t>Participant bias, unsupported contract situations and further integration/automation needs.</t>
  </si>
  <si>
    <t>Reviewer synthesis from author-stated gaps: incomplete lifecycle/tooling/language automation; governance, incentives, compliance or multi-party coordination; developer/usability/adoption constraints.</t>
  </si>
  <si>
    <t>Recruit a larger and more diverse developer sample, improve study-process recording, add participation incentives and further automate/integrate SmartUpdater.</t>
  </si>
  <si>
    <t>Source-derived future/limitation needs touch: LC3 Implementation; LC7 Maintenance/evolution; LC8 Governance/retirement.</t>
  </si>
  <si>
    <t>TH3 — Software-engineering/lifecycle gap; TH5 — Evaluation/evidence weakness; TH7 — Organizational/governance/regulatory barrier; TH10 — Human/usability/stakeholder barrier</t>
  </si>
  <si>
    <t>QA7 evidence: Limitations And Future Directions; Limitations: PDF p. 16</t>
  </si>
  <si>
    <t>Provisional (preprint): the authors include a 'Known Limitations and Improvements' discussion, but the limitation coding is not locked until the peer-reviewed Version of Record is supplied.</t>
  </si>
  <si>
    <t>Provisional (preprint): enhance automation with NLP, improve cross-stage consistency and extend support to more blockchain platforms.</t>
  </si>
  <si>
    <t>Provisional (preprint): TH3 — Software-engineering/lifecycle gap</t>
  </si>
  <si>
    <t>QA7 evidence: Sec. 5.2; Limitations: PDF p. 20; Known Limitations and Improvements: Sec. 5.2 (supplied preprint; provisional)</t>
  </si>
  <si>
    <t>The paper discusses false positives, bounded path exploration and detector limitations.</t>
  </si>
  <si>
    <t>Reviewer synthesis from author-stated gaps: incomplete lifecycle/tooling/language automation; security/privacy/correctness assurance and vulnerability coverage.</t>
  </si>
  <si>
    <t>Use deeper analyses to resolve difficult cases and evolve Oyente toward a more interactive debugging workflow.</t>
  </si>
  <si>
    <t>Reviewer synthesis: ED3 via developer tooling, testing and lifecycle integration.</t>
  </si>
  <si>
    <t>TH3 — Software-engineering/lifecycle gap; TH4 — Smart-contract assurance gap</t>
  </si>
  <si>
    <t>QA7 evidence: Secs. 5–7</t>
  </si>
  <si>
    <t>Limitations of Securify and of its compliance/violation pattern approach, including unsupported numerical properties and incompleteness tradeoffs.</t>
  </si>
  <si>
    <t>Reviewer synthesis from author-stated gaps: security/privacy/correctness assurance and vulnerability coverage; governance, incentives, compliance or multi-party coordination.</t>
  </si>
  <si>
    <t>Add numerical analysis to improve Securify precision and support numerical properties.</t>
  </si>
  <si>
    <t>Reviewer synthesis: author-stated gaps remain primarily within Smart-contract security/verification/usability; no strong cross-domain dependency is explicit.</t>
  </si>
  <si>
    <t>Source-derived future/limitation needs touch: LC8 Governance/retirement.</t>
  </si>
  <si>
    <t>TH4 — Smart-contract assurance gap; TH7 — Organizational/governance/regulatory barrier</t>
  </si>
  <si>
    <t>QA7 evidence: Limitations subsections; Limitations: PDF p. 11</t>
  </si>
  <si>
    <t>Unsupported Solidity constructs, runtime parameters, virtual functions, assembly and unsupported liveness/trace properties.</t>
  </si>
  <si>
    <t>Reviewer synthesis from author-stated gaps: security/privacy/correctness assurance and vulnerability coverage.</t>
  </si>
  <si>
    <t>Extend ZEUS to more Solidity constructs/runtime conditions and to trace/hyper-properties.</t>
  </si>
  <si>
    <t>Source-derived future/limitation needs touch: LC6 Operation/monitoring.</t>
  </si>
  <si>
    <t>TH4 — Smart-contract assurance gap</t>
  </si>
  <si>
    <t>QA7 evidence: Limitations subsection; Limitations: PDF p. 10</t>
  </si>
  <si>
    <t>Extend verification beyond logical correctness to model malicious user behavior and identify additional potential smart-contract vulnerabilities.</t>
  </si>
  <si>
    <t>TH4 — Smart-contract assurance gap; TH10 — Human/usability/stakeholder barrier</t>
  </si>
  <si>
    <t>Threats include the loop-unrolling threshold and representativeness of the evaluated dataset.</t>
  </si>
  <si>
    <t>Investigate incremental/compositional reentrancy analysis and combine static analysis with dynamic techniques to cover more vulnerability types.</t>
  </si>
  <si>
    <t>TH4 — Smart-contract assurance gap; TH5 — Evaluation/evidence weakness</t>
  </si>
  <si>
    <t>QA7 evidence: Secs. 6.6.2–6.6.3; Limitations: PDF p. 2; Threats to Validity: PDF p. 11</t>
  </si>
  <si>
    <t>Threats include baseline reimplementation differences and dataset/labelling validity.</t>
  </si>
  <si>
    <t>Source-derived future/limitation needs touch: LC3 Implementation; LC4 Testing/verification.</t>
  </si>
  <si>
    <t>QA7 evidence: Sec. V; Threats to Validity: PDF p. 9</t>
  </si>
  <si>
    <t>Incomplete library modelling, manually summarized vulnerability patterns and immature Solidity-to-Wasm support.</t>
  </si>
  <si>
    <t>Extend WANA to additional Wasm-targeting applications and broaden vulnerability-pattern/library support.</t>
  </si>
  <si>
    <t>Source-derived future/limitation needs touch: LC2 Architecture/design; LC3 Implementation; LC4 Testing/verification.</t>
  </si>
  <si>
    <t>QA7 evidence: Sec. IV-E; Threats to Validity: PDF p. 8; Future Work: PDF p. 11; Conclusion/Future Work: PDF p. 11</t>
  </si>
  <si>
    <t>The conclusion identifies future extensions and supported-vulnerability limitations.</t>
  </si>
  <si>
    <t>Broaden vulnerability-type coverage and design additional detection algorithms.</t>
  </si>
  <si>
    <t>QA7 evidence: Sec. V; Future Work: PDF p. 9; Conclusion/Future Work: PDF p. 9</t>
  </si>
  <si>
    <t>Limitations including contract-level rather than location-level output, varying vulnerability performance and limited dataset scale.</t>
  </si>
  <si>
    <t>Reviewer synthesis from author-stated gaps: scaling/efficiency under broader loads or resource constraints; security/privacy/correctness assurance and vulnerability coverage.</t>
  </si>
  <si>
    <t>Improve localization from contract-level to vulnerability-location output, expand datasets and improve performance across vulnerability classes.</t>
  </si>
  <si>
    <t>Reviewer synthesis from author-stated limitations/future work: scale/performance/resource constraints; security/privacy/assurance constraints.</t>
  </si>
  <si>
    <t>Reviewer synthesis: ED1 via analysis scalability, runtime or resource cost.</t>
  </si>
  <si>
    <t>TH1 — Scalability/performance barrier; TH4 — Smart-contract assurance gap; TH5 — Evaluation/evidence weakness</t>
  </si>
  <si>
    <t>QA7 evidence: end of Sec. 4 / Sec. 5</t>
  </si>
  <si>
    <t>A dedicated discussion lists limitations involving parameter sensitivity, SMT timeout randomness and OS-fork scheduling overhead, with planned improvements.</t>
  </si>
  <si>
    <t>Reduce sensitivity to tuning parameters, SMT timeout randomness and OS-level fork/scheduling overhead.</t>
  </si>
  <si>
    <t>QA7 evidence: Sec. 8</t>
  </si>
  <si>
    <t>Threats cover implementation choices, external generalization and construct/measurement validity.</t>
  </si>
  <si>
    <t>Explore more interpretable machine learning and extend ReVulDL to additional vulnerability types.</t>
  </si>
  <si>
    <t>QA7 evidence: Sec. 6; Threats to Validity: PDF p. 11; Future Work: PDF p. 11; Conclusion/Future Work: PDF p. 11</t>
  </si>
  <si>
    <t>Limitations of opcode-only representations and insufficient use of raw contextual, syntactic and semantic information.</t>
  </si>
  <si>
    <t>Open challenge follows the author's future-work recommendation: Use richer raw contextual, syntactic and semantic information beyond opcode-only representations.</t>
  </si>
  <si>
    <t>Use richer raw contextual, syntactic and semantic information beyond opcode-only representations.</t>
  </si>
  <si>
    <t>QA7 evidence: Sec. 7</t>
  </si>
  <si>
    <t>Limitations in supported vulnerability types and plans expansion to timestamp, integer-overflow and multi-vulnerability cases.</t>
  </si>
  <si>
    <t>Extend detection to timestamp dependency, integer-overflow and multi-vulnerability cases.</t>
  </si>
  <si>
    <t>QA7 evidence: Sec. 5</t>
  </si>
  <si>
    <t>The tool has three stated technical limitations; external/internal validity is further constrained by dataset size and manual-inspection bias.</t>
  </si>
  <si>
    <t>Address the three stated tool limitations and extend AChecker support, including tx.origin-related cases.</t>
  </si>
  <si>
    <t>QA7 evidence: Secs. V-B–V-C; Limitations: PDF p. 11; Threats to Validity: PDF p. 11</t>
  </si>
  <si>
    <t>Benchmark-labeling errors, bypass risk and plans to improve SCGraph quality, normalization and vulnerability coverage.</t>
  </si>
  <si>
    <t>Improve semantic-contract-graph quality, add normalization and broaden vulnerability coverage.</t>
  </si>
  <si>
    <t>QA7 evidence: Sec. VI; Future Work: PDF p. 10; Conclusion/Future Work: PDF p. 10</t>
  </si>
  <si>
    <t>Threats include dataset subjectivity/injection bias, limited vulnerability classes, class imbalance, hyperparameter sensitivity and manually defined slice criteria.</t>
  </si>
  <si>
    <t>Evaluate additional graph representations, vulnerability types and imbalance/hyperparameter settings while reducing manual slice-criteria bias.</t>
  </si>
  <si>
    <t>QA7 evidence: Sec. 7; Threats to Validity: PDF p. 2</t>
  </si>
  <si>
    <t>The conclusion acknowledges that evaluation is limited to reentrancy and proposes extension to other vulnerability types.</t>
  </si>
  <si>
    <t>Develop a multimodal model combining DistilBERT with graph representations and evaluate additional vulnerability classes.</t>
  </si>
  <si>
    <t>The conclusion acknowledges that VeriSolid is presently limited to Solidity/EVM-compatible blockchains and identifies unsupported languages/hyper-properties as future extensions.</t>
  </si>
  <si>
    <t>Open challenge follows the author's future-work recommendation: Extend automated model checking to other smart-contract languages and support additional properties/hyper-properties beyond the current Solidity/EVM scope.</t>
  </si>
  <si>
    <t>Extend automated model checking to other smart-contract languages and support additional properties/hyper-properties beyond the current Solidity/EVM scope.</t>
  </si>
  <si>
    <t>QA7 evidence: PDF p. 17</t>
  </si>
  <si>
    <t>Open challenge follows the author's future-work recommendation: Explore applying the cross-modality mutual-learning approach to other programs that have paired source-code and bytecode modalities.</t>
  </si>
  <si>
    <t>Explore applying the cross-modality mutual-learning approach to other programs that have paired source-code and bytecode modalities.</t>
  </si>
  <si>
    <t>QA7 evidence: Full text; conclusion on PDF p. 8</t>
  </si>
  <si>
    <t>Graph-representation limits, compiler/tool failures, label subjectivity, unlabelled data and the need to map bytecode detections back to source lines.</t>
  </si>
  <si>
    <t>Enrich heterogeneous contract graphs with more dependency/call relations, improve learning under few-shot/inconsistent labels and map detections back to source lines.</t>
  </si>
  <si>
    <t>QA7 evidence: PDF p. 11; Limitations: PDF p. 10; Future Work: PDF p. 11</t>
  </si>
  <si>
    <t>Threats include hyperparameter uncertainty and limited external validity because only two vulnerability types are evaluated.</t>
  </si>
  <si>
    <t>Evaluate PSCVFinder under additional settings and vulnerability types to test generalizability.</t>
  </si>
  <si>
    <t>QA7 evidence: PDF p. 10; Threats to Validity: PDF p. 10</t>
  </si>
  <si>
    <t>QA7 evidence: Full text</t>
  </si>
  <si>
    <t>Investigate additional Hyperledger Fabric vulnerabilities and additional chaincode languages.</t>
  </si>
  <si>
    <t>QA7 evidence: PDF p. 7</t>
  </si>
  <si>
    <t>Open challenge follows the author's future-work recommendation: Integrate dynamic-analysis techniques to complement the current static-analysis approach.</t>
  </si>
  <si>
    <t>Integrate dynamic-analysis techniques to complement the current static-analysis approach.</t>
  </si>
  <si>
    <t>Threats include restricted extensibility, subjective data construction and other internal/external validity concerns.</t>
  </si>
  <si>
    <t>Expand data-construction rules and datasets to cover more vulnerability types.</t>
  </si>
  <si>
    <t>QA7 evidence: PDF pp. 19–20; Future Work: PDF p. 21; Conclusion/Future Work: PDF p. 21</t>
  </si>
  <si>
    <t>Extendibility and limitations, including graph scale, data imbalance and representation limitations, and proposes concrete future improvements.</t>
  </si>
  <si>
    <t>Add richer graph edge types and improve robustness to graph scale, data imbalance and representation limitations.</t>
  </si>
  <si>
    <t>TH1 — Scalability/performance barrier; TH5 — Evaluation/evidence weakness</t>
  </si>
  <si>
    <t>QA7 evidence: PDF p. 9; Future Work: PDF p. 9</t>
  </si>
  <si>
    <t>False-positive/false-negative causes and acknowledges static-analysis limitations for runtime state and cross-contract invocations.</t>
  </si>
  <si>
    <t>Combine ContractSentry with dynamic analysis to detect cross-contract/runtime vulnerabilities more comprehensively.</t>
  </si>
  <si>
    <t>Source-derived future/limitation needs touch: LC4 Testing/verification; LC6 Operation/monitoring.</t>
  </si>
  <si>
    <t>QA7 evidence: PDF pp. 25–29</t>
  </si>
  <si>
    <t>Limitations of test oracles and shows concrete false-positive scenarios caused by business logic and blockchain state semantics.</t>
  </si>
  <si>
    <t>Integrate realistic business logic and execution-state semantics to improve fuzzing/oracle effectiveness and reduce false positives.</t>
  </si>
  <si>
    <t>QA7 evidence: PDF pp. 21–22; Limitations: PDF p. 21</t>
  </si>
  <si>
    <t>A threats-to-validity section and separate discussion explicitly address seed sensitivity, manual vulnerability typing, symbolic-address/state limitations and oracle limitations.</t>
  </si>
  <si>
    <t>Improve symbolic-address handling with pointer analysis and strengthen state/oracle handling and seed robustness.</t>
  </si>
  <si>
    <t>QA7 evidence: PDF pp. 12–13; Limitations: PDF p. 3; Threats to Validity: PDF p. 12</t>
  </si>
  <si>
    <t>Limitations include LLM time/computation cost, extensibility constraints, hallucination risk and possible data leakage; mitigation is discussed but these risks remain relevant.</t>
  </si>
  <si>
    <t>Reviewer synthesis from author-stated gaps: security/privacy/correctness assurance and vulnerability coverage; cost/hardware/resource feasibility.</t>
  </si>
  <si>
    <t>Reviewer synthesis from author-stated limitations/future work: security/privacy/assurance constraints; cost or specialized resource/hardware overhead.</t>
  </si>
  <si>
    <t>TH4 — Smart-contract assurance gap; TH9 — Economic/resource barrier</t>
  </si>
  <si>
    <t>QA7 evidence: PDF p. 12; Threats to Validity: PDF p. 12</t>
  </si>
  <si>
    <t>Second-pass evidence verification supports the S3 engineering-domain classification; consensus retains ED1.</t>
  </si>
  <si>
    <t>pp. 1–2, Abstract/Introduction; pp. 4–7, Section 3</t>
  </si>
  <si>
    <t>AI-assisted R2 evidence verification; human R2 sign-off pending</t>
  </si>
  <si>
    <t>2026-08-10</t>
  </si>
  <si>
    <t>Study design and evaluation evidence support the research-type classification; consensus retains RT2.</t>
  </si>
  <si>
    <t>pp. 1–2, Abstract/Introduction; pp. 7–12, Sections 4–5</t>
  </si>
  <si>
    <t>The principal reported artifact/contribution supports the contribution-type classification; consensus retains CT9.</t>
  </si>
  <si>
    <t>pp. 4–7, Section 3</t>
  </si>
  <si>
    <t>The primary lifecycle phase evidenced in the study supports LC4; consensus retained.</t>
  </si>
  <si>
    <t>pp. 4–7, Section 3; pp. 7–12, Sections 4–5</t>
  </si>
  <si>
    <t>The reported evaluation design supports EV5; consensus retained.</t>
  </si>
  <si>
    <t>pp. 7–12, Sections 4–5; pp. 6–8, Sections 3.4–4</t>
  </si>
  <si>
    <t>A demonstrable technology/system/intervention is evaluated, so EM0–EM7 is applicable under the S3 rules.</t>
  </si>
  <si>
    <t>Evidence-maturity decision verified under EM0–EM7; consensus retains EM4. Implemented technology evaluated under realistic experimental workloads, datasets, scale, configurations, or heterogeneous infrastructure; no organizational pilot is demonstrated. Evidence: The study defines repeatable benchmark workloads and evaluates Ethereum, Parity and Hyperledger through a consistent framework. YCSB, SmallBank, real Ethereum contracts and layer-specific workloads are documented together with exp</t>
  </si>
  <si>
    <t>No — NR</t>
  </si>
  <si>
    <t>Full-text verification found no explicit author-reported TRL / Technology Readiness Level statement; consensus is No / NR.</t>
  </si>
  <si>
    <t>4–5</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</si>
  <si>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BLOCKBENCH architecture, connector interface, three software-stack layers, macrobenchmarks and microbenchmarks are described in detail. The study defines repeatable be</t>
  </si>
  <si>
    <t>pp. 4–7, Section 3; pp. 7–12, Sections 4–5; pp. 6–8, Sections 3.4–4; pp. 12–13, Discussion/Conclusion</t>
  </si>
  <si>
    <t>Scope was checked against the technology actually demonstrated/evaluated; consensus retains Component/Subsystem.</t>
  </si>
  <si>
    <t>pp. 4–7, Section 3; pp. 6–8, Sections 3.4–4</t>
  </si>
  <si>
    <t>pp. 1–2, Abstract/Introduction; pp. 2–10, Sections 2–4</t>
  </si>
  <si>
    <t>pp. 1–2, Abstract/Introduction; pp. 10–13, Section 5</t>
  </si>
  <si>
    <t>The principal reported artifact/contribution supports the contribution-type classification; consensus retains CT4.</t>
  </si>
  <si>
    <t>pp. 2–10, Sections 2–4</t>
  </si>
  <si>
    <t>The primary lifecycle phase evidenced in the study supports LC2; consensus retained.</t>
  </si>
  <si>
    <t>pp. 2–10, Sections 2–4; pp. 10–13, Section 5</t>
  </si>
  <si>
    <t>The reported evaluation design supports EV4; consensus retained.</t>
  </si>
  <si>
    <t>pp. 10–13, Section 5; pp. 11–13, Section 5</t>
  </si>
  <si>
    <t>Evidence-maturity decision verified under EM0–EM7; consensus retains EM4. Implemented technology evaluated under realistic experimental workloads, datasets, scale, configurations, or heterogeneous infrastructure; no organizational pilot is demonstrated. Evidence: The paper implements Fabcoin and evaluates block size, CPU, storage, LAN/WAN scaling and gossip effects with clearly defined experiments. Evaluation describes deployment configurations, vCPU counts, block sizes, peer counts, data</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</si>
  <si>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Fabric architecture, membership, ordering, endorsement, validation, ledger, gossip, chaincode and configuration are described extensively. The paper implements Fabcoin a</t>
  </si>
  <si>
    <t>pp. 2–10, Sections 2–4; pp. 10–13, Section 5; pp. 11–13, Section 5; p. 14, Section 6</t>
  </si>
  <si>
    <t>Scope was checked against the technology actually demonstrated/evaluated; consensus retains Integrated System.</t>
  </si>
  <si>
    <t>pp. 2–10, Sections 2–4; pp. 11–13, Section 5</t>
  </si>
  <si>
    <t>p. 1, Abstract/Introduction; pp. 2–5, Sections II–III</t>
  </si>
  <si>
    <t>p. 1, Abstract/Introduction; pp. 5–7, Section IV</t>
  </si>
  <si>
    <t>pp. 2–5, Sections II–III</t>
  </si>
  <si>
    <t>pp. 2–5, Sections II–III; pp. 5–7, Section IV</t>
  </si>
  <si>
    <t>pp. 5–7, Section IV; p. 5, Section IV</t>
  </si>
  <si>
    <t>Evidence-maturity decision verified under EM0–EM7; consensus retains EM4. Implemented technology evaluated under realistic experimental workloads, datasets, scale, configurations, or heterogeneous infrastructure; no organizational pilot is demonstrated. Evidence: Improvements are added stepwise to Fabric 1.2 and evaluated against the base system under controlled configurations. The evaluation reports 15 local servers, CPU/RAM/network characteristics, Fabric configuration and transaction-va</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</si>
  <si>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The proposed changes to ordering, validation, caching, in-memory state and role separation are described at implementation level. Improvements are added stepwise to Fabr</t>
  </si>
  <si>
    <t>pp. 2–5, Sections II–III; pp. 5–7, Section IV; p. 5, Section IV; p. 8, Conclusion</t>
  </si>
  <si>
    <t>pp. 2–5, Sections II–III; p. 5, Section IV</t>
  </si>
  <si>
    <t>pp. 1–3, Abstract/Introduction; pp. 3–15, Sections III–V</t>
  </si>
  <si>
    <t>pp. 1–3, Abstract/Introduction; pp. 15–19, Sections V–VI</t>
  </si>
  <si>
    <t>The principal reported artifact/contribution supports the contribution-type classification; consensus retains CT5.</t>
  </si>
  <si>
    <t>pp. 3–15, Sections III–V</t>
  </si>
  <si>
    <t>pp. 3–15, Sections III–V; pp. 15–19, Sections V–VI</t>
  </si>
  <si>
    <t>The reported evaluation design supports EV3; consensus retained.</t>
  </si>
  <si>
    <t>pp. 15–19, Sections V–VI; pp. 15–16, Section VI-A</t>
  </si>
  <si>
    <t>Evidence-maturity decision verified under EM0–EM7; consensus retains EM2. Simulation/synthetic validation without a target-system prototype operating in its intended form. Evidence: Analytical propositions are followed by numerical verification using an explicitly described OPNET simulation model. The OPNET/LTE-A MEC topology, bandwidth, base stations, node behavior and other simulation parameters are specified.</t>
  </si>
  <si>
    <t>2–3</t>
  </si>
  <si>
    <t>Reviewer-inferred TRL range verified independently from demonstrated technology/integration/evaluation evidence; consensus retains 2–3. Reviewer-inferred TRL 2–3 (Component/Subsystem): a proof-of-concept, illustrative demonstrator, or simulation establishes feasibility but does not validate an integrated technology in a representative environment. Evidence: System architecture, reputation model, consensus method, coalition game and shard-formation algorithm are described with formal definitions and proofs. Analytical propositions are followed by nume</t>
  </si>
  <si>
    <t>pp. 3–15, Sections III–V; pp. 15–19, Sections V–VI; pp. 15–16, Section VI-A; pp. 15–19, Section VI</t>
  </si>
  <si>
    <t>pp. 3–15, Sections III–V; pp. 15–16, Section VI-A</t>
  </si>
  <si>
    <t>pp. 1–3, Abstract/Introduction; pp. 4–7, Section III</t>
  </si>
  <si>
    <t>pp. 1–3, Abstract/Introduction; pp. 7–11, Section IV</t>
  </si>
  <si>
    <t>The principal reported artifact/contribution supports the contribution-type classification; consensus retains CT6.</t>
  </si>
  <si>
    <t>pp. 4–7, Section III</t>
  </si>
  <si>
    <t>pp. 4–7, Section III; pp. 7–11, Section IV</t>
  </si>
  <si>
    <t>pp. 7–11, Section IV; pp. 7–8, Section IV-A</t>
  </si>
  <si>
    <t>Evidence-maturity decision verified under EM0–EM7; consensus retains EM3. Working prototype evaluated in a controlled laboratory/testbed. Evidence: The proposed mechanism is implemented in a consortium-blockchain experiment and compared under controlled parameter settings. CPU, storage, memory, OS, node counts, Ganache setup, transaction amounts, block size, repetitions and fault nodes are reported.</t>
  </si>
  <si>
    <t>3–4</t>
  </si>
  <si>
    <t>Reviewer-inferred TRL range verified independently from demonstrated technology/integration/evaluation evidence; consensus retains 3–4. Reviewer-inferred TRL 3–4 (Component/Subsystem): an implemented prototype/component is validated in a controlled laboratory/testbed. Evidence: Node roles, dynamic trust computation and the consensus process are defined through equations and algorithms. The proposed mechanism is implemented in a consortium-blockchain experiment and compared under controlled parameter settings. CPU, storage, memory, OS, node counts, Ga</t>
  </si>
  <si>
    <t>pp. 4–7, Section III; pp. 7–11, Section IV; pp. 7–8, Section IV-A; p. 11, Conclusion/Future Work</t>
  </si>
  <si>
    <t>pp. 4–7, Section III; pp. 7–8, Section IV-A</t>
  </si>
  <si>
    <t>pp. 1–2, Abstract/Introduction; pp. 2–4, Sections II–III</t>
  </si>
  <si>
    <t>pp. 1–2, Abstract/Introduction; pp. 5–6, Section V</t>
  </si>
  <si>
    <t>pp. 2–4, Sections II–III</t>
  </si>
  <si>
    <t>pp. 2–4, Sections II–III; pp. 5–6, Section V</t>
  </si>
  <si>
    <t>pp. 5–6, Section V; p. 5, Section V-A</t>
  </si>
  <si>
    <t>Evidence-maturity decision verified under EM0–EM7; consensus retains EM4. Implemented technology evaluated under realistic experimental workloads, datasets, scale, configurations, or heterogeneous infrastructure; no organizational pilot is demonstrated. Evidence: A prototype integrated with BFT-SMaRt is evaluated with controlled workload and parameter variations. The four-VM cluster, CPU/memory, OS, SGX SDK, enclave size, languages, SmallBank workload, 1M customers, warm-up and 10-run aver</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</si>
  <si>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The two-phase SGX architecture, pre-execution, compact read/write sets and Merkle Forest are described with algorithms and diagrams. A prototype integrated with BFT-SMaR</t>
  </si>
  <si>
    <t>pp. 2–4, Sections II–III; pp. 5–6, Section V; p. 5, Section V-A; pp. 5–6</t>
  </si>
  <si>
    <t>pp. 2–4, Sections II–III; p. 5, Section V-A</t>
  </si>
  <si>
    <t>pp. 1–2, Abstract/Introduction; pp. 2–7, Sections 3–7</t>
  </si>
  <si>
    <t>pp. 1–2, Abstract/Introduction; pp. 7–12, Section 8</t>
  </si>
  <si>
    <t>The principal reported artifact/contribution supports the contribution-type classification; consensus retains CT3.</t>
  </si>
  <si>
    <t>pp. 2–7, Sections 3–7</t>
  </si>
  <si>
    <t>pp. 2–7, Sections 3–7; pp. 7–12, Section 8</t>
  </si>
  <si>
    <t>pp. 7–12, Section 8; pp. 7–8, Section 8.1</t>
  </si>
  <si>
    <t>Evidence-maturity decision verified under EM0–EM7; consensus retains EM2. Simulation/synthetic validation without a target-system prototype operating in its intended form. Evidence: Analytical results are validated empirically under multiple datasets and parameter settings. Four datasets, non-IID settings, model choices and experimental parameters are documented.</t>
  </si>
  <si>
    <t>Reviewer-inferred TRL range verified independently from demonstrated technology/integration/evaluation evidence; consensus retains 2–3. Reviewer-inferred TRL 2–3 (Integrated System): a proof-of-concept, illustrative demonstrator, or simulation establishes feasibility but does not validate an integrated technology in a representative environment. Evidence: BLADE-FL architecture, loss-bound analysis, resource allocation and lazy-client model are mathematically specified. Analytical results are validated empirically under multiple datasets and parameter</t>
  </si>
  <si>
    <t>pp. 2–7, Sections 3–7; pp. 7–12, Section 8; pp. 7–8, Section 8.1; pp. 7–12</t>
  </si>
  <si>
    <t>pp. 2–7, Sections 3–7; pp. 7–8, Section 8.1</t>
  </si>
  <si>
    <t>pp. 1–2, Abstract/Introduction; pp. 2–14, Sections II–IV</t>
  </si>
  <si>
    <t>pp. 1–2, Abstract/Introduction; pp. 14–15, Section V</t>
  </si>
  <si>
    <t>pp. 2–14, Sections II–IV</t>
  </si>
  <si>
    <t>pp. 2–14, Sections II–IV; pp. 14–15, Section V</t>
  </si>
  <si>
    <t>pp. 14–15, Section V; pp. 14–15, Section V-B</t>
  </si>
  <si>
    <t>Evidence-maturity decision verified under EM0–EM7; consensus retains EM2. Simulation/synthetic validation without a target-system prototype operating in its intended form. Evidence: The protocol is evaluated through formal proofs, complexity analysis and implementation-oriented simulation against Omniledger. CPU, network link, per-node bandwidth/latency, transaction size, shard counts and block size are explicitly reported.</t>
  </si>
  <si>
    <t>Reviewer-inferred TRL range verified independently from demonstrated technology/integration/evaluation evidence; consensus retains 2–3. Reviewer-inferred TRL 2–3 (Component/Subsystem): a proof-of-concept, illustrative demonstrator, or simulation establishes feasibility but does not validate an integrated technology in a representative environment. Evidence: CSBFT, parallel leaders, view change, reconfiguration and formal security properties are described in detail. The protocol is evaluated through formal proofs, complexity analysis and implementatio</t>
  </si>
  <si>
    <t>pp. 2–14, Sections II–IV; pp. 14–15, Section V; pp. 14–15, Section V-B; pp. 14–16</t>
  </si>
  <si>
    <t>pp. 2–14, Sections II–IV; pp. 14–15, Section V-B</t>
  </si>
  <si>
    <t>pp. 1–2, Abstract/Introduction; pp. 2–13, Sections 2–5</t>
  </si>
  <si>
    <t>pp. 1–2, Abstract/Introduction; pp. 13–16, Section 6</t>
  </si>
  <si>
    <t>pp. 2–13, Sections 2–5</t>
  </si>
  <si>
    <t>pp. 2–13, Sections 2–5; pp. 13–16, Section 6</t>
  </si>
  <si>
    <t>pp. 13–16, Section 6; pp. 13–15, Sections 6.1–6.2</t>
  </si>
  <si>
    <t>Evidence-maturity decision verified under EM0–EM7; consensus retains EM4. Implemented technology evaluated under realistic experimental workloads, datasets, scale, configurations, or heterogeneous infrastructure; no organizational pilot is demonstrated. Evidence: A formal UC security proof is combined with an implemented Ethereum-derived prototype and systematic experiments. Implementation libraries, cryptographic instantiations, hardware, OS, topology variations, node counts and parameter</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</si>
  <si>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Hierarchical architecture, dual-balance model, 2PXT protocol, zero-knowledge circuits and security model are fully described. A formal UC security proof is combined with</t>
  </si>
  <si>
    <t>pp. 2–13, Sections 2–5; pp. 13–16, Section 6; pp. 13–15, Sections 6.1–6.2; pp. 15–16</t>
  </si>
  <si>
    <t>pp. 2–13, Sections 2–5; pp. 13–15, Sections 6.1–6.2</t>
  </si>
  <si>
    <t>pp. 1–2, Abstract/Introduction; pp. 2–10, Sections II–V</t>
  </si>
  <si>
    <t>pp. 1–2, Abstract/Introduction; pp. 10–12, Section VI</t>
  </si>
  <si>
    <t>pp. 2–10, Sections II–V</t>
  </si>
  <si>
    <t>pp. 2–10, Sections II–V; pp. 10–12, Section VI</t>
  </si>
  <si>
    <t>pp. 10–12, Section VI; pp. 10–11, Section VI</t>
  </si>
  <si>
    <t>Evidence-maturity decision verified under EM0–EM7; consensus retains EM4. Implemented technology evaluated under realistic experimental workloads, datasets, scale, configurations, or heterogeneous infrastructure; no organizational pilot is demonstrated. Evidence: The proposed trust and consensus mechanisms are implemented and evaluated on local and cloud testbeds. Local/cloud server configurations, SGX use, message/client variations and consensus-node configurations are reported.</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</si>
  <si>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VT-Eva, TEE-secured computation, multi-shard architecture and HierBFT are specified with algorithms and formal properties. The proposed trust and consensus mechanisms ar</t>
  </si>
  <si>
    <t>pp. 2–10, Sections II–V; pp. 10–12, Section VI; pp. 10–11, Section VI; pp. 11–12, Sections VII–VIII</t>
  </si>
  <si>
    <t>pp. 2–10, Sections II–V; pp. 10–11, Section VI</t>
  </si>
  <si>
    <t>pp. 1–3, Abstract/Introduction; pp. 3–12, Sections III–VI</t>
  </si>
  <si>
    <t>pp. 1–3, Abstract/Introduction; pp. 12–15, Section VII</t>
  </si>
  <si>
    <t>pp. 3–12, Sections III–VI</t>
  </si>
  <si>
    <t>pp. 3–12, Sections III–VI; pp. 12–15, Section VII</t>
  </si>
  <si>
    <t>pp. 12–15, Section VII; p. 14, Section VII-B</t>
  </si>
  <si>
    <t>Evidence-maturity decision verified under EM0–EM7; consensus retains EM2. Simulation/synthetic validation without a target-system prototype operating in its intended form. Evidence: The protocol is assessed through security/complexity analysis and parameterized implementation-oriented simulation. Simulation hardware, memory, network bandwidth, message delay, hash function, shard sizes and batch sizes are reported.</t>
  </si>
  <si>
    <t>Reviewer-inferred TRL range verified independently from demonstrated technology/integration/evaluation evidence; consensus retains 2–3. Reviewer-inferred TRL 2–3 (Component/Subsystem): a proof-of-concept, illustrative demonstrator, or simulation establishes feasibility but does not validate an integrated technology in a representative environment. Evidence: The pipelined 2PC, PL-BFT, batch processing and aggregatable multi-signature mechanisms are specified in detail. The protocol is assessed through security/complexity analysis and parameterized imp</t>
  </si>
  <si>
    <t>pp. 3–12, Sections III–VI; pp. 12–15, Section VII; p. 14, Section VII-B; pp. 14–15</t>
  </si>
  <si>
    <t>pp. 3–12, Sections III–VI; p. 14, Section VII-B</t>
  </si>
  <si>
    <t>pp. 1–2, Abstract/Introduction; pp. 2–10, Sections III–V</t>
  </si>
  <si>
    <t>pp. 1–2, Abstract/Introduction; pp. 10–11, Section VI</t>
  </si>
  <si>
    <t>pp. 2–10, Sections III–V</t>
  </si>
  <si>
    <t>pp. 2–10, Sections III–V; pp. 10–11, Section VI</t>
  </si>
  <si>
    <t>pp. 10–11, Section VI; p. 10, Section VI-A</t>
  </si>
  <si>
    <t>Evidence-maturity decision verified under EM0–EM7; consensus retains EM4. Implemented technology evaluated under realistic experimental workloads, datasets, scale, configurations, or heterogeneous infrastructure; no organizational pilot is demonstrated. Evidence: ICOE and the SYN baseline are implemented and evaluated experimentally on physical servers. Five physical servers, CPU specifications, 12 groups/36 nodes, 20,000 smart contracts, workload composition and parameter settings are rep</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</si>
  <si>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ICOE architecture, coordinator, 2PL/2PC behavior, consensus-group execution and correctness/security reasoning are described in detail. ICOE and the SYN baseline are imp</t>
  </si>
  <si>
    <t>pp. 2–10, Sections III–V; pp. 10–11, Section VI; p. 10, Section VI-A; pp. 10–11</t>
  </si>
  <si>
    <t>pp. 2–10, Sections III–V; p. 10, Section VI-A</t>
  </si>
  <si>
    <t>pp. 1–2, Abstract/Introduction; pp. 2–14, Sections 1–4</t>
  </si>
  <si>
    <t>pp. 1–2, Abstract/Introduction; pp. 14–20, Section 5</t>
  </si>
  <si>
    <t>pp. 2–14, Sections 1–4</t>
  </si>
  <si>
    <t>pp. 2–14, Sections 1–4; pp. 14–20, Section 5</t>
  </si>
  <si>
    <t>The reported evaluation design supports EV8; consensus retained.</t>
  </si>
  <si>
    <t>pp. 14–20, Section 5; p. 14, Experimental setup</t>
  </si>
  <si>
    <t>Evidence-maturity decision verified under EM0–EM7; consensus retains EM5. Representative prototype demonstrated in a relevant environment with realistic projects/users/infrastructure. Evidence: The proof-of-concept is integrated with FreedomFi/Magma and evaluated repeatedly against multiple blockchain platforms. Raspberry Pi edge devices, Docker/Kubernetes, FreedomFi 5G gateway/radio, SIM/mobile hotspot and blockchain-peer ranges are described.</t>
  </si>
  <si>
    <t>5–6</t>
  </si>
  <si>
    <t>Reviewer-inferred TRL range verified independently from demonstrated technology/integration/evaluation evidence; consensus retains 5–6. Reviewer-inferred TRL 5–6 (Integrated System): a representative prototype is demonstrated in an environment approaching intended use, but operational qualification/use is not established. Evidence: Librum architecture, hierarchical CFT/BFT consensus, Validate–Execute model, hardware, IPFS storage and smart-contract design are extensively described. The proof-of-concept is integrated with FreedomFi/Magma and evaluated</t>
  </si>
  <si>
    <t>pp. 2–14, Sections 1–4; pp. 14–20, Section 5; p. 14, Experimental setup; p. 26, Section 7</t>
  </si>
  <si>
    <t>pp. 2–14, Sections 1–4; p. 14, Experimental setup</t>
  </si>
  <si>
    <t>N/A</t>
  </si>
  <si>
    <t>No reconciliation is applicable: PS014 is excluded from primary-study coding as a secondary study (EC5); value remains NA.</t>
  </si>
  <si>
    <t>AI-assisted status verification; human R2 sign-off not applicable</t>
  </si>
  <si>
    <t>Pending</t>
  </si>
  <si>
    <t>Value remains UNC pending primary-study eligibility adjudication against IC4; no classification/EM/reviewer-TRL consensus is locked.</t>
  </si>
  <si>
    <t>AI-assisted eligibility-status verification; human adjudication pending</t>
  </si>
  <si>
    <t>pp. 1–2, Abstract/Introduction; pp. 2–10, protocol and optimization sections</t>
  </si>
  <si>
    <t>pp. 1–2, Abstract/Introduction; pp. 10–11, Section VII</t>
  </si>
  <si>
    <t>pp. 2–10, protocol and optimization sections</t>
  </si>
  <si>
    <t>pp. 2–10, protocol and optimization sections; pp. 10–11, Section VII</t>
  </si>
  <si>
    <t>pp. 10–11, Section VII; p. 10, experimental setup</t>
  </si>
  <si>
    <t>Evidence-maturity decision verified under EM0–EM7; consensus retains EM4. Implemented technology evaluated under realistic experimental workloads, datasets, scale, configurations, or heterogeneous infrastructure; no organizational pilot is demonstrated. Evidence: The protocol and optimizer are implemented as testbed modules and evaluated experimentally in a real cloud environment. The cloud testbed reports geographically distributed Google Cloud VMs, node counts, CPU/memory resources, TCP/</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</si>
  <si>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SharBFT's hierarchical multishard architecture, threshold-signature voting, cross-shard BFT operation and sharding optimization model are specified in detail. The prot</t>
  </si>
  <si>
    <t>pp. 2–10, protocol and optimization sections; pp. 10–11, Section VII; p. 10, experimental setup; pp. 10–12</t>
  </si>
  <si>
    <t>pp. 2–10, protocol and optimization sections; p. 10, experimental setup</t>
  </si>
  <si>
    <t>pp. 1–2, Introduction; pp. 2–13, protocol/security sections</t>
  </si>
  <si>
    <t>pp. 1–2, Introduction; pp. 13–14, Section VI</t>
  </si>
  <si>
    <t>pp. 2–13, protocol/security sections</t>
  </si>
  <si>
    <t>pp. 2–13, protocol/security sections; pp. 13–14, Section VI</t>
  </si>
  <si>
    <t>pp. 13–14, Section VI; p. 13, performance-test setup</t>
  </si>
  <si>
    <t>Evidence-maturity decision verified under EM0–EM7; consensus retains EM3. Working prototype evaluated in a controlled laboratory/testbed. Evidence: Theoretical complexity/security analysis is complemented by functional and performance testing. The evaluation specifies CPU/memory platform, bandwidth and delay assumptions, domain/node parameters and test settings.</t>
  </si>
  <si>
    <t>Reviewer-inferred TRL range verified independently from demonstrated technology/integration/evaluation evidence; consensus retains 3–4. Reviewer-inferred TRL 3–4 (Component/Subsystem): an implemented prototype/component is validated in a controlled laboratory/testbed. Evidence: It specifies PCE, partial-trust and zero-trust data-sharing protocols, sharding architecture, certificate authority, formal security definitions and proofs. Theoretical complexity/security analysis is complemented by functional and performance testing. The evaluation specifies</t>
  </si>
  <si>
    <t>pp. 2–13, protocol/security sections; pp. 13–14, Section VI; p. 13, performance-test setup; pp. 13–15</t>
  </si>
  <si>
    <t>pp. 2–13, protocol/security sections; p. 13, performance-test setup</t>
  </si>
  <si>
    <t>pp. 1–2, Introduction; pp. 2–8, Sections II–V</t>
  </si>
  <si>
    <t>pp. 1–2, Introduction; p. 8 onward, Section VI</t>
  </si>
  <si>
    <t>pp. 2–8, Sections II–V</t>
  </si>
  <si>
    <t>pp. 2–8, Sections II–V; p. 8 onward, Section VI</t>
  </si>
  <si>
    <t>p. 8 onward, Section VI; p. 8, Section VI-A</t>
  </si>
  <si>
    <t>Evidence-maturity decision verified under EM0–EM7; consensus retains EM4. Implemented technology evaluated under realistic experimental workloads, datasets, scale, configurations, or heterogeneous infrastructure; no organizational pilot is demonstrated. Evidence: A Golang prototype is deployed on Amazon EC2 and evaluated under controlled shard/network/workload settings. The setup reports EC2 instance type, link delay/bandwidth and a large real Ethereum transaction/account trace from XBlock</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</si>
  <si>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X-Shard's transaction allocation, optimistic MIMO processing, gateway accounts, rollback logic and threshold-signature commit protocol are described in detail. A Golan</t>
  </si>
  <si>
    <t>pp. 2–8, Sections II–V; p. 8 onward, Section VI; p. 8, Section VI-A; pp. 8–11</t>
  </si>
  <si>
    <t>pp. 2–8, Sections II–V; p. 8, Section VI-A</t>
  </si>
  <si>
    <t>pp. 1–3, Introduction; pp. 3–15, protocol sections</t>
  </si>
  <si>
    <t>pp. 1–3, Introduction; pp. 15–17, Section VII</t>
  </si>
  <si>
    <t>pp. 3–15, protocol sections</t>
  </si>
  <si>
    <t>pp. 3–15, protocol sections; pp. 15–17, Section VII</t>
  </si>
  <si>
    <t>pp. 15–17, Section VII; pp. 15–16, experimental setup</t>
  </si>
  <si>
    <t>Evidence-maturity decision verified under EM0–EM7; consensus retains EM4. Implemented technology evaluated under realistic experimental workloads, datasets, scale, configurations, or heterogeneous infrastructure; no organizational pilot is demonstrated. Evidence: The authors implement JUMBO, FIN-NG and comparable baselines in Golang and evaluate them systematically across scales and network conditions. AWS EC2 instance type, CPU/memory, node counts up to 256, bandwidth/RTT settings and reg</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</si>
  <si>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FIN-NG and JUMBO are fully specified with protocol redesigns, aggregation/dispersal techniques, complexity arguments and security reasoning. The authors implement JUMB</t>
  </si>
  <si>
    <t>pp. 3–15, protocol sections; pp. 15–17, Section VII; pp. 15–16, experimental setup; pp. 15–17</t>
  </si>
  <si>
    <t>pp. 3–15, protocol sections; pp. 15–16, experimental setup</t>
  </si>
  <si>
    <t>pp. 1–2, Introduction; pp. 2–13, Sections III–VI</t>
  </si>
  <si>
    <t>pp. 1–2, Introduction; pp. 13–16, experimental sections</t>
  </si>
  <si>
    <t>pp. 2–13, Sections III–VI</t>
  </si>
  <si>
    <t>pp. 2–13, Sections III–VI; pp. 13–16, experimental sections</t>
  </si>
  <si>
    <t>pp. 13–16, experimental sections; p. 13, experimental setup</t>
  </si>
  <si>
    <t>Evidence-maturity decision verified under EM0–EM7; consensus retains EM2. Simulation/synthetic validation without a target-system prototype operating in its intended form. Evidence: Analytical results are validated through extensive simulation and attack/security experiments. The paper reports MATLAB setup, 100 heterogeneous peers, a geographic area, 5G/3GPP-style communication assumptions, computation parameters and a Caltrans traffic dataset.</t>
  </si>
  <si>
    <t>Reviewer-inferred TRL range verified independently from demonstrated technology/integration/evaluation evidence; consensus retains 2–3. Reviewer-inferred TRL 2–3 (Integrated System): a proof-of-concept, illustrative demonstrator, or simulation establishes feasibility but does not validate an integrated technology in a representative environment. Evidence: The reputation-based inspection framework, reputation model, optimization formulation and distributed ADMM-based solution are fully developed. Analytical results are validated through extensive simu</t>
  </si>
  <si>
    <t>pp. 2–13, Sections III–VI; pp. 13–16, experimental sections; p. 13, experimental setup; pp. 13–16</t>
  </si>
  <si>
    <t>pp. 2–13, Sections III–VI; p. 13, experimental setup</t>
  </si>
  <si>
    <t>pp. 1–2, Introduction; pp. 2–12</t>
  </si>
  <si>
    <t>pp. 1–2, Introduction; pp. 12–16, Section VI</t>
  </si>
  <si>
    <t>pp. 2–12</t>
  </si>
  <si>
    <t>pp. 2–12; pp. 12–16, Section VI</t>
  </si>
  <si>
    <t>pp. 12–16, Section VI; pp. 12–13, Section VI-A</t>
  </si>
  <si>
    <t>Evidence-maturity decision verified under EM0–EM7; consensus retains EM3. Working prototype evaluated in a controlled laboratory/testbed. Evidence: A lightweight EZchain prototype/simulation is used to test theoretical predictions across large network sizes and repeated runs. Transaction/abstract/block sizes, network/committee parameters, transaction frequency and epoch settings are reported, and results are verified by at least five experiments.</t>
  </si>
  <si>
    <t>Reviewer-inferred TRL range verified independently from demonstrated technology/integration/evaluation evidence; consensus retains 3–4. Reviewer-inferred TRL 3–4 (Component/Subsystem): an implemented prototype/component is validated in a controlled laboratory/testbed. Evidence: ACC/CCC/local-chain architecture, consensus algorithms, transaction verification, validity, security and storage properties are formally detailed. A lightweight EZchain prototype/simulation is used to test theoretical predictions across large network sizes and repeated runs. T</t>
  </si>
  <si>
    <t>pp. 2–12; pp. 12–16, Section VI; pp. 12–13, Section VI-A; pp. 12–16</t>
  </si>
  <si>
    <t>pp. 2–12; pp. 12–13, Section VI-A</t>
  </si>
  <si>
    <t>pp. 1–2, Introduction; pp. 2–11</t>
  </si>
  <si>
    <t>pp. 1–2, Introduction; pp. 11–15, Section V</t>
  </si>
  <si>
    <t>pp. 2–11</t>
  </si>
  <si>
    <t>pp. 2–11; pp. 11–15, Section V</t>
  </si>
  <si>
    <t>pp. 11–15, Section V; p. 11, experimental setup</t>
  </si>
  <si>
    <t>Evidence-maturity decision verified under EM0–EM7; consensus retains EM4. Implemented technology evaluated under realistic experimental workloads, datasets, scale, configurations, or heterogeneous infrastructure; no organizational pilot is demonstrated. Evidence: LiteChain is implemented using Hyperledger Fabric and evaluated across network scales and attack conditions. Fabric/Python/PyTorch/Go versions, server GPU/CPU/memory, Docker, CIFAR-10, ResNet9, heterogeneous-device simulation and</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</si>
  <si>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Distributed clustering, CBFT, consensus-security quantification, update consensus and storage-reduction mechanisms are described and analyzed. LiteChain is implemented u</t>
  </si>
  <si>
    <t>pp. 2–11; pp. 11–15, Section V; p. 11, experimental setup; pp. 11–15</t>
  </si>
  <si>
    <t>pp. 2–11; p. 11, experimental setup</t>
  </si>
  <si>
    <t>The principal reported artifact/contribution supports the contribution-type classification; consensus retains CT1.</t>
  </si>
  <si>
    <t>The primary lifecycle phase evidenced in the study supports LC1; consensus retained.</t>
  </si>
  <si>
    <t>pp. 11–15, Section V; p. 11, experiment setup</t>
  </si>
  <si>
    <t>Evidence-maturity decision verified under EM0–EM7; consensus retains EM4. Implemented technology evaluated under realistic experimental workloads, datasets, scale, configurations, or heterogeneous infrastructure; no organizational pilot is demonstrated. Evidence: The analytical model is validated experimentally on a Cosmos/Tendermint relay-chain deployment under multiple parameter settings. The setup reports Tendermint/Cosmos software, ten nodes on nine physical machines, server hardware/O</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</si>
  <si>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MX/GB/1 batch-arrival/bulk-service framework, PBFT phase-type model and formulas for throughput/confirmation delay are developed rigorously. The analytical model i</t>
  </si>
  <si>
    <t>pp. 2–11; pp. 11–15, Section V; p. 11, experiment setup; pp. 11–15</t>
  </si>
  <si>
    <t>pp. 2–11; p. 11, experiment setup</t>
  </si>
  <si>
    <t>pp. 1–2, Introduction; pp. 11–13, evaluation section</t>
  </si>
  <si>
    <t>pp. 2–11; pp. 11–13, evaluation section</t>
  </si>
  <si>
    <t>pp. 11–13, evaluation section; p. 11, setup</t>
  </si>
  <si>
    <t>Evidence-maturity decision verified under EM0–EM7; consensus retains EM4. Implemented technology evaluated under realistic experimental workloads, datasets, scale, configurations, or heterogeneous infrastructure; no organizational pilot is demonstrated. Evidence: A Geth-based prototype/benchmark is evaluated using replayed Ethereum workloads against a representative serial sharding baseline. The evaluation documents 640,000 real Ethereum transactions, block range, shard counts, consensus/n</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</si>
  <si>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SPARROW's cache synchronization, one-step execution, multi-branch exploration and conflict-reduction mechanisms are specified in detail. A Geth-based prototype/benchma</t>
  </si>
  <si>
    <t>pp. 2–11; pp. 11–13, evaluation section; p. 11, setup; pp. 11–13</t>
  </si>
  <si>
    <t>pp. 2–11; p. 11, setup</t>
  </si>
  <si>
    <t>pp. 1–3; pp. 2–13</t>
  </si>
  <si>
    <t>pp. 1–3; pp. 13–17, Section VI</t>
  </si>
  <si>
    <t>pp. 2–13</t>
  </si>
  <si>
    <t>pp. 2–13; pp. 13–17, Section VI</t>
  </si>
  <si>
    <t>pp. 13–17, Section VI; pp. 13–14</t>
  </si>
  <si>
    <t>Evidence-maturity decision verified under EM0–EM7; consensus retains EM2. Simulation/synthetic validation without a target-system prototype operating in its intended form. Evidence: The architecture is evaluated with Veins plus MATLAB simulations, comparative baselines, sensitivity testing and repeated experiments. The paper reports Veins/MATLAB versions, processor/memory, an actual urban map, 20–80 vehicles, speeds, mobility model, communication range/protocol, packet rate and incentive s</t>
  </si>
  <si>
    <t>Reviewer-inferred TRL range verified independently from demonstrated technology/integration/evaluation evidence; consensus retains 2–3. Reviewer-inferred TRL 2–3 (Integrated System): a proof-of-concept, illustrative demonstrator, or simulation establishes feasibility but does not validate an integrated technology in a representative environment. Evidence: The dual-layer multi-shard architecture, dynamic node/shard management, BLS-PBFT consensus, reputation and evolutionary-game incentive mechanisms are detailed. The architecture is evaluated with Vei</t>
  </si>
  <si>
    <t>pp. 2–13; pp. 13–17, Section VI; pp. 13–14; pp. 13–17</t>
  </si>
  <si>
    <t>pp. 2–13; pp. 13–14</t>
  </si>
  <si>
    <t>Second-pass evidence verification supports the S3 engineering-domain classification; consensus retains ED2.</t>
  </si>
  <si>
    <t>pp. 1–3, Motivation/Contributions; pp. 3–9</t>
  </si>
  <si>
    <t>pp. 3–8, model/protocol</t>
  </si>
  <si>
    <t>pp. 3–8, model/protocol; pp. 3–9</t>
  </si>
  <si>
    <t>The reported evaluation design supports EV1; consensus retained.</t>
  </si>
  <si>
    <t>pp. 3–9</t>
  </si>
  <si>
    <t>Evidence-maturity decision verified under EM0–EM7; consensus retains EM0. Conceptual contribution with no implemented evaluation of the proposed technology. Evidence: The research method is a formal construction with lemmas, theorems, impossibility results and complexity analysis, reproducible from the stated definitions. No empirical dataset, workload, participants or experimental environment is part of this theoretical protocol study.</t>
  </si>
  <si>
    <t>1–2</t>
  </si>
  <si>
    <t>Reviewer-inferred TRL range verified independently from demonstrated technology/integration/evaluation evidence; consensus retains 1–2. Reviewer-inferred TRL 1–2 (Component/Subsystem): technology principles/concept are formulated, but an implemented technology is not validated. Evidence: Cross-chain swaps are modeled as directed graphs and a hashed-timelock protocol is specified for strongly connected graphs using a feedback vertex set. The research method is a formal construction with lemmas, theorems, impossibility results and complexity analysis,</t>
  </si>
  <si>
    <t>pp. 3–8, model/protocol; pp. 3–9; pp. 2–10</t>
  </si>
  <si>
    <t>pp. 1–2, Introduction; pp. 11–13, evaluation</t>
  </si>
  <si>
    <t>pp. 2–11; pp. 11–13, evaluation</t>
  </si>
  <si>
    <t>pp. 11–13, evaluation; p. 12, setup</t>
  </si>
  <si>
    <t>Evidence-maturity decision verified under EM0–EM7; consensus retains EM4. Implemented technology evaluated under realistic experimental workloads, datasets, scale, configurations, or heterogeneous infrastructure; no organizational pilot is demonstrated. Evidence: A roughly 35,000-line prototype is implemented and evaluated using multiple cross-chain application categories. The experiment uses heterogeneous blockchain networks and cloud/testnet infrastructure across geographic locations, wi</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</si>
  <si>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USM, HSL, UIP, Network Status Blockchain, Insurance Smart Contracts and the UC security construction are extensively specified. A roughly 35,000-line prototype is implem</t>
  </si>
  <si>
    <t>pp. 2–11; pp. 11–13, evaluation; p. 12, setup; pp. 11–13</t>
  </si>
  <si>
    <t>pp. 2–11; p. 12, setup</t>
  </si>
  <si>
    <t>pp. 1–2, Introduction; pp. 11–12, Section VIII</t>
  </si>
  <si>
    <t>pp. 2–11; pp. 11–12, Section VIII</t>
  </si>
  <si>
    <t>pp. 11–12, Section VIII; p. 11, implementation/evaluation</t>
  </si>
  <si>
    <t>Evidence-maturity decision verified under EM0–EM7; consensus retains EM4. Implemented technology evaluated under realistic experimental workloads, datasets, scale, configurations, or heterogeneous infrastructure; no organizational pilot is demonstrated. Evidence: XCLAIM(BTC,ETH) is implemented and evaluated using Bitcoin/Ethereum-compatible infrastructure and direct HTLC comparison. Implementation language/version, BTCRelay/Bitcoin assumptions, Ethereum Ropsten environment, confirmation pa</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</si>
  <si>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CBA model, actors, threat assumptions, proof-or-punishment protocol, issuance/redeem/swap procedures and security requirements are detailed. XCLAIM(BTC,ETH) is imp</t>
  </si>
  <si>
    <t>pp. 2–11; pp. 11–12, Section VIII; p. 11, implementation/evaluation; pp. 11–13</t>
  </si>
  <si>
    <t>pp. 2–11; p. 11, implementation/evaluation</t>
  </si>
  <si>
    <t>Study design and evaluation evidence support the research-type classification; consensus retains RT1.</t>
  </si>
  <si>
    <t>The principal reported artifact/contribution supports the contribution-type classification; consensus retains CT2.</t>
  </si>
  <si>
    <t>The reported evaluation design supports EV0; consensus retained.</t>
  </si>
  <si>
    <t>Evidence-maturity decision verified under EM0–EM7; consensus retains EM0. Conceptual contribution with no implemented evaluation of the proposed technology. Evidence: The method and tool basis are described, but the paper reports that the code-generation part is unfinished and provides no empirical validation of effectiveness. No empirical dataset, workload, participants or evaluation environment is reported.</t>
  </si>
  <si>
    <t>Reviewer-inferred TRL range verified independently from demonstrated technology/integration/evaluation evidence; consensus retains 1–2. Reviewer-inferred TRL 1–2 (Component/Subsystem): technology principles/concept are formulated, but an implemented technology is not validated. Evidence: It presents a three-layer framework, three DSMLs, workflow/configuration/specification mappings and GeMoC/CCSL-based analysis support. The method and tool basis are described, but the paper reports that the code-generation part is unfinished and provides no empirical</t>
  </si>
  <si>
    <t>pp. 2–3, Introduction; pp. 4–9</t>
  </si>
  <si>
    <t>pp. 2–3, Introduction; pp. 9–10, Section VI</t>
  </si>
  <si>
    <t>pp. 4–9</t>
  </si>
  <si>
    <t>pp. 4–9; pp. 9–10, Section VI</t>
  </si>
  <si>
    <t>pp. 9–10, Section VI; p. 10, Section VI</t>
  </si>
  <si>
    <t>Evidence-maturity decision verified under EM0–EM7; consensus retains EM4. Implemented technology evaluated under realistic experimental workloads, datasets, scale, configurations, or heterogeneous infrastructure; no organizational pilot is demonstrated. Evidence: A Solidity/node.js implementation is evaluated on a live Ethereum test network for cost and execution time. The Rinkeby testnet, deployed contracts, test data types, waitingBlocks/blocksPerPhase configurations and repeated runs ar</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</si>
  <si>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distribution/invocation contracts, intermediaries, validators, execution phases, continuation and recursion mechanisms are described in detail. A Solidity/node.js</t>
  </si>
  <si>
    <t>pp. 4–9; pp. 9–10, Section VI; p. 10, Section VI; pp. 9–11</t>
  </si>
  <si>
    <t>pp. 4–9; p. 10, Section VI</t>
  </si>
  <si>
    <t>Value remains UNC until the peer-reviewed PS031 Version of Record replaces the supplied TechRxiv preprint.</t>
  </si>
  <si>
    <t>p. 1, preprint notice; p. 1</t>
  </si>
  <si>
    <t>AI-assisted source-status verification; human/source resolution pending</t>
  </si>
  <si>
    <t>p. 1, preprint notice; Version issue</t>
  </si>
  <si>
    <t>p. 1</t>
  </si>
  <si>
    <t>p. 1; Version issue</t>
  </si>
  <si>
    <t>Version issue</t>
  </si>
  <si>
    <t>pp. 1–2; pp. 3–8</t>
  </si>
  <si>
    <t>pp. 1–2; pp. 8–10, Section VI</t>
  </si>
  <si>
    <t>pp. 3–8</t>
  </si>
  <si>
    <t>pp. 3–8; pp. 8–10, Section VI</t>
  </si>
  <si>
    <t>pp. 8–10, Section VI; p. 8, Section VI-A</t>
  </si>
  <si>
    <t>Evidence-maturity decision verified under EM0–EM7; consensus retains EM4. Implemented technology evaluated under realistic experimental workloads, datasets, scale, configurations, or heterogeneous infrastructure; no organizational pilot is demonstrated. Evidence: An Ethereum-based prototype is implemented and evaluated through repeatable performance experiments. The hardware/OS environment, 15,000-transaction stress workload, concurrency approach and test interfaces are reported.</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</si>
  <si>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SynergyChain's three-tier architecture, consensus/verification modules, hierarchical access-control contracts and data workflow are specified in detail. An Ethereum-base</t>
  </si>
  <si>
    <t>pp. 3–8; pp. 8–10, Section VI; p. 8, Section VI-A; pp. 8–10</t>
  </si>
  <si>
    <t>pp. 3–8; p. 8, Section VI-A</t>
  </si>
  <si>
    <t>Value remains UNC because only the first page/abstract is supplied; complete full text is required.</t>
  </si>
  <si>
    <t>p. 1 only</t>
  </si>
  <si>
    <t>p. 1 only; Incomplete full text</t>
  </si>
  <si>
    <t>Incomplete full text</t>
  </si>
  <si>
    <t>pp. 1–2; pp. 1–3</t>
  </si>
  <si>
    <t>pp. 1–2; pp. 3–4</t>
  </si>
  <si>
    <t>pp. 1–3</t>
  </si>
  <si>
    <t>pp. 1–3; pp. 3–4</t>
  </si>
  <si>
    <t>pp. 3–4; p. 3, Table I/experimental setup</t>
  </si>
  <si>
    <t>Evidence-maturity decision verified under EM0–EM7; consensus retains EM4. Implemented technology evaluated under realistic experimental workloads, datasets, scale, configurations, or heterogeneous infrastructure; no organizational pilot is demonstrated. Evidence: A working heterogeneous prototype is implemented and evaluated under multiple experiment sets. The study reports Ethereum/FISCO configurations, three blockchains, 50 Oracle gateways, server resources and parameterized contract/cha</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</si>
  <si>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The Oracle-gateway architecture and subscription-based active state-access mechanism are specified with workflow diagrams and protocol details. A working heterogeneous p</t>
  </si>
  <si>
    <t>pp. 1–3; pp. 3–4; p. 3, Table I/experimental setup</t>
  </si>
  <si>
    <t>pp. 1–3; p. 3, Table I/experimental setup</t>
  </si>
  <si>
    <t>pp. 1–2; pp. 3–6</t>
  </si>
  <si>
    <t>pp. 1–2; pp. 6–7</t>
  </si>
  <si>
    <t>pp. 3–6</t>
  </si>
  <si>
    <t>pp. 3–6; pp. 6–7</t>
  </si>
  <si>
    <t>pp. 6–7; p. 6, Section IV-A/B</t>
  </si>
  <si>
    <t>Evidence-maturity decision verified under EM0–EM7; consensus retains EM4. Implemented technology evaluated under realistic experimental workloads, datasets, scale, configurations, or heterogeneous infrastructure; no organizational pilot is demonstrated. Evidence: The framework is implemented in Go/Hyperledger Fabric and benchmarked with Hyperledger Caliper in production mode. Two Fabric networks, VPS specifications, organizations, Docker isolation, Caliper placement and concurrency setting</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</si>
  <si>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Policy smart contracts, relay architecture, authentication/authorization flow and service invocation are described in detail. The framework is implemented in Go/Hyperled</t>
  </si>
  <si>
    <t>pp. 3–6; pp. 6–7; p. 6, Section IV-A/B; pp. 6–8</t>
  </si>
  <si>
    <t>pp. 3–6; p. 6, Section IV-A/B</t>
  </si>
  <si>
    <t>pp. 1–2; pp. 3–9</t>
  </si>
  <si>
    <t>pp. 1–2; pp. 9–12</t>
  </si>
  <si>
    <t>pp. 3–9; pp. 9–12</t>
  </si>
  <si>
    <t>pp. 9–12; pp. 10–11, Section VII</t>
  </si>
  <si>
    <t>Evidence-maturity decision verified under EM0–EM7; consensus retains EM4. Implemented technology evaluated under realistic experimental workloads, datasets, scale, configurations, or heterogeneous infrastructure; no organizational pilot is demonstrated. Evidence: Formal security proofs are combined with theoretical overhead analysis and prototype experiments. The Hyperledger Fabric-based multi-chain prototype and experiment parameters are sufficiently described for the reported tests.</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</si>
  <si>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EDCA, AGMS, D-MHT/index state, audit-chain workflow and security goals are specified mathematically and procedurally. Formal security proofs are combined with theoreti</t>
  </si>
  <si>
    <t>pp. 3–9; pp. 9–12; pp. 10–11, Section VII; pp. 10–12</t>
  </si>
  <si>
    <t>pp. 3–9; pp. 10–11, Section VII</t>
  </si>
  <si>
    <t>pp. 1–3; pp. 5–11</t>
  </si>
  <si>
    <t>pp. 1–3; pp. 11–15</t>
  </si>
  <si>
    <t>pp. 5–11</t>
  </si>
  <si>
    <t>pp. 5–11; pp. 11–15</t>
  </si>
  <si>
    <t>pp. 11–15; pp. 11–12, experimental setup</t>
  </si>
  <si>
    <t>Evidence-maturity decision verified under EM0–EM7; consensus retains EM4. Implemented technology evaluated under realistic experimental workloads, datasets, scale, configurations, or heterogeneous infrastructure; no organizational pilot is demonstrated. Evidence: The protocol is assessed by theoretical complexity/security analysis and heterogeneous cross-chain experiments. The evaluation reports FISCO BCOS and Hyperledger Fabric versions, WeCross integration, client/VM hardware and varying</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</si>
  <si>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Relay-chain coordination, threshold Paillier encryption, distributed key slices, smart contracts and verification/decryption protocols are detailed. The protocol is as</t>
  </si>
  <si>
    <t>pp. 5–11; pp. 11–15; pp. 11–12, experimental setup; pp. 12–16</t>
  </si>
  <si>
    <t>pp. 5–11; pp. 11–12, experimental setup</t>
  </si>
  <si>
    <t>pp. 1–2; pp. 4–9</t>
  </si>
  <si>
    <t>pp. 1–2; pp. 9–13</t>
  </si>
  <si>
    <t>pp. 4–9; pp. 9–13</t>
  </si>
  <si>
    <t>pp. 9–13; pp. 10–12</t>
  </si>
  <si>
    <t>Evidence-maturity decision verified under EM0–EM7; consensus retains EM4. Implemented technology evaluated under realistic experimental workloads, datasets, scale, configurations, or heterogeneous infrastructure; no organizational pilot is demonstrated. Evidence: The implemented bridge is evaluated for gas cost, latency, resource use, economics and adversarial resilience. Cloud hardware, Intel SGX environment, transaction counts and attack/failure cases are explicitly documented.</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</si>
  <si>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EquiLink Service, Light Server, TEE validator/watchtower network, HTLC workflow, economic model and attack defenses are fully described. The implemented bridge is evalua</t>
  </si>
  <si>
    <t>pp. 4–9; pp. 9–13; pp. 10–12</t>
  </si>
  <si>
    <t>pp. 4–9; pp. 10–12</t>
  </si>
  <si>
    <t>pp. 1–3; pp. 2–9</t>
  </si>
  <si>
    <t>pp. 1–3; pp. 9–12</t>
  </si>
  <si>
    <t>pp. 2–9</t>
  </si>
  <si>
    <t>pp. 2–9; pp. 9–12</t>
  </si>
  <si>
    <t>pp. 9–12; pp. 9–10, experimental setup</t>
  </si>
  <si>
    <t>Evidence-maturity decision verified under EM0–EM7; consensus retains EM4. Implemented technology evaluated under realistic experimental workloads, datasets, scale, configurations, or heterogeneous infrastructure; no organizational pilot is demonstrated. Evidence: A 12K+ LoC implementation is evaluated in a large-scale heterogeneous cloud deployment under load, churn, faults and attacks. The study reports 90+ Huawei Cloud nodes across three continents, node resources, Ethereum/ChainMaker st</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</si>
  <si>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Celestial's hybrid relay, interchain data unit, geo-aware routing and Proof of Cross-chain Transmission are specified in detail. A 12K+ LoC implementation is evaluated i</t>
  </si>
  <si>
    <t>pp. 2–9; pp. 9–12; pp. 9–10, experimental setup</t>
  </si>
  <si>
    <t>pp. 2–9; pp. 9–10, experimental setup</t>
  </si>
  <si>
    <t>Value remains UNC because the actual PS040 (ShiftHub) full text is missing; the supplied PS040-named file corresponds to PS039.</t>
  </si>
  <si>
    <t>Catalog/file reconciliation; Missing full text</t>
  </si>
  <si>
    <t>Missing full text</t>
  </si>
  <si>
    <t>pp. 1–2; pp. 3–10</t>
  </si>
  <si>
    <t>pp. 1–2; pp. 10–13</t>
  </si>
  <si>
    <t>pp. 3–10</t>
  </si>
  <si>
    <t>pp. 3–10; pp. 10–13</t>
  </si>
  <si>
    <t>pp. 10–13</t>
  </si>
  <si>
    <t>Evidence-maturity decision verified under EM0–EM7; consensus retains EM4. Implemented technology evaluated under realistic experimental workloads, datasets, scale, configurations, or heterogeneous infrastructure; no organizational pilot is demonstrated. Evidence: Formal analysis is combined with an implemented Hyperledger Fabric/jsnark/libsnark prototype and systematic experiments. Fabric version, ZK libraries, server configurations, network topology, request rates and server-count variati</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</si>
  <si>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dual-balance model, four zk-SNARK transaction types, relay-chain workflow and UC/privacy guarantees are described in detail. Formal analysis is combined with an im</t>
  </si>
  <si>
    <t>pp. 3–10; pp. 10–13; pp. 10–15</t>
  </si>
  <si>
    <t>Second-pass evidence verification supports the S3 engineering-domain classification; consensus retains ED3.</t>
  </si>
  <si>
    <t>pp. 1–2; pp. 2–3</t>
  </si>
  <si>
    <t>Study design and evaluation evidence support the research-type classification; consensus retains RT3.</t>
  </si>
  <si>
    <t>The principal reported artifact/contribution supports the contribution-type classification; consensus retains CT12.</t>
  </si>
  <si>
    <t>pp. 2–3; pp. 3–4</t>
  </si>
  <si>
    <t>The reported evaluation design supports EV6; consensus retained.</t>
  </si>
  <si>
    <t>pp. 3–4; p. 3, Section IV</t>
  </si>
  <si>
    <t>The study is non-demonstrator empirical/conceptual evidence; EM is not forced under decision rule R13.</t>
  </si>
  <si>
    <t>EM remains NA under the S3 applicability/source rules.</t>
  </si>
  <si>
    <t>Reviewer-inferred TRL remains NA under the S3 applicability/source rules.</t>
  </si>
  <si>
    <t>pp. 2–3; pp. 3–4; p. 3, Section IV</t>
  </si>
  <si>
    <t>TRL scope remains NA under the S3 applicability/source rules.</t>
  </si>
  <si>
    <t>pp. 2–3; p. 3, Section IV</t>
  </si>
  <si>
    <t>pp. 1–7</t>
  </si>
  <si>
    <t>pp. 1–7; methodology sections</t>
  </si>
  <si>
    <t>The reported evaluation design supports EV7; consensus retained.</t>
  </si>
  <si>
    <t>methodology sections; methodology/demographics sections</t>
  </si>
  <si>
    <t>pp. 1–7; methodology sections; methodology/demographics sections; discussion/conclusion</t>
  </si>
  <si>
    <t>pp. 1–7; methodology/demographics sections</t>
  </si>
  <si>
    <t>pp. 1–2; pp. 2–10</t>
  </si>
  <si>
    <t>pp. 1–2; pp. 4–15</t>
  </si>
  <si>
    <t>The principal reported artifact/contribution supports the contribution-type classification; consensus retains CT10.</t>
  </si>
  <si>
    <t>pp. 2–10</t>
  </si>
  <si>
    <t>pp. 2–10; pp. 4–15</t>
  </si>
  <si>
    <t>pp. 4–15; pp. 10–15, Table 4/Section 5</t>
  </si>
  <si>
    <t>Evidence-maturity decision verified under EM0–EM7; consensus retains EM5. Representative prototype demonstrated in a relevant environment with realistic projects/users/infrastructure. Evidence: The method is specified step-by-step and evaluated through real-project usage, a worked DEX example and an early-developer survey. The evaluation reports a 14-developer early-use survey, experience/project counts, ABCDE project use and a worked real-case-derived DApp example.</t>
  </si>
  <si>
    <t>Reviewer-inferred TRL range verified independently from demonstrated technology/integration/evaluation evidence; consensus retains 5–6. Reviewer-inferred TRL 5–6 (Component/Subsystem): a representative prototype is demonstrated in an environment approaching intended use, but operational qualification/use is not established. Evidence: ABCDE covers requirements, parallel smart-contract/app flows, design, implementation, testing, integration, deployment, security and gas optimization with adapted UML. The method is specified step-by-step and evaluated t</t>
  </si>
  <si>
    <t>pp. 2–10; pp. 4–15; pp. 10–15, Table 4/Section 5; pp. 10–16</t>
  </si>
  <si>
    <t>pp. 2–10; pp. 10–15, Table 4/Section 5</t>
  </si>
  <si>
    <t>pp. 1–2; pp. 2–4</t>
  </si>
  <si>
    <t>pp. 1–2; pp. 3–5</t>
  </si>
  <si>
    <t>The principal reported artifact/contribution supports the contribution-type classification; consensus retains CT7.</t>
  </si>
  <si>
    <t>pp. 2–4</t>
  </si>
  <si>
    <t>The primary lifecycle phase evidenced in the study supports LC3; consensus retained.</t>
  </si>
  <si>
    <t>pp. 2–4; pp. 3–5</t>
  </si>
  <si>
    <t>The reported evaluation design supports EV9; consensus retained.</t>
  </si>
  <si>
    <t>pp. 3–5; pp. 4–5</t>
  </si>
  <si>
    <t>Evidence-maturity decision verified under EM0–EM7; consensus retains EM6. Operational/public-service use by intended users or in real audit/production-oriented practice. Evidence: The operational platform is described and statistics are reported, but the paper does not present a rigorous controlled evaluation of developer efficiency or usability. Platform usage volume and setup examples are given, but workload/user sampling and data-collection procedures for the operational statistics are</t>
  </si>
  <si>
    <t>7–8</t>
  </si>
  <si>
    <t>Reviewer-inferred TRL range verified independently from demonstrated technology/integration/evaluation evidence; consensus retains 7–8. Reviewer-inferred TRL 7–8 (Integrated System): the integrated technology is demonstrated/used as an operational service or in real operational practice, but sustained fully qualified operational evidence is not established. Evidence: ChainIDE 2.0's cloud IDE architecture, multi-blockchain support, CDN/cache use and development workflow are described. The operational platform is described and statistics are reported,</t>
  </si>
  <si>
    <t>pp. 2–4; pp. 3–5; pp. 4–5</t>
  </si>
  <si>
    <t>pp. 2–4; pp. 4–5</t>
  </si>
  <si>
    <t>pp. 1–3; pp. 12–19</t>
  </si>
  <si>
    <t>Study design and evaluation evidence support the research-type classification; consensus retains RT5.</t>
  </si>
  <si>
    <t>pp. 1–3; pp. 18–20</t>
  </si>
  <si>
    <t>pp. 12–19</t>
  </si>
  <si>
    <t>pp. 12–19; pp. 18–20</t>
  </si>
  <si>
    <t>pp. 18–20</t>
  </si>
  <si>
    <t>Evidence-maturity decision verified under EM0–EM7; consensus retains EM0. Conceptual contribution with no implemented evaluation of the proposed technology. Evidence: The work is a reasoned methodological discussion rather than a reproducible empirical evaluation; the authors explicitly state that the proposal is preliminary. No empirical dataset, participants or experimental environment are used because the contribution is conceptual/methodological.</t>
  </si>
  <si>
    <t>Reviewer-inferred TRL range verified independently from demonstrated technology/integration/evaluation evidence; consensus retains 1–2. Reviewer-inferred TRL 1–2 (Component/Subsystem): technology principles/concept are formulated, but an implemented technology is not validated. Evidence: A preliminary model-based approach is outlined through UML/model-based testing, smart-contract templates and code-generation concepts, but it is not specified as a complete executable method. The work is a reasoned methodological discussion rather than a reproducible</t>
  </si>
  <si>
    <t>pp. 1–3; pp. 2–8</t>
  </si>
  <si>
    <t>pp. 1–3; pp. 3–8</t>
  </si>
  <si>
    <t>pp. 2–8</t>
  </si>
  <si>
    <t>pp. 2–8; pp. 3–8</t>
  </si>
  <si>
    <t>Evidence-maturity decision verified under EM0–EM7; consensus retains EM1. Illustrative/limited demonstrator or narrow proof-of-concept evidence. Evidence: The framework is explained systematically, but no empirical or controlled validation procedure is reported. The contribution is an architectural framework illustrated by an online car-rental scenario rather than an empirical experiment.</t>
  </si>
  <si>
    <t>Reviewer-inferred TRL range verified independently from demonstrated technology/integration/evaluation evidence; consensus retains 2–3. Reviewer-inferred TRL 2–3 (Integrated System): a proof-of-concept, illustrative demonstrator, or simulation establishes feasibility but does not validate an integrated technology in a representative environment. Evidence: The legal–logic–interactive models, four-layer blockchain framework and smart-contract design/development/deployment/execution architecture are described in detail. The framework is explained system</t>
  </si>
  <si>
    <t>pp. 2–8; pp. 3–8; pp. 7–8</t>
  </si>
  <si>
    <t>pp. 1–3; pp. 3–16</t>
  </si>
  <si>
    <t>pp. 1–3; pp. 17–24</t>
  </si>
  <si>
    <t>pp. 3–16</t>
  </si>
  <si>
    <t>pp. 3–16; pp. 17–24</t>
  </si>
  <si>
    <t>pp. 17–24; pp. 17–23</t>
  </si>
  <si>
    <t>Evidence-maturity decision verified under EM0–EM7; consensus retains EM4. Implemented technology evaluated under realistic experimental workloads, datasets, scale, configurations, or heterogeneous infrastructure; no organizational pilot is demonstrated. Evidence: The approach is implemented and evaluated as case studies for feasibility, functional correctness and cost effectiveness. Four industry/government-derived use cases are described, together with generated contracts, testing workflo</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</si>
  <si>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integrated MDE approach, BPMN/asset-registry models, smart-contract generators, blockchain interaction methods and Lorikeet tool are described in detail. The appro</t>
  </si>
  <si>
    <t>pp. 3–16; pp. 17–24; pp. 17–23; pp. 23–24</t>
  </si>
  <si>
    <t>pp. 3–16; pp. 17–23</t>
  </si>
  <si>
    <t>pp. 1–3; pp. 2–7</t>
  </si>
  <si>
    <t>pp. 1–3; pp. 4–10</t>
  </si>
  <si>
    <t>pp. 2–7</t>
  </si>
  <si>
    <t>pp. 2–7; pp. 4–10</t>
  </si>
  <si>
    <t>pp. 4–10; pp. 4–7</t>
  </si>
  <si>
    <t>pp. 2–7; pp. 4–10; pp. 4–7; pp. 15–17</t>
  </si>
  <si>
    <t>pp. 2–7; pp. 4–7</t>
  </si>
  <si>
    <t>pp. 1–3; pp. 3–10</t>
  </si>
  <si>
    <t>pp. 1–3; pp. 10–16</t>
  </si>
  <si>
    <t>pp. 3–10; pp. 10–16</t>
  </si>
  <si>
    <t>pp. 10–16; pp. 10–15</t>
  </si>
  <si>
    <t>Evidence-maturity decision verified under EM0–EM7; consensus retains EM3. Working prototype evaluated in a controlled laboratory/testbed. Evidence: The implemented ATL/Acceleo transformations are applied to three Solidity documentation examples, and generated contracts are compiled, deployed and compared with originals. The three example contracts, tooling, JavaScript VM deployment environment and generated/original contract comparisons are documented.</t>
  </si>
  <si>
    <t>Reviewer-inferred TRL range verified independently from demonstrated technology/integration/evaluation evidence; consensus retains 3–4. Reviewer-inferred TRL 3–4 (Component/Subsystem): an implemented prototype/component is validated in a controlled laboratory/testbed. Evidence: Algorithms for Blockchain PIM-to-Solidity PSM transformation and PSM-to-code generation are specified with UML state-machine and structural mappings. The implemented ATL/Acceleo transformations are applied to three Solidity documentation examples, and generated contracts are c</t>
  </si>
  <si>
    <t>pp. 3–10; pp. 10–16; pp. 10–15</t>
  </si>
  <si>
    <t>pp. 3–10; pp. 10–15</t>
  </si>
  <si>
    <t>pp. 1–3; pp. 3–13</t>
  </si>
  <si>
    <t>pp. 1–3; pp. 13–15</t>
  </si>
  <si>
    <t>pp. 3–13</t>
  </si>
  <si>
    <t>pp. 3–13; pp. 13–15</t>
  </si>
  <si>
    <t>pp. 13–15; pp. 13–14</t>
  </si>
  <si>
    <t>Evidence-maturity decision verified under EM0–EM7; consensus retains EM3. Working prototype evaluated in a controlled laboratory/testbed. Evidence: The implemented tool is evaluated using five representative smart-contract cases and compared with related generation tools. Five contract scenarios, manual versus reuse-assisted generation procedure and measured code/state/function reuse variables are explicitly reported.</t>
  </si>
  <si>
    <t>Reviewer-inferred TRL range verified independently from demonstrated technology/integration/evaluation evidence; consensus retains 3–4. Reviewer-inferred TRL 3–4 (Component/Subsystem): an implemented prototype/component is validated in a controlled laboratory/testbed. Evidence: The BPMN interaction model, multi-layer reuse library, Blockly-based visual generator, security checking, compilation and deployment components are described in detail. The implemented tool is evaluated using five representative smart-contract cases and compared with related g</t>
  </si>
  <si>
    <t>pp. 3–13; pp. 13–15; pp. 13–14; pp. 14–15</t>
  </si>
  <si>
    <t>pp. 3–13; pp. 13–14</t>
  </si>
  <si>
    <t>pp. 1–3; pp. 2–3</t>
  </si>
  <si>
    <t>pp. 1–3; pp. 2–3; pp. 1–4</t>
  </si>
  <si>
    <t>pp. 1–3; pp. 3–20</t>
  </si>
  <si>
    <t>pp. 1–3; pp. 15–25</t>
  </si>
  <si>
    <t>pp. 3–20</t>
  </si>
  <si>
    <t>pp. 3–20; pp. 15–25</t>
  </si>
  <si>
    <t>pp. 15–25</t>
  </si>
  <si>
    <t>Evidence-maturity decision verified under EM0–EM7; consensus retains EM3. Working prototype evaluated in a controlled laboratory/testbed. Evidence: The method is implemented with MagicDraw, ATL and Acceleo and demonstrated by generated/deployed smart contracts on Ethereum and Hyperledger Fabric. The HackChain certificate-issuing workflow, model transformations, generated contracts, deployment environments and workflow execution are documented.</t>
  </si>
  <si>
    <t>Reviewer-inferred TRL range verified independently from demonstrated technology/integration/evaluation evidence; consensus retains 3–4. Reviewer-inferred TRL 3–4 (Component/Subsystem): an implemented prototype/component is validated in a controlled laboratory/testbed. Evidence: MDAsmartCD covers CIM, PIM, two PSMs, UML extensions and model-to-model/model-to-text transformations for Solidity and Hyperledger Go. The method is implemented with MagicDraw, ATL and Acceleo and demonstrated by generated/deployed smart contracts on Ethereum and Hyperledger F</t>
  </si>
  <si>
    <t>pp. 3–20; pp. 15–25; pp. 25–26</t>
  </si>
  <si>
    <t>pp. 1–3; pp. 3–19</t>
  </si>
  <si>
    <t>pp. 1–3; pp. 19–25</t>
  </si>
  <si>
    <t>pp. 3–19</t>
  </si>
  <si>
    <t>pp. 3–19; pp. 19–25</t>
  </si>
  <si>
    <t>The reported evaluation design supports EV2; consensus retained.</t>
  </si>
  <si>
    <t>pp. 19–25; pp. 19–24</t>
  </si>
  <si>
    <t>Evidence-maturity decision verified under EM0–EM7; consensus retains EM4. Implemented technology evaluated under realistic experimental workloads, datasets, scale, configurations, or heterogeneous infrastructure; no organizational pilot is demonstrated. Evidence: A proof-of-concept implementation is exercised on multiple business-process use cases and blockchain environments. Three trade-oriented use cases and their deployment/execution on Ethereum, Hyperledger Fabric and Quorum are descri</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</si>
  <si>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BPMN-to-DE-HSM transformations, smart-contract generation, sidechain extraction and runtime-monitoring approach are described extensively. A proof-of-concept imple</t>
  </si>
  <si>
    <t>pp. 3–19; pp. 19–25; pp. 19–24; p. 25</t>
  </si>
  <si>
    <t>pp. 3–19; pp. 19–24</t>
  </si>
  <si>
    <t>pp. 1–4; pp. 10–34</t>
  </si>
  <si>
    <t>pp. 1–4; pp. 10–35</t>
  </si>
  <si>
    <t>pp. 10–34</t>
  </si>
  <si>
    <t>The primary lifecycle phase evidenced in the study supports LC7; consensus retained.</t>
  </si>
  <si>
    <t>pp. 10–34; pp. 10–35</t>
  </si>
  <si>
    <t>pp. 10–35; pp. 3–13 and Appendix</t>
  </si>
  <si>
    <t>Evidence-maturity decision verified under EM0–EM7; consensus retains EM4. Implemented technology evaluated under realistic experimental workloads, datasets, scale, configurations, or heterogeneous infrastructure; no organizational pilot is demonstrated. Evidence: The detection method is validated against ground truth and then applied to a complete Ethereum-scale dataset with quantitative and qualitative analyses. The study covers 50,845,833 smart contracts and 1,695,517,186 transactions th</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</si>
  <si>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A behavioral proxy-detection technique, creational-pattern taxonomy and proxy type analyses are described in depth. The detection method is validated against ground tr</t>
  </si>
  <si>
    <t>pp. 10–34; pp. 10–35; pp. 3–13 and Appendix; pp. 31–38</t>
  </si>
  <si>
    <t>pp. 10–34; pp. 3–13 and Appendix</t>
  </si>
  <si>
    <t>pp. 3–4; pp. 2–3</t>
  </si>
  <si>
    <t>Evidence-maturity decision verified under EM0–EM7; consensus retains EM4. Implemented technology evaluated under realistic experimental workloads, datasets, scale, configurations, or heterogeneous infrastructure; no organizational pilot is demonstrated. Evidence: The open-source benchmark is executed systematically on five 7–8B parameter models across three complexity levels using repeated generations and pass@k. Fifteen reviewed use cases, test construction, model set, hardware, Docker/Ol</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</si>
  <si>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A TDD-inspired benchmark pipeline combining natural-language specifications, Hardhat tests, compilation and Slither analysis is specified. The open-source benchmark is</t>
  </si>
  <si>
    <t>pp. 1–3; pp. 2–10</t>
  </si>
  <si>
    <t>pp. 2–10; pp. 3–10</t>
  </si>
  <si>
    <t>pp. 3–10; pp. 1–6</t>
  </si>
  <si>
    <t>pp. 2–10; pp. 3–10; pp. 1–6; pp. 9–10</t>
  </si>
  <si>
    <t>pp. 2–10; pp. 1–6</t>
  </si>
  <si>
    <t>pp. 1–2; pp. 7–9</t>
  </si>
  <si>
    <t>pp. 3–8; pp. 7–9</t>
  </si>
  <si>
    <t>pp. 7–9</t>
  </si>
  <si>
    <t>Evidence-maturity decision verified under EM0–EM7; consensus retains EM1. Illustrative/limited demonstrator or narrow proof-of-concept evidence. Evidence: The prototype is validated against one voting smart contract in Solidity/Vyper, but there is no controlled user, usability or comparative experimental design. The voting case and represented code elements are documented, but the evaluation consists of a single reference contract with no participant or broader case sample.</t>
  </si>
  <si>
    <t>Reviewer-inferred TRL range verified independently from demonstrated technology/integration/evaluation evidence; consensus retains 2–3. Reviewer-inferred TRL 2–3 (Component/Subsystem): a proof-of-concept, illustrative demonstrator, or simulation establishes feasibility but does not validate an integrated technology in a representative environment. Evidence: SCEditor's metamodel, Eclipse Sirius implementation, Smart Contract Diagram and Function Diagram elements are described in detail. The prototype is validated against one voting smart contract in S</t>
  </si>
  <si>
    <t>pp. 3–8; pp. 7–9; pp. 9–10</t>
  </si>
  <si>
    <t>pp. 1–4; pp. 3–18</t>
  </si>
  <si>
    <t>pp. 1–4; pp. 4–18</t>
  </si>
  <si>
    <t>pp. 3–18</t>
  </si>
  <si>
    <t>pp. 3–18; pp. 4–18</t>
  </si>
  <si>
    <t>pp. 4–18; pp. 4–16</t>
  </si>
  <si>
    <t>Evidence-maturity decision verified under EM0–EM7; consensus retains EM4. Implemented technology evaluated under realistic experimental workloads, datasets, scale, configurations, or heterogeneous infrastructure; no organizational pilot is demonstrated. Evidence: The method is validated under multiple search strategies before large-scale application and is complemented by vulnerability tools and a developer survey. The study constructs multiple on-chain/open-source/bug-fix datasets, includ</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</si>
  <si>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digEvolution similarity-search algorithm, datasets and evolution/gas/security analyses are described in detail. The method is validated under multiple search strat</t>
  </si>
  <si>
    <t>pp. 3–18; pp. 4–18; pp. 4–16; pp. 18–20</t>
  </si>
  <si>
    <t>pp. 3–18; pp. 4–16</t>
  </si>
  <si>
    <t>pp. 1–3; pp. 2–4</t>
  </si>
  <si>
    <t>pp. 1–3; pp. 3–11</t>
  </si>
  <si>
    <t>pp. 2–4; pp. 3–11</t>
  </si>
  <si>
    <t>pp. 3–11; pp. 3–4</t>
  </si>
  <si>
    <t>pp. 2–4; pp. 3–11; pp. 3–4; pp. 10–11</t>
  </si>
  <si>
    <t>pp. 2–4; pp. 3–4</t>
  </si>
  <si>
    <t>Abstract; pp. 1–2; Secs. III–V</t>
  </si>
  <si>
    <t>Abstract; pp. 1–2; pp. 2; Secs. III–VII</t>
  </si>
  <si>
    <t>Secs. III–V</t>
  </si>
  <si>
    <t>Secs. III–V; pp. 2; Secs. III–VII</t>
  </si>
  <si>
    <t>pp. 2; Secs. III–VII; Secs. III, IV and VI</t>
  </si>
  <si>
    <t>Secs. III–V; pp. 2; Secs. III–VII; Secs. III, IV and VI; Secs. VII–VIII</t>
  </si>
  <si>
    <t>Secs. III–V; Secs. III, IV and VI</t>
  </si>
  <si>
    <t>Abstract; Sec. I; Secs. II-A–II-C</t>
  </si>
  <si>
    <t>Abstract; Sec. I; Secs. II–IV</t>
  </si>
  <si>
    <t>Secs. II-A–II-C</t>
  </si>
  <si>
    <t>Secs. II-A–II-C; Secs. II–IV</t>
  </si>
  <si>
    <t>Secs. II–IV; Abstract; Sec. II-A</t>
  </si>
  <si>
    <t>Evidence-maturity decision verified under EM0–EM7; consensus retains EM1. Illustrative/limited demonstrator or narrow proof-of-concept evidence. Evidence: Data collection and graph construction are explained, but the paper does not report a formal accuracy, usability or performance evaluation of the framework itself. The dataset is grounded in EthereumETL and Etherscan and contains approximately 1.3 million upgradeable proxies and nearly 15,000 historical versions.</t>
  </si>
  <si>
    <t>Reviewer-inferred TRL range verified independently from demonstrated technology/integration/evaluation evidence; consensus retains 2–3. Reviewer-inferred TRL 2–3 (Component/Subsystem): a proof-of-concept, illustrative demonstrator, or simulation establishes feasibility but does not validate an integrated technology in a representative environment. Evidence: EvoChain's data, API and user-interface layers, Neo4j graph schema, proxy/version relationships and vulnerability views are described. Data collection and graph construction are explained, but the</t>
  </si>
  <si>
    <t>Secs. II-A–II-C; Secs. II–IV; Abstract; Sec. II-A; Secs. III–V</t>
  </si>
  <si>
    <t>Secs. II-A–II-C; Abstract; Sec. II-A</t>
  </si>
  <si>
    <t>Abstract; Sec. I; Secs. II–V</t>
  </si>
  <si>
    <t>Abstract; Sec. I; Secs. VI–VII</t>
  </si>
  <si>
    <t>Secs. II–V</t>
  </si>
  <si>
    <t>Secs. II–V; Secs. VI–VII</t>
  </si>
  <si>
    <t>Secs. VI–VII; evaluation sections</t>
  </si>
  <si>
    <t>Evidence-maturity decision verified under EM0–EM7; consensus retains EM4. Implemented technology evaluated under realistic experimental workloads, datasets, scale, configurations, or heterogeneous infrastructure; no organizational pilot is demonstrated. Evidence: The approach is implemented and evaluated through extensive experiments, real-world maintenance cases, developer-effort measurements, gas analysis and state-migration verification. The evaluation uses 1,355 real-world contract-mai</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</si>
  <si>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SmartUpdater's hyperproxy pattern, DSL, optimization-oriented contract generation and SNARK-based state-migration verification are described in depth. The approach is</t>
  </si>
  <si>
    <t>Secs. II–V; Secs. VI–VII; evaluation sections; Discussion and limitations</t>
  </si>
  <si>
    <t>Secs. II–V; evaluation sections</t>
  </si>
  <si>
    <t>Value remains UNC until the peer-reviewed 2026 Version of Record replaces the supplied unreviewed preprint.</t>
  </si>
  <si>
    <t>Abstract; Sec. 1; Secs. 3–4</t>
  </si>
  <si>
    <t>Abstract; Sec. 1; Secs. 4–5</t>
  </si>
  <si>
    <t>Secs. 3–4</t>
  </si>
  <si>
    <t>Secs. 3–4; Secs. 4–5</t>
  </si>
  <si>
    <t>Secs. 4–5; evaluation section</t>
  </si>
  <si>
    <t>Secs. 3–4; Secs. 4–5; evaluation section; Secs. 4–6</t>
  </si>
  <si>
    <t>Secs. 3–4; evaluation section</t>
  </si>
  <si>
    <t>Second-pass evidence verification supports the S3 engineering-domain classification; consensus retains ED4.</t>
  </si>
  <si>
    <t>Abstract; Sec. 1; Secs. 3–5</t>
  </si>
  <si>
    <t>Abstract; Sec. 1; Sec. 6</t>
  </si>
  <si>
    <t>Secs. 3–5</t>
  </si>
  <si>
    <t>Secs. 3–5; Sec. 6</t>
  </si>
  <si>
    <t>Sec. 6</t>
  </si>
  <si>
    <t>Evidence-maturity decision verified under EM0–EM7; consensus retains EM4. Implemented technology evaluated under realistic experimental workloads, datasets, scale, configurations, or heterogeneous infrastructure; no organizational pilot is demonstrated. Evidence: Oyente is implemented and evaluated on deployed Ethereum bytecode, with manual validation of contracts having available source code and real-network attack confirmation on the authors' own accounts. The evaluation covers 19,366 Et</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</si>
  <si>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paper formalizes relevant Ethereum semantics, documents vulnerability classes and presents the Oyente symbolic-execution architecture and detectors. Oyente is impl</t>
  </si>
  <si>
    <t>Secs. 3–5; Sec. 6; Abstract; Sec. 6</t>
  </si>
  <si>
    <t>Abstract; Sec. 1; Secs. 3–6</t>
  </si>
  <si>
    <t>Abstract; Sec. 1; Sec. 7</t>
  </si>
  <si>
    <t>Secs. 3–6</t>
  </si>
  <si>
    <t>Secs. 3–6; Sec. 7</t>
  </si>
  <si>
    <t>Sec. 7; Secs. 1 and 7</t>
  </si>
  <si>
    <t>Evidence-maturity decision verified under EM0–EM7; consensus retains EM6. Operational/public-service use by intended users or in real audit/production-oriented practice. Evidence: The tool is evaluated on real-world Ethereum contracts and compared with existing analyzers, supported by practical audit experience. The study constructs Solidity/EVM datasets and reports contract-level analysis at realistic scale, together with operational experience from more than 18,000 submitted contracts an</t>
  </si>
  <si>
    <t>Reviewer-inferred TRL range verified independently from demonstrated technology/integration/evaluation evidence; consensus retains 7–8. Reviewer-inferred TRL 7–8 (Component/Subsystem): the integrated technology is demonstrated/used as an operational service or in real operational practice, but sustained fully qualified operational evidence is not established. Evidence: Securify's dependency-graph analysis, Datalog encoding, compliance/violation patterns and DSL are described in detail. The tool is evaluated on real-world Ethereum contracts and compar</t>
  </si>
  <si>
    <t>Secs. 3–6; Sec. 7; Secs. 1 and 7; Sec. 1</t>
  </si>
  <si>
    <t>Secs. 3–6; Secs. 1 and 7</t>
  </si>
  <si>
    <t>Abstract; Sec. I; Secs. III–V</t>
  </si>
  <si>
    <t>Abstract; Sec. I; Sec. VI</t>
  </si>
  <si>
    <t>Secs. III–V; Sec. VI</t>
  </si>
  <si>
    <t>Sec. VI; Sec. VI-A</t>
  </si>
  <si>
    <t>Evidence-maturity decision verified under EM0–EM7; consensus retains EM4. Implemented technology evaluated under realistic experimental workloads, datasets, scale, configurations, or heterogeneous infrastructure; no organizational pilot is demonstrated. Evidence: The framework is implemented and evaluated at scale with controlled experimental settings, comparisons with Oyente and a Fabric applicability demonstration. The authors scraped 22,493 source contracts, identified 1,524 unique cont</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</si>
  <si>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ZEUS combines policy specification, Solidity-to-LLVM translation, abstract interpretation, symbolic model checking and constrained Horn clauses in a detailed verificat</t>
  </si>
  <si>
    <t>Secs. III–V; Sec. VI; Sec. VI-A; Secs. I and VI</t>
  </si>
  <si>
    <t>Secs. III–V; Sec. VI-A</t>
  </si>
  <si>
    <t>Abstract; Sec. I; Secs. III–IV</t>
  </si>
  <si>
    <t>Secs. III–IV</t>
  </si>
  <si>
    <t>Secs. III–IV; Secs. II–IV</t>
  </si>
  <si>
    <t>Evidence-maturity decision verified under EM0–EM7; consensus retains EM1. Illustrative/limited demonstrator or narrow proof-of-concept evidence. Evidence: The CPN model and ASK-CTL verification steps are sufficiently explicit to understand and reproduce the demonstrated formal-analysis workflow. The crowdfunding contract, attacker contract, model attributes, initial markings and simulated deposit/withdrawal behavior are described in detail.</t>
  </si>
  <si>
    <t>Reviewer-inferred TRL range verified independently from demonstrated technology/integration/evaluation evidence; consensus retains 2–3. Reviewer-inferred TRL 2–3 (Component/Subsystem): a proof-of-concept, illustrative demonstrator, or simulation establishes feasibility but does not validate an integrated technology in a representative environment. Evidence: A hierarchical CPN method, attacker model, stepwise simulation, ASK-CTL queries and state-space checking procedure are described. The CPN model and ASK-CTL verification steps are sufficiently expl</t>
  </si>
  <si>
    <t>Secs. III–IV; Secs. II–IV; Secs. II–V</t>
  </si>
  <si>
    <t>Abstract; Sec. 1; Secs. 4–6</t>
  </si>
  <si>
    <t>Secs. 3–5; Secs. 4–6</t>
  </si>
  <si>
    <t>Secs. 4–6; Secs. 4 and 6</t>
  </si>
  <si>
    <t>Evidence-maturity decision verified under EM0–EM7; consensus retains EM4. Implemented technology evaluated under realistic experimental workloads, datasets, scale, configurations, or heterogeneous infrastructure; no organizational pilot is demonstrated. Evidence: The approach is grounded in an empirical study of existing tools and then evaluated against five state-of-the-art tools on a separate large real-world dataset. The study uses 11,714 Etherscan contracts for the motivating empirical</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</si>
  <si>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Clairvoyance's cross-contract interprocedural CFG, static taint analysis and path-protection-technique feasibility checking are described in detail. The approach is gr</t>
  </si>
  <si>
    <t>Secs. 3–5; Secs. 4–6; Secs. 4 and 6; Sec. 6.5–6.6</t>
  </si>
  <si>
    <t>Secs. 3–5; Secs. 4 and 6</t>
  </si>
  <si>
    <t>Abstract; Sec. I; Secs. III-A–III-C</t>
  </si>
  <si>
    <t>Abstract; Sec. I; Sec. III</t>
  </si>
  <si>
    <t>Secs. III-A–III-C</t>
  </si>
  <si>
    <t>Secs. III-A–III-C; Sec. III</t>
  </si>
  <si>
    <t>Sec. III; Sec. III-B; Sec. IV</t>
  </si>
  <si>
    <t>Evidence-maturity decision verified under EM0–EM7; consensus retains EM4. Implemented technology evaluated under realistic experimental workloads, datasets, scale, configurations, or heterogeneous infrastructure; no organizational pilot is demonstrated. Evidence: The study uses a two-phase model-construction/security-auditing design with train/test separation and systematic parameter/threshold exploration. More than 7,200 Ethereum smart contracts are collected and divided into training and</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</si>
  <si>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MSgram's text, structure and combined tokenization schemes, N-gram detectors and Intersection/Union combination strategies are explicitly defined. The study uses a two</t>
  </si>
  <si>
    <t>Secs. III-A–III-C; Sec. III; Sec. III-B; Sec. IV; Secs. IV–VII</t>
  </si>
  <si>
    <t>Secs. III-A–III-C; Sec. III-B; Sec. IV</t>
  </si>
  <si>
    <t>Abstract; Sec. I; Secs. IV–VI</t>
  </si>
  <si>
    <t>Abstract; Sec. I; Secs. V–VI</t>
  </si>
  <si>
    <t>Secs. IV–VI</t>
  </si>
  <si>
    <t>Secs. IV–VI; Secs. V–VI</t>
  </si>
  <si>
    <t>Secs. V–VI; Secs. V-B–V-C and VI</t>
  </si>
  <si>
    <t>Evidence-maturity decision verified under EM0–EM7; consensus retains EM4. Implemented technology evaluated under realistic experimental workloads, datasets, scale, configurations, or heterogeneous infrastructure; no organizational pilot is demonstrated. Evidence: The tool is evaluated using large-scale EOSIO experiments, comparison with EVulHunter, efficiency measurement and a separate Ethereum extensibility case study. The study uses 83 source-available and 65,202 bytecode EOSIO contracts</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</si>
  <si>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WANA's Wasm symbolic-execution engine and vulnerability-specific detection algorithms are described for EOSIO and extended to Ethereum. The tool is evaluated using lar</t>
  </si>
  <si>
    <t>Secs. IV–VI; Secs. V–VI; Secs. V-B–V-C and VI; Sec. VI</t>
  </si>
  <si>
    <t>Secs. IV–VI; Secs. V-B–V-C and VI</t>
  </si>
  <si>
    <t>Abstract; Sec. I; Secs. III-A–III-D</t>
  </si>
  <si>
    <t>Abstract; Sec. I; Sec. IV</t>
  </si>
  <si>
    <t>Secs. III-A–III-D</t>
  </si>
  <si>
    <t>Secs. III-A–III-D; Sec. IV</t>
  </si>
  <si>
    <t>Sec. IV; Sec. III; Sec. IV</t>
  </si>
  <si>
    <t>Evidence-maturity decision verified under EM0–EM7; consensus retains EM4. Implemented technology evaluated under realistic experimental workloads, datasets, scale, configurations, or heterogeneous infrastructure; no organizational pilot is demonstrated. Evidence: Four experiments assess pruning speed, TOD detection, overall accuracy and time consumption against Mythril/Oyente under a specified hardware/software setup. A dataset of 18,912 smart-contract source files is constructed, vulnerab</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</si>
  <si>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system combines Mythril path pruning, a transaction-order-dependence detector and an LSTM auxiliary classifier in a documented analysis pipeline. Four experiments</t>
  </si>
  <si>
    <t>Secs. III-A–III-D; Sec. IV; Sec. III; Sec. IV; Secs. IV–V</t>
  </si>
  <si>
    <t>Secs. III-A–III-D; Sec. III; Sec. IV</t>
  </si>
  <si>
    <t>Abstract; Sec. 1; Sec. 3</t>
  </si>
  <si>
    <t>Abstract; Sec. 1; Sec. 4</t>
  </si>
  <si>
    <t>Sec. 3</t>
  </si>
  <si>
    <t>Sec. 3; Sec. 4</t>
  </si>
  <si>
    <t>Sec. 4; Sec. 4.1</t>
  </si>
  <si>
    <t>Evidence-maturity decision verified under EM0–EM7; consensus retains EM4. Implemented technology evaluated under realistic experimental workloads, datasets, scale, configurations, or heterogeneous infrastructure; no organizational pilot is demonstrated. Evidence: The model is evaluated through multiple controlled experiments using public SmartBugs data, model ablations/configurations and comparisons with prior methods. SmartBugs Dataset-Wild is described, preprocessing/splitting are report</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</si>
  <si>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CBGRU combines Word2Vec/FastText representations with multiple recurrent/convolutional architectures and a hybrid feature-fusion design. The model is evaluated through</t>
  </si>
  <si>
    <t>Sec. 3; Sec. 4; Sec. 4.1; Secs. 4–5</t>
  </si>
  <si>
    <t>Sec. 3; Sec. 4.1</t>
  </si>
  <si>
    <t>Sec. 7</t>
  </si>
  <si>
    <t>Evidence-maturity decision verified under EM0–EM7; consensus retains EM4. Implemented technology evaluated under realistic experimental workloads, datasets, scale, configurations, or heterogeneous infrastructure; no organizational pilot is demonstrated. Evidence: Park is implemented as a plug-in for Oyente and Mythril and evaluated experimentally under controlled multi-core configurations. Two third-party datasets are used: SmartBugs curated vulnerable contracts and 1,000 highly triggered</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</si>
  <si>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Park's dynamic forking, adaptive process restriction/adjustment and shared-memory global-variable reconstruction algorithms are described in detail. Park is implemente</t>
  </si>
  <si>
    <t>Secs. 3–6; Sec. 7; Secs. 7–8</t>
  </si>
  <si>
    <t>Secs. 3–4; Sec. 4</t>
  </si>
  <si>
    <t>Evidence-maturity decision verified under EM0–EM7; consensus retains EM4. Implemented technology evaluated under realistic experimental workloads, datasets, scale, configurations, or heterogeneous infrastructure; no organizational pilot is demonstrated. Evidence: The approach is evaluated through large-scale experiments, extensive baselines, statistical tests and ablation studies. The study uses 47,398 real-world contracts from SmartBugs Wild and documents data preparation, propagation-cha</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</si>
  <si>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ReVulDL integrates graph-based pretraining over propagation chains with post-hoc interpretable machine learning for statement localization. The approach is evaluated t</t>
  </si>
  <si>
    <t>Secs. 3–4; Sec. 4; Sec. 4.1; Secs. 5–8</t>
  </si>
  <si>
    <t>Secs. 3–4; Sec. 4.1</t>
  </si>
  <si>
    <t>Abstract; Sec. 1; Secs. 6.2–6.5</t>
  </si>
  <si>
    <t>Secs. 3–5; Secs. 6.2–6.5</t>
  </si>
  <si>
    <t>Secs. 6.2–6.5; Secs. 4 and 6.3</t>
  </si>
  <si>
    <t>Evidence-maturity decision verified under EM0–EM7; consensus retains EM4. Implemented technology evaluated under realistic experimental workloads, datasets, scale, configurations, or heterogeneous infrastructure; no organizational pilot is demonstrated. Evidence: The evaluation procedure specifies focal loss for imbalance, k-fold cross-validation, optimizer/learning-rate choices, training/testing of known and new vulnerability types and baseline configurations. SCC collected 20,545 contrac</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</si>
  <si>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MODNN is described through the COS representation, SCC data-processing pipeline, implicit-feature extraction, BERT embeddings and multi-objective probability outputs.</t>
  </si>
  <si>
    <t>Secs. 3–5; Secs. 6.2–6.5; Secs. 4 and 6.3; Secs. 6–7</t>
  </si>
  <si>
    <t>Secs. 3–5; Secs. 4 and 6.3</t>
  </si>
  <si>
    <t>Abstract; Sec. 1; Secs. 4.1–4.3</t>
  </si>
  <si>
    <t>Secs. 3–4; Secs. 4.1–4.3</t>
  </si>
  <si>
    <t>Secs. 4.1–4.3; Sec. 4.1</t>
  </si>
  <si>
    <t>Evidence-maturity decision verified under EM0–EM7; consensus retains EM4. Implemented technology evaluated under realistic experimental workloads, datasets, scale, configurations, or heterogeneous infrastructure; no organizational pilot is demonstrated. Evidence: Dataset labeling, preprocessing, repeated training, parameter testing and model-comparison procedures are sufficiently specified to reproduce the study. SmartBugs Dataset-Wild and SolidiFI Benchmark are identified with sizes; the</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</si>
  <si>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SCVSN architecture, similarity-based Siamese learning, LSTM subnetworks, source-code normalization/tokenization and Word2Vec embedding are described in detail. Dataset</t>
  </si>
  <si>
    <t>Secs. 3–4; Secs. 4.1–4.3; Sec. 4.1; Secs. 4–5</t>
  </si>
  <si>
    <t>Abstract; Sec. I; Secs. II–III</t>
  </si>
  <si>
    <t>Secs. II–III</t>
  </si>
  <si>
    <t>Secs. II–III; Secs. III–IV</t>
  </si>
  <si>
    <t>Secs. III–IV; Sec. IV-A</t>
  </si>
  <si>
    <t>Evidence-maturity decision verified under EM0–EM7; consensus retains EM4. Implemented technology evaluated under realistic experimental workloads, datasets, scale, configurations, or heterogeneous infrastructure; no organizational pilot is demonstrated. Evidence: The tool, analysis steps, evaluation RQs, datasets, baseline execution procedure, timeouts and manual-inspection protocol are explicitly described. Evaluation uses a 15-contract CVE dataset, 47,518 SmartBugs-wild contracts and 3,0</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</si>
  <si>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AChecker combines static data-flow/taint analysis for access-control inference with symbolic execution to distinguish intended behavior from vulnerabilities. The tool,</t>
  </si>
  <si>
    <t>Secs. II–III; Secs. III–IV; Sec. IV-A; Secs. IV–VII</t>
  </si>
  <si>
    <t>Secs. II–III; Sec. IV-A</t>
  </si>
  <si>
    <t>Abstract; Sec. I; Sec. V-A</t>
  </si>
  <si>
    <t>Secs. III–IV; Sec. V-A</t>
  </si>
  <si>
    <t>Sec. V-A</t>
  </si>
  <si>
    <t>Evidence-maturity decision verified under EM0–EM7; consensus retains EM4. Implemented technology evaluated under realistic experimental workloads, datasets, scale, configurations, or heterogeneous infrastructure; no organizational pilot is demonstrated. Evidence: The workflow, threshold-selection procedure, Python implementation, datasets, hardware and real-world evaluation are specified in sufficient detail. Experiments use ESC, SmartBugs curated/wild datasets and 30,000 crawled Ethereum</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</si>
  <si>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Vulnerability-pattern extraction, semantic contract graph generation, WL-kernel approximate matching, vulnerability libraries and detection thresholds are described. T</t>
  </si>
  <si>
    <t>Secs. III–IV; Sec. V-A; Secs. V-D–VI</t>
  </si>
  <si>
    <t>Secs. 3–4; Secs. 4–6</t>
  </si>
  <si>
    <t>Secs. 4–6; Sec. 5.2–5.3</t>
  </si>
  <si>
    <t>Evidence-maturity decision verified under EM0–EM7; consensus retains EM4. Implemented technology evaluated under realistic experimental workloads, datasets, scale, configurations, or heterogeneous infrastructure; no organizational pilot is demonstrated. Evidence: Graph construction, slicing criteria, model architecture, implementation libraries and hyperparameters are described, with three explicit research-question experiments. The dataset combines SolidiFI, HuangGai, SmartBugs Curated/Wi</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</si>
  <si>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sliced joint code graph combines AST, CFG and PDG, applies vulnerability-specific program slicing, and uses bidirectional GGNN plus hybrid attention pooling. Graph</t>
  </si>
  <si>
    <t>Secs. 3–4; Secs. 4–6; Sec. 5.2–5.3; Secs. 6–9</t>
  </si>
  <si>
    <t>Secs. 3–4; Sec. 5.2–5.3</t>
  </si>
  <si>
    <t>Abstract; Sec. 1; Secs. 3.3–4.1</t>
  </si>
  <si>
    <t>Sec. 3; Secs. 3.3–4.1</t>
  </si>
  <si>
    <t>Secs. 3.3–4.1; Sec. 4.1</t>
  </si>
  <si>
    <t>Evidence-maturity decision verified under EM0–EM7; consensus retains EM4. Implemented technology evaluated under realistic experimental workloads, datasets, scale, configurations, or heterogeneous infrastructure; no organizational pilot is demonstrated. Evidence: Pretraining/fine-tuning procedures, loss, optimizer, learning rate, dropout, batch size and train/test process are sufficiently specified. Pretraining uses 42,000 SmartBugs Wild and about 70,000 Slither contracts; fine-tuning sets</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</si>
  <si>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A custom Solidity tokenizer, DistilBERT masked-language-model pretraining and DistilBERT-MLP/LSTM fine-tuning architectures are described with equations. Pretraining/f</t>
  </si>
  <si>
    <t>Sec. 3; Secs. 3.3–4.1; Sec. 4.1; Abstract; Secs. 4–5</t>
  </si>
  <si>
    <t>PDF pp. 1–2; PDF pp. 2–9</t>
  </si>
  <si>
    <t>PDF pp. 1–2; PDF pp. 2–10</t>
  </si>
  <si>
    <t>PDF pp. 2–9</t>
  </si>
  <si>
    <t>PDF pp. 2–9; PDF pp. 2–10</t>
  </si>
  <si>
    <t>PDF pp. 2–10; PDF pp. 13–16</t>
  </si>
  <si>
    <t>Evidence-maturity decision verified under EM0–EM7; consensus retains EM4. Implemented technology evaluated under realistic experimental workloads, datasets, scale, configurations, or heterogeneous infrastructure; no organizational pilot is demonstrated. Evidence: The formal model, ASM/BIP transformations, CTL-property generation, verification loop and code-generation/deployment procedure are sufficiently specified for methodological reproduction. The evaluation reports 726 deployed Ethereu</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</si>
  <si>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Solidity Deployment Diagrams, extended operational semantics, the global coordinator, model checking, code generation and deployment workflow are described in detail.</t>
  </si>
  <si>
    <t>PDF pp. 2–9; PDF pp. 2–10; PDF pp. 13–16; PDF pp. 13–17</t>
  </si>
  <si>
    <t>PDF pp. 2–9; PDF pp. 13–16</t>
  </si>
  <si>
    <t>PDF pp. 1–2, 6; PDF pp. 2–5</t>
  </si>
  <si>
    <t>PDF pp. 1–2, 6; PDF pp. 3–6</t>
  </si>
  <si>
    <t>PDF pp. 2–5</t>
  </si>
  <si>
    <t>PDF pp. 2–5; PDF pp. 3–6</t>
  </si>
  <si>
    <t>PDF pp. 3–6; PDF p. 6 and Appendix B</t>
  </si>
  <si>
    <t>Evidence-maturity decision verified under EM0–EM7; consensus retains EM4. Implemented technology evaluated under realistic experimental workloads, datasets, scale, configurations, or heterogeneous infrastructure; no organizational pilot is demonstrated. Evidence: Graph extraction, network architecture, optimization, grid-search parameters, train/test split and five-run averaging are explicitly documented. The released benchmark contains 514,880 functions from 42,910 contracts collected fro</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</si>
  <si>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source-code/bytecode graph encoders, teacher-student architecture, cross-modality mutual-learning loss and transfer losses are described in detail. Graph extractio</t>
  </si>
  <si>
    <t>PDF pp. 2–5; PDF pp. 3–6; PDF p. 6 and Appendix B; PDF pp. 6–8</t>
  </si>
  <si>
    <t>PDF pp. 2–5; PDF p. 6 and Appendix B</t>
  </si>
  <si>
    <t>PDF pp. 1–2; PDF pp. 2–6</t>
  </si>
  <si>
    <t>PDF pp. 1–2; PDF pp. 4–7</t>
  </si>
  <si>
    <t>PDF pp. 2–6</t>
  </si>
  <si>
    <t>PDF pp. 2–6; PDF pp. 4–7</t>
  </si>
  <si>
    <t>PDF pp. 4–7; PDF pp. 1–2, 6–7</t>
  </si>
  <si>
    <t>Evidence-maturity decision verified under EM0–EM7; consensus retains EM4. Implemented technology evaluated under realistic experimental workloads, datasets, scale, configurations, or heterogeneous infrastructure; no organizational pilot is demonstrated. Evidence: The graph-processing pipeline, model training, confidence threshold, dataset curation and comparative design are explicitly specified. Evaluation combines SmartBugs Curated, SolidiFI-Benchmark and collected contracts; the authors</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</si>
  <si>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Heterogeneous contract graph construction, customized meta-relations, HGT embeddings and contract/line-level classifiers are described in detail. The graph-processing</t>
  </si>
  <si>
    <t>PDF pp. 2–6; PDF pp. 4–7; PDF pp. 1–2, 6–7; PDF pp. 10–11</t>
  </si>
  <si>
    <t>PDF pp. 2–6; PDF pp. 1–2, 6–7</t>
  </si>
  <si>
    <t>PDF pp. 4–7; PDF pp. 2, 6–7</t>
  </si>
  <si>
    <t>Evidence-maturity decision verified under EM0–EM7; consensus retains EM4. Implemented technology evaluated under realistic experimental workloads, datasets, scale, configurations, or heterogeneous infrastructure; no organizational pilot is demonstrated. Evidence: The experimental pipeline, optimization strategy, model configuration, preprocessing and prompt-tuning procedure are sufficiently specified. Experiments use more than 200,000 SmartBugs Wild contracts for reentrancy and the ESC dat</t>
  </si>
  <si>
    <t>Reviewer-inferred TRL range verified independently from demonstrated technology/integration/evaluation evidence; consensus retains 4–5. Reviewer-inferred TRL 4–5 (Integrated System): an implemented technology is validated experimentally with realistic datasets, workloads, configurations or infrastructure, but qualification in a relevant operational environment is not shown. Evidence: CSCV slicing, CodeT5 representation, prompt templates, verbalizer and classification workflow are described in detail. The experimental pipeline, optimization strategy,</t>
  </si>
  <si>
    <t>PDF pp. 2–6; PDF pp. 4–7; PDF pp. 2, 6–7; PDF p. 10</t>
  </si>
  <si>
    <t>PDF pp. 2–6; PDF pp. 2, 6–7</t>
  </si>
  <si>
    <t>PDF pp. 1–3; PDF pp. 9–16</t>
  </si>
  <si>
    <t>PDF pp. 1–3; PDF pp. 16–18</t>
  </si>
  <si>
    <t>PDF pp. 9–16</t>
  </si>
  <si>
    <t>PDF pp. 9–16; PDF pp. 16–18</t>
  </si>
  <si>
    <t>PDF pp. 16–18</t>
  </si>
  <si>
    <t>Evidence-maturity decision verified under EM0–EM7; consensus retains EM4. Implemented technology evaluated under realistic experimental workloads, datasets, scale, configurations, or heterogeneous infrastructure; no organizational pilot is demonstrated. Evidence: Preprocessing, Word2Vec representation, model construction and implementation environment are sufficiently documented for the reported experiments. The two public datasets total 24,957 contracts; class distributions, training/test</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</si>
  <si>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vulnerability-fragment extraction process and hybrid Bi-GRU/single-head/multi-head attention architecture are described in detail. Preprocessing, Word2Vec represen</t>
  </si>
  <si>
    <t>PDF pp. 9–16; PDF pp. 16–18; PDF pp. 17–23</t>
  </si>
  <si>
    <t>PDF pp. 1–2; PDF pp. 2–5</t>
  </si>
  <si>
    <t>PDF pp. 2–5; PDF pp. 5–6</t>
  </si>
  <si>
    <t>Evidence-maturity decision verified under EM0–EM7; consensus retains EM1. Illustrative/limited demonstrator or narrow proof-of-concept evidence. Evidence: The analysis concepts and command workflow are described, but rule specifications and an end-to-end reproducible evaluation protocol are incomplete. The technical evaluation shows secured and deliberately vulnerable chaincode examples, but no clearly defined labelled dataset, sample size or representative workload is reported.</t>
  </si>
  <si>
    <t>Reviewer-inferred TRL range verified independently from demonstrated technology/integration/evaluation evidence; consensus retains 2–3. Reviewer-inferred TRL 2–3 (Component/Subsystem): a proof-of-concept, illustrative demonstrator, or simulation establishes feasibility but does not validate an integrated technology in a representative environment. Evidence: UBF-ChaincodeScan architecture, validation/scanning phases, AST processing, report format and eight Fabric/Node.js vulnerability checks are described. The analysis concepts and command workflow ar</t>
  </si>
  <si>
    <t>PDF pp. 2–5; PDF pp. 5–6; PDF pp. 6–7</t>
  </si>
  <si>
    <t>PDF pp. 1–2; PDF pp. 4–8</t>
  </si>
  <si>
    <t>PDF pp. 4–8</t>
  </si>
  <si>
    <t>PDF pp. 4–8; PDF pp. 1 and 8</t>
  </si>
  <si>
    <t>Evidence-maturity decision verified under EM0–EM7; consensus retains EM4. Implemented technology evaluated under realistic experimental workloads, datasets, scale, configurations, or heterogeneous infrastructure; no organizational pilot is demonstrated. Evidence: The extension is implemented in Oyente and the vulnerability-specific opcode/CFG detection procedures are sufficiently described to understand the method. The paper states that public Ethereum contracts were collected and that the</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</si>
  <si>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Detection logic and algorithms are presented for bad randomness, access control, unchecked low-level calls and DoS with unbounded operations. The extension is implemen</t>
  </si>
  <si>
    <t>PDF pp. 4–8; PDF pp. 1 and 8; PDF pp. 8–10</t>
  </si>
  <si>
    <t>PDF pp. 1–2; PDF pp. 2–13</t>
  </si>
  <si>
    <t>PDF pp. 1–2; PDF pp. 7, 13–19</t>
  </si>
  <si>
    <t>PDF pp. 2–13</t>
  </si>
  <si>
    <t>PDF pp. 2–13; PDF pp. 7, 13–19</t>
  </si>
  <si>
    <t>PDF pp. 7, 13–19; PDF pp. 7 and 13–19</t>
  </si>
  <si>
    <t>Evidence-maturity decision verified under EM0–EM7; consensus retains EM4. Implemented technology evaluated under realistic experimental workloads, datasets, scale, configurations, or heterogeneous infrastructure; no organizational pilot is demonstrated. Evidence: Data collection/labeling, model settings, training/test split, generation process and activation-validation procedures are explicitly documented. The source dataset is collected from GitHub/Gitter and Ethereum, labelled with multi</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</si>
  <si>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Static feature extraction, vulnerability-type matching, GAN fragment generation and AST-guided injection for seven vulnerability classes are described in detail. Data</t>
  </si>
  <si>
    <t>PDF pp. 2–13; PDF pp. 7, 13–19; PDF pp. 7 and 13–19; PDF pp. 16–20</t>
  </si>
  <si>
    <t>PDF pp. 2–13; PDF pp. 7 and 13–19</t>
  </si>
  <si>
    <t>PDF pp. 1–3; PDF pp. 3–6</t>
  </si>
  <si>
    <t>PDF pp. 1–3; PDF pp. 3–7</t>
  </si>
  <si>
    <t>PDF pp. 3–6</t>
  </si>
  <si>
    <t>PDF pp. 3–6; PDF pp. 3–7</t>
  </si>
  <si>
    <t>PDF pp. 3–7; PDF pp. 6–8</t>
  </si>
  <si>
    <t>Evidence-maturity decision verified under EM0–EM7; consensus retains EM4. Implemented technology evaluated under realistic experimental workloads, datasets, scale, configurations, or heterogeneous infrastructure; no organizational pilot is demonstrated. Evidence: Graph construction, encoding, attention layers, training and experimental procedures are sufficiently described for methodological reproduction. The Ethereum dataset contains thirty vulnerability types and the paper describes trai</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</si>
  <si>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CLHG construction, heterogeneous edge/node types, meta-path attention and graph-level classification are described in detail. Graph construction, encoding, attention l</t>
  </si>
  <si>
    <t>PDF pp. 3–6; PDF pp. 3–7; PDF pp. 6–8; PDF pp. 7–9</t>
  </si>
  <si>
    <t>PDF pp. 3–6; PDF pp. 6–8</t>
  </si>
  <si>
    <t>PDF pp. 1–3; PDF pp. 7–22</t>
  </si>
  <si>
    <t>PDF pp. 1–3; PDF pp. 7–23</t>
  </si>
  <si>
    <t>PDF pp. 7–22</t>
  </si>
  <si>
    <t>PDF pp. 7–22; PDF pp. 7–23</t>
  </si>
  <si>
    <t>PDF pp. 7–23; PDF pp. 22–28</t>
  </si>
  <si>
    <t>Evidence-maturity decision verified under EM0–EM7; consensus retains EM4. Implemented technology evaluated under realistic experimental workloads, datasets, scale, configurations, or heterogeneous infrastructure; no organizational pilot is demonstrated. Evidence: Contract preprocessing, intermediate representation, rule application and evaluation procedures are systematically specified. The study evaluates a labelled benchmark and a 15,773-contract Etherscan dataset; dataset processing and</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</si>
  <si>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The source-level intermediate representations, composite rules and seven detection algorithms for three vulnerability classes are described in depth. Contract preproce</t>
  </si>
  <si>
    <t>PDF pp. 7–22; PDF pp. 7–23; PDF pp. 22–28; PDF pp. 26–29</t>
  </si>
  <si>
    <t>PDF pp. 7–22; PDF pp. 22–28</t>
  </si>
  <si>
    <t>PDF pp. 1–4; PDF pp. 7–15</t>
  </si>
  <si>
    <t>PDF pp. 1–4; PDF pp. 15–17</t>
  </si>
  <si>
    <t>PDF pp. 7–15</t>
  </si>
  <si>
    <t>PDF pp. 7–15; PDF pp. 15–17</t>
  </si>
  <si>
    <t>PDF pp. 15–17; PDF pp. 16–17</t>
  </si>
  <si>
    <t>Evidence-maturity decision verified under EM0–EM7; consensus retains EM4. Implemented technology evaluated under realistic experimental workloads, datasets, scale, configurations, or heterogeneous infrastructure; no organizational pilot is demonstrated. Evidence: The implementation environment, baseline configuration, runtime limits, evaluation metrics and manual labelling procedure are explicitly specified. Dataset 1 contains 12,351 compilable real-world contracts for coverage evaluation;</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</si>
  <si>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Function-sequence extraction, coverage-guided genetic test generation and vulnerability-specific test oracles are described in detail. The implementation environment,</t>
  </si>
  <si>
    <t>PDF pp. 7–15; PDF pp. 15–17; PDF pp. 16–17; PDF pp. 21–22</t>
  </si>
  <si>
    <t>PDF pp. 7–15; PDF pp. 16–17</t>
  </si>
  <si>
    <t>PDF pp. 1–4; PDF pp. 4–8</t>
  </si>
  <si>
    <t>PDF pp. 1–4; PDF pp. 6–9</t>
  </si>
  <si>
    <t>PDF pp. 4–8; PDF pp. 6–9</t>
  </si>
  <si>
    <t>PDF pp. 6–9; PDF pp. 9–12</t>
  </si>
  <si>
    <t>Evidence-maturity decision verified under EM0–EM7; consensus retains EM4. Implemented technology evaluated under realistic experimental workloads, datasets, scale, configurations, or heterogeneous infrastructure; no organizational pilot is demonstrated. Evidence: The implementation, target algorithms, fitness parameters, instrumented execution environment and experimental protocol are explicitly reported. The study uses crafted target-reaching benchmarks, ground-truth vulnerability dataset</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</si>
  <si>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VULSEYE's code-target identification, backward state analysis, state targets, integrated fitness metric and fuzzing loop are described in detail. The implementation, t</t>
  </si>
  <si>
    <t>PDF pp. 4–8; PDF pp. 6–9; PDF pp. 9–12; PDF pp. 11–13</t>
  </si>
  <si>
    <t>PDF pp. 4–8; PDF pp. 9–12</t>
  </si>
  <si>
    <t>PDF pp. 1–3; PDF pp. 4–8</t>
  </si>
  <si>
    <t>PDF pp. 3–7</t>
  </si>
  <si>
    <t>PDF pp. 3–7; PDF pp. 4–8</t>
  </si>
  <si>
    <t>PDF pp. 4–8; PDF pp. 7–9, 12</t>
  </si>
  <si>
    <t>Evidence-maturity decision verified under EM0–EM7; consensus retains EM4. Implemented technology evaluated under realistic experimental workloads, datasets, scale, configurations, or heterogeneous infrastructure; no organizational pilot is demonstrated. Evidence: The prompt strategy, completion validation, static-analysis stages, datasets and baseline procedures are sufficiently specified for methodological reproduction. Evaluation uses a 15-CVE dataset, 5,000 recent verified on-chain cont</t>
  </si>
  <si>
    <t>Reviewer-inferred TRL range verified independently from demonstrated technology/integration/evaluation evidence; consensus retains 4–5. Reviewer-inferred TRL 4–5 (Component/Subsystem): an implemented technology is validated experimentally with realistic datasets, workloads, configurations or infrastructure, but qualification in a relevant operational environment is not shown. Evidence: Sensitive-function extraction, LLM snippet completion/self-reflection, FCG/CFG construction and access-control analysis are described in detail. The prompt strategy, c</t>
  </si>
  <si>
    <t>PDF pp. 3–7; PDF pp. 4–8; PDF pp. 7–9, 12; PDF pp. 9–12</t>
  </si>
  <si>
    <t>PDF pp. 3–7; PDF pp. 7–9,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</si>
</sst>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name val="Carlito"/>
    </font>
    <font>
      <sz val="10"/>
      <name val="Aptos"/>
    </font>
    <font>
      <b/>
      <sz val="14"/>
      <color rgb="FFFFFFFF"/>
      <name val="Times New Roman"/>
      <family val="1"/>
    </font>
    <font>
      <sz val="12"/>
      <name val="Times New Roman"/>
      <family val="1"/>
    </font>
    <font>
      <b/>
      <sz val="12"/>
      <name val="Times New Roman"/>
      <family val="1"/>
    </font>
    <font>
      <sz val="14"/>
      <name val="Times New Roman"/>
      <family val="1"/>
    </font>
    <font>
      <b/>
      <sz val="16"/>
      <color rgb="FFFFFFFF"/>
      <name val="Times New Roman"/>
      <family val="1"/>
    </font>
    <font>
      <sz val="16"/>
      <name val="Times New Roman"/>
      <family val="1"/>
    </font>
    <font>
      <sz val="14"/>
      <name val="Carlito"/>
    </font>
    <font>
      <b/>
      <sz val="16"/>
      <color rgb="FFFFFFFF"/>
      <name val="Aptos"/>
      <family val="2"/>
    </font>
    <font>
      <sz val="16"/>
      <name val="Carlito"/>
    </font>
    <font>
      <b/>
      <sz val="14"/>
      <name val="Times New Roman"/>
      <family val="1"/>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E7E6E6"/>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3" fillId="0" borderId="0" xfId="0" applyFont="1"/>
    <xf numFmtId="0" fontId="4" fillId="3" borderId="0" xfId="0" applyFont="1" applyFill="1" applyAlignment="1">
      <alignment vertical="top" wrapText="1"/>
    </xf>
    <xf numFmtId="0" fontId="3" fillId="0" borderId="0" xfId="0" applyFont="1" applyAlignment="1">
      <alignment wrapText="1"/>
    </xf>
    <xf numFmtId="0" fontId="2" fillId="2" borderId="0" xfId="0" applyFont="1" applyFill="1" applyAlignment="1">
      <alignment horizontal="center" vertical="center" wrapText="1"/>
    </xf>
    <xf numFmtId="0" fontId="5" fillId="0" borderId="0" xfId="0" applyFont="1"/>
    <xf numFmtId="0" fontId="7" fillId="0" borderId="0" xfId="0" applyFont="1"/>
    <xf numFmtId="0" fontId="3" fillId="0" borderId="0" xfId="0" applyFont="1" applyAlignment="1">
      <alignment vertical="top" wrapText="1"/>
    </xf>
    <xf numFmtId="164" fontId="3" fillId="0" borderId="0" xfId="0" applyNumberFormat="1" applyFont="1" applyAlignment="1">
      <alignment vertical="top" wrapText="1"/>
    </xf>
    <xf numFmtId="0" fontId="8" fillId="0" borderId="0" xfId="0" applyFont="1"/>
    <xf numFmtId="0" fontId="10" fillId="0" borderId="0" xfId="0" applyFont="1"/>
    <xf numFmtId="0" fontId="6" fillId="0" borderId="0" xfId="0" applyFont="1"/>
    <xf numFmtId="0" fontId="3" fillId="0" borderId="0" xfId="0" applyFont="1" applyAlignment="1">
      <alignment horizontal="center" vertical="center" wrapText="1"/>
    </xf>
    <xf numFmtId="0" fontId="3" fillId="5" borderId="0" xfId="0" applyFont="1" applyFill="1" applyAlignment="1">
      <alignment vertical="top" wrapText="1"/>
    </xf>
    <xf numFmtId="0" fontId="3" fillId="4" borderId="0" xfId="0" applyFont="1" applyFill="1" applyAlignment="1">
      <alignment vertical="top" wrapText="1"/>
    </xf>
    <xf numFmtId="0" fontId="6" fillId="2" borderId="0" xfId="0" applyFont="1" applyFill="1" applyAlignment="1">
      <alignment horizontal="center" vertical="center"/>
    </xf>
    <xf numFmtId="0" fontId="9" fillId="2" borderId="0" xfId="0" applyFont="1" applyFill="1" applyAlignment="1">
      <alignment horizontal="center" vertical="center"/>
    </xf>
    <xf numFmtId="0" fontId="11" fillId="4" borderId="0" xfId="0" applyFont="1" applyFill="1" applyAlignment="1">
      <alignment horizontal="center"/>
    </xf>
    <xf numFmtId="0" fontId="3" fillId="0" borderId="0" xfId="0" applyFont="1" applyAlignment="1">
      <alignment vertical="top" wrapText="1"/>
    </xf>
  </cellXfs>
  <cellStyles count="1">
    <cellStyle name="Normal" xfId="0" builtinId="0"/>
  </cellStyles>
  <dxfs count="13">
    <dxf>
      <fill>
        <patternFill patternType="solid">
          <bgColor rgb="FFFFF2CC"/>
        </patternFill>
      </fill>
    </dxf>
    <dxf>
      <fill>
        <patternFill patternType="solid">
          <bgColor rgb="FFE2F0D9"/>
        </patternFill>
      </fill>
    </dxf>
    <dxf>
      <fill>
        <patternFill patternType="solid">
          <bgColor rgb="FFE7E6E6"/>
        </patternFill>
      </fill>
    </dxf>
    <dxf>
      <fill>
        <patternFill patternType="solid">
          <bgColor rgb="FFE2F0D9"/>
        </patternFill>
      </fill>
    </dxf>
    <dxf>
      <fill>
        <patternFill patternType="solid">
          <bgColor rgb="FFE7E6E6"/>
        </patternFill>
      </fill>
    </dxf>
    <dxf>
      <fill>
        <patternFill patternType="solid">
          <bgColor rgb="FFFFF2CC"/>
        </patternFill>
      </fill>
    </dxf>
    <dxf>
      <fill>
        <patternFill patternType="solid">
          <bgColor rgb="FFE2F0D9"/>
        </patternFill>
      </fill>
    </dxf>
    <dxf>
      <fill>
        <patternFill>
          <bgColor rgb="FFE2F0D9"/>
        </patternFill>
      </fill>
    </dxf>
    <dxf>
      <font>
        <b/>
      </font>
      <fill>
        <patternFill>
          <bgColor rgb="FFFCE4D6"/>
        </patternFill>
      </fill>
    </dxf>
    <dxf>
      <fill>
        <patternFill patternType="solid">
          <bgColor rgb="FFE7E6E6"/>
        </patternFill>
      </fill>
    </dxf>
    <dxf>
      <fill>
        <patternFill patternType="solid">
          <bgColor rgb="FFFFF2CC"/>
        </patternFill>
      </fill>
    </dxf>
    <dxf>
      <fill>
        <patternFill patternType="solid">
          <bgColor rgb="FFFFF2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Extraction Progress</a:t>
            </a:r>
          </a:p>
        </c:rich>
      </c:tx>
      <c:overlay val="1"/>
    </c:title>
    <c:autoTitleDeleted val="0"/>
    <c:plotArea>
      <c:layout/>
      <c:barChart>
        <c:barDir val="col"/>
        <c:grouping val="clustered"/>
        <c:varyColors val="0"/>
        <c:ser>
          <c:idx val="0"/>
          <c:order val="0"/>
          <c:tx>
            <c:v>Series 1</c:v>
          </c:tx>
          <c:invertIfNegative val="1"/>
          <c:cat>
            <c:strRef>
              <c:f>Completion_Summary!$A$5:$A$9</c:f>
              <c:strCache>
                <c:ptCount val="5"/>
                <c:pt idx="0">
                  <c:v>Eligible for extraction</c:v>
                </c:pt>
                <c:pt idx="1">
                  <c:v>On hold / unresolved</c:v>
                </c:pt>
                <c:pt idx="2">
                  <c:v>Classification primary ED completed</c:v>
                </c:pt>
                <c:pt idx="3">
                  <c:v>Evidence-maturity coding completed</c:v>
                </c:pt>
                <c:pt idx="4">
                  <c:v>Reviewer-TRL range completed</c:v>
                </c:pt>
              </c:strCache>
            </c:strRef>
          </c:cat>
          <c:val>
            <c:numRef>
              <c:f>Completion_Summary!$B$5:$B$9</c:f>
              <c:numCache>
                <c:formatCode>General</c:formatCode>
                <c:ptCount val="5"/>
                <c:pt idx="0">
                  <c:v>88</c:v>
                </c:pt>
                <c:pt idx="1">
                  <c:v>6</c:v>
                </c:pt>
                <c:pt idx="2">
                  <c:v>94</c:v>
                </c:pt>
                <c:pt idx="3">
                  <c:v>94</c:v>
                </c:pt>
                <c:pt idx="4">
                  <c:v>81</c:v>
                </c:pt>
              </c:numCache>
            </c:numRef>
          </c:val>
          <c:extLst>
            <c:ext xmlns:c16="http://schemas.microsoft.com/office/drawing/2014/chart" uri="{C3380CC4-5D6E-409C-BE32-E72D297353CC}">
              <c16:uniqueId val="{00000000-FBB5-4F53-AC6B-68DA2467D29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D14"/>
  <sheetViews>
    <sheetView workbookViewId="0">
      <selection sqref="A1:XFD1"/>
    </sheetView>
  </sheetViews>
  <sheetFormatPr defaultRowHeight="15.75"/>
  <cols>
    <col min="1" max="1" width="28" style="2" customWidth="1"/>
    <col min="2" max="2" width="100" style="2" customWidth="1"/>
    <col min="3" max="16384" width="9" style="2"/>
  </cols>
  <sheetData>
    <row r="1" spans="1:4" s="7" customFormat="1" ht="20.25">
      <c r="A1" s="16" t="s">
        <v>0</v>
      </c>
      <c r="B1" s="16"/>
      <c r="C1" s="16"/>
      <c r="D1" s="16"/>
    </row>
    <row r="3" spans="1:4" s="6" customFormat="1" ht="18.75">
      <c r="A3" s="5" t="s">
        <v>1</v>
      </c>
      <c r="B3" s="5" t="s">
        <v>2</v>
      </c>
    </row>
    <row r="4" spans="1:4" ht="31.5">
      <c r="A4" s="3" t="s">
        <v>3</v>
      </c>
      <c r="B4" s="4" t="s">
        <v>4</v>
      </c>
    </row>
    <row r="5" spans="1:4" ht="31.5">
      <c r="A5" s="3" t="s">
        <v>5</v>
      </c>
      <c r="B5" s="4" t="s">
        <v>6</v>
      </c>
    </row>
    <row r="6" spans="1:4" ht="31.5">
      <c r="A6" s="3" t="s">
        <v>7</v>
      </c>
      <c r="B6" s="4" t="s">
        <v>8</v>
      </c>
    </row>
    <row r="7" spans="1:4" ht="31.5">
      <c r="A7" s="3" t="s">
        <v>9</v>
      </c>
      <c r="B7" s="4" t="s">
        <v>10</v>
      </c>
    </row>
    <row r="8" spans="1:4" ht="31.5">
      <c r="A8" s="3" t="s">
        <v>11</v>
      </c>
      <c r="B8" s="4" t="s">
        <v>12</v>
      </c>
    </row>
    <row r="9" spans="1:4" ht="31.5">
      <c r="A9" s="3" t="s">
        <v>13</v>
      </c>
      <c r="B9" s="4" t="s">
        <v>14</v>
      </c>
    </row>
    <row r="10" spans="1:4" ht="31.5">
      <c r="A10" s="3" t="s">
        <v>15</v>
      </c>
      <c r="B10" s="4" t="s">
        <v>16</v>
      </c>
    </row>
    <row r="11" spans="1:4" ht="31.5">
      <c r="A11" s="3" t="s">
        <v>17</v>
      </c>
      <c r="B11" s="4" t="s">
        <v>18</v>
      </c>
    </row>
    <row r="12" spans="1:4" ht="31.5">
      <c r="A12" s="3" t="s">
        <v>19</v>
      </c>
      <c r="B12" s="4" t="s">
        <v>20</v>
      </c>
    </row>
    <row r="13" spans="1:4" ht="31.5">
      <c r="A13" s="3" t="s">
        <v>21</v>
      </c>
      <c r="B13" s="4" t="s">
        <v>22</v>
      </c>
    </row>
    <row r="14" spans="1:4">
      <c r="A14" s="3" t="s">
        <v>23</v>
      </c>
      <c r="B14" s="4" t="s">
        <v>24</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R24"/>
  <sheetViews>
    <sheetView workbookViewId="0">
      <selection activeCell="B7" sqref="B7"/>
    </sheetView>
  </sheetViews>
  <sheetFormatPr defaultRowHeight="15.75"/>
  <cols>
    <col min="1" max="13" width="24" style="2" customWidth="1"/>
    <col min="14" max="14" width="9" style="2"/>
    <col min="15" max="16" width="36" style="2" customWidth="1"/>
    <col min="17" max="16384" width="9" style="2"/>
  </cols>
  <sheetData>
    <row r="1" spans="1:18" s="7" customFormat="1" ht="20.25">
      <c r="A1" s="16" t="s">
        <v>25</v>
      </c>
      <c r="B1" s="16"/>
      <c r="C1" s="16"/>
      <c r="D1" s="16"/>
      <c r="E1" s="16"/>
      <c r="F1" s="16"/>
      <c r="G1" s="16"/>
      <c r="H1" s="16"/>
      <c r="I1" s="16"/>
      <c r="J1" s="16"/>
      <c r="K1" s="16"/>
      <c r="L1" s="16"/>
      <c r="M1" s="16"/>
      <c r="N1" s="16"/>
      <c r="O1" s="16"/>
      <c r="P1" s="16"/>
      <c r="Q1" s="16"/>
      <c r="R1" s="16"/>
    </row>
    <row r="3" spans="1:18" s="6" customFormat="1" ht="18.75">
      <c r="A3" s="5" t="s">
        <v>26</v>
      </c>
      <c r="B3" s="5" t="s">
        <v>27</v>
      </c>
      <c r="C3" s="5" t="s">
        <v>28</v>
      </c>
      <c r="D3" s="5" t="s">
        <v>29</v>
      </c>
      <c r="E3" s="5" t="s">
        <v>30</v>
      </c>
      <c r="F3" s="5" t="s">
        <v>31</v>
      </c>
      <c r="G3" s="5" t="s">
        <v>32</v>
      </c>
      <c r="H3" s="5" t="s">
        <v>33</v>
      </c>
      <c r="I3" s="5" t="s">
        <v>34</v>
      </c>
      <c r="J3" s="5" t="s">
        <v>35</v>
      </c>
      <c r="K3" s="5" t="s">
        <v>36</v>
      </c>
      <c r="L3" s="5" t="s">
        <v>37</v>
      </c>
      <c r="M3" s="5" t="s">
        <v>38</v>
      </c>
      <c r="O3" s="5" t="s">
        <v>39</v>
      </c>
      <c r="P3" s="5" t="s">
        <v>40</v>
      </c>
    </row>
    <row r="4" spans="1:18">
      <c r="A4" s="2" t="s">
        <v>41</v>
      </c>
      <c r="B4" s="2" t="s">
        <v>42</v>
      </c>
      <c r="C4" s="2" t="s">
        <v>43</v>
      </c>
      <c r="D4" s="2" t="s">
        <v>44</v>
      </c>
      <c r="E4" s="2" t="s">
        <v>45</v>
      </c>
      <c r="F4" s="2" t="s">
        <v>46</v>
      </c>
      <c r="G4" s="2" t="s">
        <v>47</v>
      </c>
      <c r="H4" s="2" t="s">
        <v>48</v>
      </c>
      <c r="I4" s="2" t="s">
        <v>49</v>
      </c>
      <c r="J4" s="2" t="s">
        <v>50</v>
      </c>
      <c r="K4" s="2" t="s">
        <v>51</v>
      </c>
      <c r="L4" s="2" t="s">
        <v>52</v>
      </c>
      <c r="M4" s="2" t="s">
        <v>53</v>
      </c>
      <c r="O4" s="4" t="s">
        <v>54</v>
      </c>
      <c r="P4" s="4" t="s">
        <v>55</v>
      </c>
    </row>
    <row r="5" spans="1:18">
      <c r="A5" s="2" t="s">
        <v>56</v>
      </c>
      <c r="B5" s="2" t="s">
        <v>57</v>
      </c>
      <c r="C5" s="2" t="s">
        <v>58</v>
      </c>
      <c r="D5" s="2" t="s">
        <v>59</v>
      </c>
      <c r="E5" s="2" t="s">
        <v>60</v>
      </c>
      <c r="F5" s="2" t="s">
        <v>61</v>
      </c>
      <c r="G5" s="2" t="s">
        <v>62</v>
      </c>
      <c r="H5" s="2" t="s">
        <v>63</v>
      </c>
      <c r="I5" s="2" t="s">
        <v>64</v>
      </c>
      <c r="J5" s="2" t="s">
        <v>65</v>
      </c>
      <c r="K5" s="2" t="s">
        <v>66</v>
      </c>
      <c r="L5" s="2" t="s">
        <v>67</v>
      </c>
      <c r="M5" s="2" t="s">
        <v>68</v>
      </c>
      <c r="O5" s="4" t="s">
        <v>69</v>
      </c>
      <c r="P5" s="4" t="s">
        <v>70</v>
      </c>
    </row>
    <row r="6" spans="1:18">
      <c r="A6" s="2" t="s">
        <v>71</v>
      </c>
      <c r="B6" s="2" t="s">
        <v>72</v>
      </c>
      <c r="C6" s="2" t="s">
        <v>73</v>
      </c>
      <c r="D6" s="2" t="s">
        <v>74</v>
      </c>
      <c r="E6" s="2" t="s">
        <v>75</v>
      </c>
      <c r="F6" s="2" t="s">
        <v>76</v>
      </c>
      <c r="G6" s="2" t="s">
        <v>77</v>
      </c>
      <c r="H6" s="2" t="s">
        <v>78</v>
      </c>
      <c r="I6" s="2" t="s">
        <v>78</v>
      </c>
      <c r="J6" s="2" t="s">
        <v>78</v>
      </c>
      <c r="K6" s="2" t="s">
        <v>79</v>
      </c>
      <c r="L6" s="2" t="s">
        <v>80</v>
      </c>
      <c r="M6" s="2" t="s">
        <v>78</v>
      </c>
      <c r="O6" s="4" t="s">
        <v>81</v>
      </c>
      <c r="P6" s="4" t="s">
        <v>82</v>
      </c>
    </row>
    <row r="7" spans="1:18">
      <c r="A7" s="2" t="s">
        <v>83</v>
      </c>
      <c r="B7" s="2" t="s">
        <v>84</v>
      </c>
      <c r="C7" s="2" t="s">
        <v>85</v>
      </c>
      <c r="D7" s="2" t="s">
        <v>86</v>
      </c>
      <c r="E7" s="2" t="s">
        <v>87</v>
      </c>
      <c r="F7" s="2" t="s">
        <v>88</v>
      </c>
      <c r="G7" s="2" t="s">
        <v>89</v>
      </c>
      <c r="K7" s="2" t="s">
        <v>90</v>
      </c>
      <c r="L7" s="2" t="s">
        <v>91</v>
      </c>
      <c r="O7" s="4" t="s">
        <v>92</v>
      </c>
      <c r="P7" s="4" t="s">
        <v>93</v>
      </c>
    </row>
    <row r="8" spans="1:18">
      <c r="B8" s="2" t="s">
        <v>94</v>
      </c>
      <c r="C8" s="2" t="s">
        <v>95</v>
      </c>
      <c r="D8" s="2" t="s">
        <v>96</v>
      </c>
      <c r="E8" s="2" t="s">
        <v>97</v>
      </c>
      <c r="F8" s="2" t="s">
        <v>98</v>
      </c>
      <c r="G8" s="2" t="s">
        <v>99</v>
      </c>
      <c r="K8" s="2" t="s">
        <v>100</v>
      </c>
      <c r="O8" s="4" t="s">
        <v>101</v>
      </c>
      <c r="P8" s="4" t="s">
        <v>102</v>
      </c>
    </row>
    <row r="9" spans="1:18">
      <c r="B9" s="2" t="s">
        <v>103</v>
      </c>
      <c r="C9" s="2" t="s">
        <v>104</v>
      </c>
      <c r="D9" s="2" t="s">
        <v>105</v>
      </c>
      <c r="E9" s="2" t="s">
        <v>106</v>
      </c>
      <c r="F9" s="2" t="s">
        <v>107</v>
      </c>
      <c r="G9" s="2" t="s">
        <v>108</v>
      </c>
      <c r="O9" s="4" t="s">
        <v>109</v>
      </c>
      <c r="P9" s="4" t="s">
        <v>110</v>
      </c>
    </row>
    <row r="10" spans="1:18">
      <c r="C10" s="2" t="s">
        <v>111</v>
      </c>
      <c r="D10" s="2" t="s">
        <v>112</v>
      </c>
      <c r="E10" s="2" t="s">
        <v>113</v>
      </c>
      <c r="F10" s="2" t="s">
        <v>114</v>
      </c>
      <c r="G10" s="2" t="s">
        <v>115</v>
      </c>
      <c r="O10" s="4" t="s">
        <v>116</v>
      </c>
      <c r="P10" s="4" t="s">
        <v>117</v>
      </c>
    </row>
    <row r="11" spans="1:18">
      <c r="C11" s="2" t="s">
        <v>118</v>
      </c>
      <c r="D11" s="2" t="s">
        <v>119</v>
      </c>
      <c r="E11" s="2" t="s">
        <v>120</v>
      </c>
      <c r="F11" s="2" t="s">
        <v>121</v>
      </c>
      <c r="G11" s="2" t="s">
        <v>122</v>
      </c>
      <c r="O11" s="4" t="s">
        <v>123</v>
      </c>
      <c r="P11" s="4" t="s">
        <v>124</v>
      </c>
    </row>
    <row r="12" spans="1:18">
      <c r="C12" s="2" t="s">
        <v>125</v>
      </c>
      <c r="E12" s="2" t="s">
        <v>126</v>
      </c>
      <c r="F12" s="2" t="s">
        <v>127</v>
      </c>
      <c r="O12" s="4" t="s">
        <v>128</v>
      </c>
      <c r="P12" s="4" t="s">
        <v>129</v>
      </c>
    </row>
    <row r="13" spans="1:18">
      <c r="C13" s="2" t="s">
        <v>130</v>
      </c>
      <c r="E13" s="2" t="s">
        <v>131</v>
      </c>
      <c r="F13" s="2" t="s">
        <v>132</v>
      </c>
      <c r="O13" s="4" t="s">
        <v>133</v>
      </c>
      <c r="P13" s="4" t="s">
        <v>134</v>
      </c>
    </row>
    <row r="14" spans="1:18">
      <c r="C14" s="2" t="s">
        <v>135</v>
      </c>
      <c r="E14" s="2" t="s">
        <v>136</v>
      </c>
      <c r="F14" s="2" t="s">
        <v>137</v>
      </c>
      <c r="O14" s="4" t="s">
        <v>138</v>
      </c>
      <c r="P14" s="4" t="s">
        <v>139</v>
      </c>
    </row>
    <row r="15" spans="1:18">
      <c r="C15" s="2" t="s">
        <v>140</v>
      </c>
      <c r="E15" s="2" t="s">
        <v>141</v>
      </c>
      <c r="F15" s="2" t="s">
        <v>142</v>
      </c>
      <c r="O15" s="4" t="s">
        <v>143</v>
      </c>
      <c r="P15" s="4" t="s">
        <v>144</v>
      </c>
    </row>
    <row r="16" spans="1:18">
      <c r="E16" s="2" t="s">
        <v>145</v>
      </c>
      <c r="O16" s="4" t="s">
        <v>146</v>
      </c>
      <c r="P16" s="4" t="s">
        <v>147</v>
      </c>
    </row>
    <row r="17" spans="15:16">
      <c r="O17" s="4" t="s">
        <v>148</v>
      </c>
      <c r="P17" s="4" t="s">
        <v>149</v>
      </c>
    </row>
    <row r="18" spans="15:16">
      <c r="O18" s="4" t="s">
        <v>150</v>
      </c>
      <c r="P18" s="4" t="s">
        <v>151</v>
      </c>
    </row>
    <row r="19" spans="15:16">
      <c r="O19" s="4" t="s">
        <v>152</v>
      </c>
      <c r="P19" s="4" t="s">
        <v>153</v>
      </c>
    </row>
    <row r="20" spans="15:16">
      <c r="O20" s="4" t="s">
        <v>154</v>
      </c>
      <c r="P20" s="4" t="s">
        <v>155</v>
      </c>
    </row>
    <row r="21" spans="15:16">
      <c r="O21" s="4" t="s">
        <v>156</v>
      </c>
      <c r="P21" s="4" t="s">
        <v>157</v>
      </c>
    </row>
    <row r="22" spans="15:16">
      <c r="O22" s="4" t="s">
        <v>158</v>
      </c>
      <c r="P22" s="4" t="s">
        <v>159</v>
      </c>
    </row>
    <row r="23" spans="15:16">
      <c r="O23" s="4" t="s">
        <v>160</v>
      </c>
      <c r="P23" s="4" t="s">
        <v>161</v>
      </c>
    </row>
    <row r="24" spans="15:16">
      <c r="O24" s="4" t="s">
        <v>162</v>
      </c>
      <c r="P24" s="4" t="s">
        <v>163</v>
      </c>
    </row>
  </sheetData>
  <mergeCells count="1">
    <mergeCell ref="A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R97"/>
  <sheetViews>
    <sheetView workbookViewId="0">
      <selection activeCell="B4" sqref="B4"/>
    </sheetView>
  </sheetViews>
  <sheetFormatPr defaultRowHeight="14.25"/>
  <cols>
    <col min="1" max="1" width="11" customWidth="1"/>
    <col min="2" max="2" width="38" customWidth="1"/>
    <col min="3" max="3" width="9" customWidth="1"/>
    <col min="4" max="4" width="52" customWidth="1"/>
    <col min="5" max="5" width="20" customWidth="1"/>
    <col min="6" max="6" width="28" customWidth="1"/>
    <col min="7" max="8" width="42" customWidth="1"/>
    <col min="9" max="9" width="32" customWidth="1"/>
    <col min="10" max="10" width="40" customWidth="1"/>
    <col min="11" max="11" width="90" customWidth="1"/>
    <col min="12" max="12" width="36" customWidth="1"/>
    <col min="13" max="13" width="28" customWidth="1"/>
    <col min="14" max="14" width="60" customWidth="1"/>
    <col min="15" max="15" width="14" customWidth="1"/>
    <col min="16" max="16" width="16" customWidth="1"/>
    <col min="17" max="18" width="18" customWidth="1"/>
  </cols>
  <sheetData>
    <row r="1" spans="1:18" s="11" customFormat="1" ht="21">
      <c r="A1" s="17" t="s">
        <v>164</v>
      </c>
      <c r="B1" s="17"/>
      <c r="C1" s="17"/>
      <c r="D1" s="17"/>
      <c r="E1" s="17"/>
      <c r="F1" s="17"/>
      <c r="G1" s="17"/>
      <c r="H1" s="17"/>
      <c r="I1" s="17"/>
      <c r="J1" s="17"/>
      <c r="K1" s="17"/>
      <c r="L1" s="17"/>
      <c r="M1" s="17"/>
      <c r="N1" s="17"/>
      <c r="O1" s="17"/>
      <c r="P1" s="17"/>
      <c r="Q1" s="17"/>
      <c r="R1" s="17"/>
    </row>
    <row r="2" spans="1:18" ht="15">
      <c r="A2" s="1"/>
      <c r="B2" s="1"/>
      <c r="C2" s="1"/>
      <c r="D2" s="1"/>
      <c r="E2" s="1"/>
      <c r="F2" s="1"/>
      <c r="G2" s="1"/>
      <c r="H2" s="1"/>
      <c r="I2" s="1"/>
      <c r="J2" s="1"/>
      <c r="K2" s="1"/>
      <c r="L2" s="1"/>
      <c r="M2" s="1"/>
      <c r="N2" s="1"/>
      <c r="O2" s="1"/>
      <c r="P2" s="1"/>
      <c r="Q2" s="1"/>
      <c r="R2" s="1"/>
    </row>
    <row r="3" spans="1:18" s="10" customFormat="1" ht="37.5">
      <c r="A3" s="5" t="s">
        <v>165</v>
      </c>
      <c r="B3" s="5" t="s">
        <v>166</v>
      </c>
      <c r="C3" s="5" t="s">
        <v>167</v>
      </c>
      <c r="D3" s="5" t="s">
        <v>168</v>
      </c>
      <c r="E3" s="5" t="s">
        <v>37</v>
      </c>
      <c r="F3" s="5" t="s">
        <v>169</v>
      </c>
      <c r="G3" s="5" t="s">
        <v>170</v>
      </c>
      <c r="H3" s="5" t="s">
        <v>171</v>
      </c>
      <c r="I3" s="5" t="s">
        <v>172</v>
      </c>
      <c r="J3" s="5" t="s">
        <v>173</v>
      </c>
      <c r="K3" s="5" t="s">
        <v>174</v>
      </c>
      <c r="L3" s="5" t="s">
        <v>175</v>
      </c>
      <c r="M3" s="5" t="s">
        <v>176</v>
      </c>
      <c r="N3" s="5" t="s">
        <v>177</v>
      </c>
      <c r="O3" s="5" t="s">
        <v>178</v>
      </c>
      <c r="P3" s="5" t="s">
        <v>179</v>
      </c>
      <c r="Q3" s="5" t="s">
        <v>180</v>
      </c>
      <c r="R3" s="5" t="s">
        <v>36</v>
      </c>
    </row>
    <row r="4" spans="1:18" ht="409.5">
      <c r="A4" s="8" t="s">
        <v>181</v>
      </c>
      <c r="B4" s="8" t="s">
        <v>182</v>
      </c>
      <c r="C4" s="8">
        <v>2017</v>
      </c>
      <c r="D4" s="8" t="s">
        <v>183</v>
      </c>
      <c r="E4" s="8"/>
      <c r="F4" s="8" t="s">
        <v>184</v>
      </c>
      <c r="G4" s="8" t="s">
        <v>185</v>
      </c>
      <c r="H4" s="8" t="s">
        <v>186</v>
      </c>
      <c r="I4" s="8" t="s">
        <v>187</v>
      </c>
      <c r="J4" s="8" t="s">
        <v>188</v>
      </c>
      <c r="K4" s="8" t="s">
        <v>189</v>
      </c>
      <c r="L4" s="8" t="s">
        <v>190</v>
      </c>
      <c r="M4" s="8" t="s">
        <v>191</v>
      </c>
      <c r="N4" s="8" t="s">
        <v>192</v>
      </c>
      <c r="O4" s="9">
        <v>0.94444444444444442</v>
      </c>
      <c r="P4" s="8" t="s">
        <v>193</v>
      </c>
      <c r="Q4" s="8" t="s">
        <v>48</v>
      </c>
      <c r="R4" s="8" t="s">
        <v>51</v>
      </c>
    </row>
    <row r="5" spans="1:18" ht="393.75">
      <c r="A5" s="8" t="s">
        <v>194</v>
      </c>
      <c r="B5" s="8" t="s">
        <v>195</v>
      </c>
      <c r="C5" s="8">
        <v>2018</v>
      </c>
      <c r="D5" s="8" t="s">
        <v>196</v>
      </c>
      <c r="E5" s="8"/>
      <c r="F5" s="8" t="s">
        <v>197</v>
      </c>
      <c r="G5" s="8" t="s">
        <v>198</v>
      </c>
      <c r="H5" s="8" t="s">
        <v>199</v>
      </c>
      <c r="I5" s="8" t="s">
        <v>187</v>
      </c>
      <c r="J5" s="8" t="s">
        <v>188</v>
      </c>
      <c r="K5" s="8" t="s">
        <v>200</v>
      </c>
      <c r="L5" s="8" t="s">
        <v>190</v>
      </c>
      <c r="M5" s="8" t="s">
        <v>191</v>
      </c>
      <c r="N5" s="8" t="s">
        <v>201</v>
      </c>
      <c r="O5" s="9">
        <v>0.88888888888888884</v>
      </c>
      <c r="P5" s="8" t="s">
        <v>193</v>
      </c>
      <c r="Q5" s="8" t="s">
        <v>48</v>
      </c>
      <c r="R5" s="8" t="s">
        <v>51</v>
      </c>
    </row>
    <row r="6" spans="1:18" ht="204.75">
      <c r="A6" s="8" t="s">
        <v>202</v>
      </c>
      <c r="B6" s="8" t="s">
        <v>203</v>
      </c>
      <c r="C6" s="8">
        <v>2019</v>
      </c>
      <c r="D6" s="8" t="s">
        <v>204</v>
      </c>
      <c r="E6" s="8"/>
      <c r="F6" s="8" t="s">
        <v>205</v>
      </c>
      <c r="G6" s="8" t="s">
        <v>206</v>
      </c>
      <c r="H6" s="8" t="s">
        <v>207</v>
      </c>
      <c r="I6" s="8" t="s">
        <v>187</v>
      </c>
      <c r="J6" s="8" t="s">
        <v>208</v>
      </c>
      <c r="K6" s="8" t="s">
        <v>209</v>
      </c>
      <c r="L6" s="8" t="s">
        <v>190</v>
      </c>
      <c r="M6" s="8" t="s">
        <v>191</v>
      </c>
      <c r="N6" s="8" t="s">
        <v>210</v>
      </c>
      <c r="O6" s="9">
        <v>0.88888888888888884</v>
      </c>
      <c r="P6" s="8" t="s">
        <v>193</v>
      </c>
      <c r="Q6" s="8" t="s">
        <v>48</v>
      </c>
      <c r="R6" s="8" t="s">
        <v>51</v>
      </c>
    </row>
    <row r="7" spans="1:18" ht="189">
      <c r="A7" s="8" t="s">
        <v>211</v>
      </c>
      <c r="B7" s="8" t="s">
        <v>212</v>
      </c>
      <c r="C7" s="8">
        <v>2020</v>
      </c>
      <c r="D7" s="8" t="s">
        <v>213</v>
      </c>
      <c r="E7" s="8"/>
      <c r="F7" s="8" t="s">
        <v>214</v>
      </c>
      <c r="G7" s="8" t="s">
        <v>215</v>
      </c>
      <c r="H7" s="8" t="s">
        <v>216</v>
      </c>
      <c r="I7" s="8" t="s">
        <v>217</v>
      </c>
      <c r="J7" s="8" t="s">
        <v>218</v>
      </c>
      <c r="K7" s="8" t="s">
        <v>219</v>
      </c>
      <c r="L7" s="8" t="s">
        <v>190</v>
      </c>
      <c r="M7" s="8" t="s">
        <v>191</v>
      </c>
      <c r="N7" s="8" t="s">
        <v>220</v>
      </c>
      <c r="O7" s="9">
        <v>0.83333333333333337</v>
      </c>
      <c r="P7" s="8" t="s">
        <v>193</v>
      </c>
      <c r="Q7" s="8" t="s">
        <v>48</v>
      </c>
      <c r="R7" s="8" t="s">
        <v>51</v>
      </c>
    </row>
    <row r="8" spans="1:18" ht="189">
      <c r="A8" s="8" t="s">
        <v>221</v>
      </c>
      <c r="B8" s="8" t="s">
        <v>222</v>
      </c>
      <c r="C8" s="8">
        <v>2021</v>
      </c>
      <c r="D8" s="8" t="s">
        <v>223</v>
      </c>
      <c r="E8" s="8"/>
      <c r="F8" s="8" t="s">
        <v>224</v>
      </c>
      <c r="G8" s="8" t="s">
        <v>225</v>
      </c>
      <c r="H8" s="8" t="s">
        <v>226</v>
      </c>
      <c r="I8" s="8" t="s">
        <v>217</v>
      </c>
      <c r="J8" s="8" t="s">
        <v>227</v>
      </c>
      <c r="K8" s="8" t="s">
        <v>228</v>
      </c>
      <c r="L8" s="8" t="s">
        <v>190</v>
      </c>
      <c r="M8" s="8" t="s">
        <v>191</v>
      </c>
      <c r="N8" s="8" t="s">
        <v>229</v>
      </c>
      <c r="O8" s="9">
        <v>0.83333333333333337</v>
      </c>
      <c r="P8" s="8" t="s">
        <v>193</v>
      </c>
      <c r="Q8" s="8" t="s">
        <v>48</v>
      </c>
      <c r="R8" s="8" t="s">
        <v>51</v>
      </c>
    </row>
    <row r="9" spans="1:18" ht="252">
      <c r="A9" s="8" t="s">
        <v>230</v>
      </c>
      <c r="B9" s="8" t="s">
        <v>231</v>
      </c>
      <c r="C9" s="8">
        <v>2021</v>
      </c>
      <c r="D9" s="8" t="s">
        <v>232</v>
      </c>
      <c r="E9" s="8"/>
      <c r="F9" s="8" t="s">
        <v>233</v>
      </c>
      <c r="G9" s="8" t="s">
        <v>234</v>
      </c>
      <c r="H9" s="8" t="s">
        <v>235</v>
      </c>
      <c r="I9" s="8" t="s">
        <v>236</v>
      </c>
      <c r="J9" s="8" t="s">
        <v>237</v>
      </c>
      <c r="K9" s="8" t="s">
        <v>238</v>
      </c>
      <c r="L9" s="8" t="s">
        <v>190</v>
      </c>
      <c r="M9" s="8" t="s">
        <v>191</v>
      </c>
      <c r="N9" s="8" t="s">
        <v>239</v>
      </c>
      <c r="O9" s="9">
        <v>0.83333333333333337</v>
      </c>
      <c r="P9" s="8" t="s">
        <v>193</v>
      </c>
      <c r="Q9" s="8" t="s">
        <v>48</v>
      </c>
      <c r="R9" s="8" t="s">
        <v>51</v>
      </c>
    </row>
    <row r="10" spans="1:18" ht="252">
      <c r="A10" s="8" t="s">
        <v>240</v>
      </c>
      <c r="B10" s="8" t="s">
        <v>241</v>
      </c>
      <c r="C10" s="8">
        <v>2022</v>
      </c>
      <c r="D10" s="8" t="s">
        <v>242</v>
      </c>
      <c r="E10" s="8"/>
      <c r="F10" s="8" t="s">
        <v>243</v>
      </c>
      <c r="G10" s="8" t="s">
        <v>244</v>
      </c>
      <c r="H10" s="8" t="s">
        <v>245</v>
      </c>
      <c r="I10" s="8" t="s">
        <v>246</v>
      </c>
      <c r="J10" s="8" t="s">
        <v>247</v>
      </c>
      <c r="K10" s="8" t="s">
        <v>248</v>
      </c>
      <c r="L10" s="8" t="s">
        <v>190</v>
      </c>
      <c r="M10" s="8" t="s">
        <v>191</v>
      </c>
      <c r="N10" s="8" t="s">
        <v>249</v>
      </c>
      <c r="O10" s="9">
        <v>0.83333333333333337</v>
      </c>
      <c r="P10" s="8" t="s">
        <v>193</v>
      </c>
      <c r="Q10" s="8" t="s">
        <v>48</v>
      </c>
      <c r="R10" s="8" t="s">
        <v>51</v>
      </c>
    </row>
    <row r="11" spans="1:18" ht="204.75">
      <c r="A11" s="8" t="s">
        <v>250</v>
      </c>
      <c r="B11" s="8" t="s">
        <v>251</v>
      </c>
      <c r="C11" s="8">
        <v>2023</v>
      </c>
      <c r="D11" s="8" t="s">
        <v>252</v>
      </c>
      <c r="E11" s="8"/>
      <c r="F11" s="8" t="s">
        <v>253</v>
      </c>
      <c r="G11" s="8" t="s">
        <v>254</v>
      </c>
      <c r="H11" s="8" t="s">
        <v>255</v>
      </c>
      <c r="I11" s="8" t="s">
        <v>246</v>
      </c>
      <c r="J11" s="8" t="s">
        <v>256</v>
      </c>
      <c r="K11" s="8" t="s">
        <v>257</v>
      </c>
      <c r="L11" s="8" t="s">
        <v>190</v>
      </c>
      <c r="M11" s="8" t="s">
        <v>191</v>
      </c>
      <c r="N11" s="8" t="s">
        <v>258</v>
      </c>
      <c r="O11" s="9">
        <v>0.83333333333333337</v>
      </c>
      <c r="P11" s="8" t="s">
        <v>193</v>
      </c>
      <c r="Q11" s="8" t="s">
        <v>48</v>
      </c>
      <c r="R11" s="8" t="s">
        <v>51</v>
      </c>
    </row>
    <row r="12" spans="1:18" ht="220.5">
      <c r="A12" s="8" t="s">
        <v>259</v>
      </c>
      <c r="B12" s="8" t="s">
        <v>260</v>
      </c>
      <c r="C12" s="8">
        <v>2023</v>
      </c>
      <c r="D12" s="8" t="s">
        <v>261</v>
      </c>
      <c r="E12" s="8"/>
      <c r="F12" s="8" t="s">
        <v>262</v>
      </c>
      <c r="G12" s="8" t="s">
        <v>263</v>
      </c>
      <c r="H12" s="8" t="s">
        <v>264</v>
      </c>
      <c r="I12" s="8" t="s">
        <v>217</v>
      </c>
      <c r="J12" s="8" t="s">
        <v>265</v>
      </c>
      <c r="K12" s="8" t="s">
        <v>266</v>
      </c>
      <c r="L12" s="8" t="s">
        <v>190</v>
      </c>
      <c r="M12" s="8" t="s">
        <v>191</v>
      </c>
      <c r="N12" s="8" t="s">
        <v>267</v>
      </c>
      <c r="O12" s="9">
        <v>0.83333333333333337</v>
      </c>
      <c r="P12" s="8" t="s">
        <v>193</v>
      </c>
      <c r="Q12" s="8" t="s">
        <v>48</v>
      </c>
      <c r="R12" s="8" t="s">
        <v>51</v>
      </c>
    </row>
    <row r="13" spans="1:18" ht="220.5">
      <c r="A13" s="8" t="s">
        <v>268</v>
      </c>
      <c r="B13" s="8" t="s">
        <v>269</v>
      </c>
      <c r="C13" s="8">
        <v>2024</v>
      </c>
      <c r="D13" s="8" t="s">
        <v>270</v>
      </c>
      <c r="E13" s="8"/>
      <c r="F13" s="8" t="s">
        <v>271</v>
      </c>
      <c r="G13" s="8" t="s">
        <v>272</v>
      </c>
      <c r="H13" s="8" t="s">
        <v>273</v>
      </c>
      <c r="I13" s="8" t="s">
        <v>246</v>
      </c>
      <c r="J13" s="8" t="s">
        <v>274</v>
      </c>
      <c r="K13" s="8" t="s">
        <v>275</v>
      </c>
      <c r="L13" s="8" t="s">
        <v>190</v>
      </c>
      <c r="M13" s="8" t="s">
        <v>191</v>
      </c>
      <c r="N13" s="8" t="s">
        <v>276</v>
      </c>
      <c r="O13" s="9">
        <v>0.88888888888888884</v>
      </c>
      <c r="P13" s="8" t="s">
        <v>193</v>
      </c>
      <c r="Q13" s="8" t="s">
        <v>48</v>
      </c>
      <c r="R13" s="8" t="s">
        <v>51</v>
      </c>
    </row>
    <row r="14" spans="1:18" ht="267.75">
      <c r="A14" s="8" t="s">
        <v>277</v>
      </c>
      <c r="B14" s="8" t="s">
        <v>278</v>
      </c>
      <c r="C14" s="8">
        <v>2024</v>
      </c>
      <c r="D14" s="8" t="s">
        <v>279</v>
      </c>
      <c r="E14" s="8"/>
      <c r="F14" s="8" t="s">
        <v>280</v>
      </c>
      <c r="G14" s="8" t="s">
        <v>281</v>
      </c>
      <c r="H14" s="8" t="s">
        <v>255</v>
      </c>
      <c r="I14" s="8" t="s">
        <v>246</v>
      </c>
      <c r="J14" s="8" t="s">
        <v>282</v>
      </c>
      <c r="K14" s="8" t="s">
        <v>283</v>
      </c>
      <c r="L14" s="8" t="s">
        <v>190</v>
      </c>
      <c r="M14" s="8" t="s">
        <v>191</v>
      </c>
      <c r="N14" s="8" t="s">
        <v>284</v>
      </c>
      <c r="O14" s="9">
        <v>0.83333333333333337</v>
      </c>
      <c r="P14" s="8" t="s">
        <v>193</v>
      </c>
      <c r="Q14" s="8" t="s">
        <v>48</v>
      </c>
      <c r="R14" s="8" t="s">
        <v>51</v>
      </c>
    </row>
    <row r="15" spans="1:18" ht="204.75">
      <c r="A15" s="8" t="s">
        <v>285</v>
      </c>
      <c r="B15" s="8" t="s">
        <v>286</v>
      </c>
      <c r="C15" s="8">
        <v>2024</v>
      </c>
      <c r="D15" s="8" t="s">
        <v>287</v>
      </c>
      <c r="E15" s="8"/>
      <c r="F15" s="8" t="s">
        <v>288</v>
      </c>
      <c r="G15" s="8" t="s">
        <v>289</v>
      </c>
      <c r="H15" s="8" t="s">
        <v>290</v>
      </c>
      <c r="I15" s="8" t="s">
        <v>236</v>
      </c>
      <c r="J15" s="8" t="s">
        <v>291</v>
      </c>
      <c r="K15" s="8" t="s">
        <v>292</v>
      </c>
      <c r="L15" s="8" t="s">
        <v>190</v>
      </c>
      <c r="M15" s="8" t="s">
        <v>191</v>
      </c>
      <c r="N15" s="8" t="s">
        <v>293</v>
      </c>
      <c r="O15" s="9">
        <v>0.88888888888888884</v>
      </c>
      <c r="P15" s="8" t="s">
        <v>193</v>
      </c>
      <c r="Q15" s="8" t="s">
        <v>48</v>
      </c>
      <c r="R15" s="8" t="s">
        <v>51</v>
      </c>
    </row>
    <row r="16" spans="1:18" ht="299.25">
      <c r="A16" s="8" t="s">
        <v>294</v>
      </c>
      <c r="B16" s="8" t="s">
        <v>295</v>
      </c>
      <c r="C16" s="8">
        <v>2024</v>
      </c>
      <c r="D16" s="8" t="s">
        <v>296</v>
      </c>
      <c r="E16" s="8"/>
      <c r="F16" s="8" t="s">
        <v>297</v>
      </c>
      <c r="G16" s="8" t="s">
        <v>298</v>
      </c>
      <c r="H16" s="8" t="s">
        <v>299</v>
      </c>
      <c r="I16" s="8" t="s">
        <v>300</v>
      </c>
      <c r="J16" s="8" t="s">
        <v>301</v>
      </c>
      <c r="K16" s="8" t="s">
        <v>302</v>
      </c>
      <c r="L16" s="8" t="s">
        <v>190</v>
      </c>
      <c r="M16" s="8" t="s">
        <v>191</v>
      </c>
      <c r="N16" s="8" t="s">
        <v>303</v>
      </c>
      <c r="O16" s="9">
        <v>0.83333333333333337</v>
      </c>
      <c r="P16" s="8" t="s">
        <v>193</v>
      </c>
      <c r="Q16" s="8" t="s">
        <v>48</v>
      </c>
      <c r="R16" s="8" t="s">
        <v>51</v>
      </c>
    </row>
    <row r="17" spans="1:18" ht="220.5">
      <c r="A17" s="8" t="s">
        <v>304</v>
      </c>
      <c r="B17" s="8" t="s">
        <v>305</v>
      </c>
      <c r="C17" s="8">
        <v>2024</v>
      </c>
      <c r="D17" s="8" t="s">
        <v>306</v>
      </c>
      <c r="E17" s="8"/>
      <c r="F17" s="8" t="s">
        <v>307</v>
      </c>
      <c r="G17" s="8" t="s">
        <v>308</v>
      </c>
      <c r="H17" s="8" t="s">
        <v>309</v>
      </c>
      <c r="I17" s="8" t="s">
        <v>310</v>
      </c>
      <c r="J17" s="8" t="s">
        <v>311</v>
      </c>
      <c r="K17" s="8" t="s">
        <v>312</v>
      </c>
      <c r="L17" s="8" t="s">
        <v>190</v>
      </c>
      <c r="M17" s="8" t="s">
        <v>313</v>
      </c>
      <c r="N17" s="8" t="s">
        <v>314</v>
      </c>
      <c r="O17" s="9"/>
      <c r="P17" s="8"/>
      <c r="Q17" s="8" t="s">
        <v>90</v>
      </c>
      <c r="R17" s="8" t="s">
        <v>90</v>
      </c>
    </row>
    <row r="18" spans="1:18" ht="204.75">
      <c r="A18" s="8" t="s">
        <v>315</v>
      </c>
      <c r="B18" s="8" t="s">
        <v>316</v>
      </c>
      <c r="C18" s="8">
        <v>2024</v>
      </c>
      <c r="D18" s="8" t="s">
        <v>317</v>
      </c>
      <c r="E18" s="8"/>
      <c r="F18" s="8" t="s">
        <v>318</v>
      </c>
      <c r="G18" s="8" t="s">
        <v>319</v>
      </c>
      <c r="H18" s="8" t="s">
        <v>309</v>
      </c>
      <c r="I18" s="8" t="s">
        <v>217</v>
      </c>
      <c r="J18" s="8" t="s">
        <v>320</v>
      </c>
      <c r="K18" s="8" t="s">
        <v>321</v>
      </c>
      <c r="L18" s="8" t="s">
        <v>190</v>
      </c>
      <c r="M18" s="8" t="s">
        <v>322</v>
      </c>
      <c r="N18" s="8" t="s">
        <v>323</v>
      </c>
      <c r="O18" s="9"/>
      <c r="P18" s="8"/>
      <c r="Q18" s="8" t="s">
        <v>90</v>
      </c>
      <c r="R18" s="8" t="s">
        <v>90</v>
      </c>
    </row>
    <row r="19" spans="1:18" ht="157.5">
      <c r="A19" s="8" t="s">
        <v>324</v>
      </c>
      <c r="B19" s="8" t="s">
        <v>325</v>
      </c>
      <c r="C19" s="8">
        <v>2024</v>
      </c>
      <c r="D19" s="8" t="s">
        <v>326</v>
      </c>
      <c r="E19" s="8"/>
      <c r="F19" s="8" t="s">
        <v>327</v>
      </c>
      <c r="G19" s="8" t="s">
        <v>328</v>
      </c>
      <c r="H19" s="8" t="s">
        <v>290</v>
      </c>
      <c r="I19" s="8" t="s">
        <v>217</v>
      </c>
      <c r="J19" s="8" t="s">
        <v>329</v>
      </c>
      <c r="K19" s="8" t="s">
        <v>330</v>
      </c>
      <c r="L19" s="8" t="s">
        <v>190</v>
      </c>
      <c r="M19" s="8" t="s">
        <v>191</v>
      </c>
      <c r="N19" s="8" t="s">
        <v>331</v>
      </c>
      <c r="O19" s="9">
        <v>0.83333333333333337</v>
      </c>
      <c r="P19" s="8" t="s">
        <v>193</v>
      </c>
      <c r="Q19" s="8" t="s">
        <v>48</v>
      </c>
      <c r="R19" s="8" t="s">
        <v>51</v>
      </c>
    </row>
    <row r="20" spans="1:18" ht="189">
      <c r="A20" s="8" t="s">
        <v>332</v>
      </c>
      <c r="B20" s="8" t="s">
        <v>333</v>
      </c>
      <c r="C20" s="8">
        <v>2024</v>
      </c>
      <c r="D20" s="8" t="s">
        <v>334</v>
      </c>
      <c r="E20" s="8"/>
      <c r="F20" s="8" t="s">
        <v>335</v>
      </c>
      <c r="G20" s="8" t="s">
        <v>336</v>
      </c>
      <c r="H20" s="8" t="s">
        <v>264</v>
      </c>
      <c r="I20" s="8" t="s">
        <v>217</v>
      </c>
      <c r="J20" s="8" t="s">
        <v>337</v>
      </c>
      <c r="K20" s="8" t="s">
        <v>338</v>
      </c>
      <c r="L20" s="8" t="s">
        <v>190</v>
      </c>
      <c r="M20" s="8" t="s">
        <v>191</v>
      </c>
      <c r="N20" s="8" t="s">
        <v>339</v>
      </c>
      <c r="O20" s="9">
        <v>0.83333333333333337</v>
      </c>
      <c r="P20" s="8" t="s">
        <v>193</v>
      </c>
      <c r="Q20" s="8" t="s">
        <v>48</v>
      </c>
      <c r="R20" s="8" t="s">
        <v>51</v>
      </c>
    </row>
    <row r="21" spans="1:18" ht="173.25">
      <c r="A21" s="8" t="s">
        <v>340</v>
      </c>
      <c r="B21" s="8" t="s">
        <v>341</v>
      </c>
      <c r="C21" s="8">
        <v>2024</v>
      </c>
      <c r="D21" s="8" t="s">
        <v>342</v>
      </c>
      <c r="E21" s="8"/>
      <c r="F21" s="8" t="s">
        <v>343</v>
      </c>
      <c r="G21" s="8" t="s">
        <v>344</v>
      </c>
      <c r="H21" s="8" t="s">
        <v>245</v>
      </c>
      <c r="I21" s="8" t="s">
        <v>246</v>
      </c>
      <c r="J21" s="8" t="s">
        <v>345</v>
      </c>
      <c r="K21" s="8" t="s">
        <v>346</v>
      </c>
      <c r="L21" s="8" t="s">
        <v>190</v>
      </c>
      <c r="M21" s="8" t="s">
        <v>191</v>
      </c>
      <c r="N21" s="8" t="s">
        <v>347</v>
      </c>
      <c r="O21" s="9">
        <v>0.94444444444444442</v>
      </c>
      <c r="P21" s="8" t="s">
        <v>193</v>
      </c>
      <c r="Q21" s="8" t="s">
        <v>48</v>
      </c>
      <c r="R21" s="8" t="s">
        <v>51</v>
      </c>
    </row>
    <row r="22" spans="1:18" ht="362.25">
      <c r="A22" s="8" t="s">
        <v>348</v>
      </c>
      <c r="B22" s="8" t="s">
        <v>349</v>
      </c>
      <c r="C22" s="8">
        <v>2025</v>
      </c>
      <c r="D22" s="8" t="s">
        <v>350</v>
      </c>
      <c r="E22" s="8"/>
      <c r="F22" s="8" t="s">
        <v>351</v>
      </c>
      <c r="G22" s="8" t="s">
        <v>352</v>
      </c>
      <c r="H22" s="8" t="s">
        <v>264</v>
      </c>
      <c r="I22" s="8" t="s">
        <v>246</v>
      </c>
      <c r="J22" s="8" t="s">
        <v>353</v>
      </c>
      <c r="K22" s="8" t="s">
        <v>354</v>
      </c>
      <c r="L22" s="8" t="s">
        <v>190</v>
      </c>
      <c r="M22" s="8" t="s">
        <v>191</v>
      </c>
      <c r="N22" s="8" t="s">
        <v>355</v>
      </c>
      <c r="O22" s="9">
        <v>1</v>
      </c>
      <c r="P22" s="8" t="s">
        <v>193</v>
      </c>
      <c r="Q22" s="8" t="s">
        <v>48</v>
      </c>
      <c r="R22" s="8" t="s">
        <v>51</v>
      </c>
    </row>
    <row r="23" spans="1:18" ht="220.5">
      <c r="A23" s="8" t="s">
        <v>356</v>
      </c>
      <c r="B23" s="8" t="s">
        <v>357</v>
      </c>
      <c r="C23" s="8">
        <v>2025</v>
      </c>
      <c r="D23" s="8" t="s">
        <v>358</v>
      </c>
      <c r="E23" s="8"/>
      <c r="F23" s="8" t="s">
        <v>359</v>
      </c>
      <c r="G23" s="8" t="s">
        <v>360</v>
      </c>
      <c r="H23" s="8" t="s">
        <v>216</v>
      </c>
      <c r="I23" s="8" t="s">
        <v>217</v>
      </c>
      <c r="J23" s="8" t="s">
        <v>361</v>
      </c>
      <c r="K23" s="8" t="s">
        <v>362</v>
      </c>
      <c r="L23" s="8" t="s">
        <v>190</v>
      </c>
      <c r="M23" s="8" t="s">
        <v>191</v>
      </c>
      <c r="N23" s="8" t="s">
        <v>363</v>
      </c>
      <c r="O23" s="9">
        <v>0.83333333333333337</v>
      </c>
      <c r="P23" s="8" t="s">
        <v>193</v>
      </c>
      <c r="Q23" s="8" t="s">
        <v>48</v>
      </c>
      <c r="R23" s="8" t="s">
        <v>51</v>
      </c>
    </row>
    <row r="24" spans="1:18" ht="220.5">
      <c r="A24" s="8" t="s">
        <v>364</v>
      </c>
      <c r="B24" s="8" t="s">
        <v>365</v>
      </c>
      <c r="C24" s="8">
        <v>2025</v>
      </c>
      <c r="D24" s="8" t="s">
        <v>366</v>
      </c>
      <c r="E24" s="8"/>
      <c r="F24" s="8" t="s">
        <v>367</v>
      </c>
      <c r="G24" s="8" t="s">
        <v>368</v>
      </c>
      <c r="H24" s="8" t="s">
        <v>264</v>
      </c>
      <c r="I24" s="8" t="s">
        <v>217</v>
      </c>
      <c r="J24" s="8" t="s">
        <v>369</v>
      </c>
      <c r="K24" s="8" t="s">
        <v>370</v>
      </c>
      <c r="L24" s="8" t="s">
        <v>190</v>
      </c>
      <c r="M24" s="8" t="s">
        <v>191</v>
      </c>
      <c r="N24" s="8" t="s">
        <v>371</v>
      </c>
      <c r="O24" s="9">
        <v>0.88888888888888884</v>
      </c>
      <c r="P24" s="8" t="s">
        <v>193</v>
      </c>
      <c r="Q24" s="8" t="s">
        <v>48</v>
      </c>
      <c r="R24" s="8" t="s">
        <v>51</v>
      </c>
    </row>
    <row r="25" spans="1:18" ht="204.75">
      <c r="A25" s="8" t="s">
        <v>372</v>
      </c>
      <c r="B25" s="8" t="s">
        <v>373</v>
      </c>
      <c r="C25" s="8">
        <v>2025</v>
      </c>
      <c r="D25" s="8" t="s">
        <v>374</v>
      </c>
      <c r="E25" s="8"/>
      <c r="F25" s="8" t="s">
        <v>375</v>
      </c>
      <c r="G25" s="8" t="s">
        <v>376</v>
      </c>
      <c r="H25" s="8" t="s">
        <v>273</v>
      </c>
      <c r="I25" s="8" t="s">
        <v>217</v>
      </c>
      <c r="J25" s="8" t="s">
        <v>377</v>
      </c>
      <c r="K25" s="8" t="s">
        <v>378</v>
      </c>
      <c r="L25" s="8" t="s">
        <v>190</v>
      </c>
      <c r="M25" s="8" t="s">
        <v>191</v>
      </c>
      <c r="N25" s="8" t="s">
        <v>379</v>
      </c>
      <c r="O25" s="9">
        <v>0.88888888888888884</v>
      </c>
      <c r="P25" s="8" t="s">
        <v>193</v>
      </c>
      <c r="Q25" s="8" t="s">
        <v>48</v>
      </c>
      <c r="R25" s="8" t="s">
        <v>51</v>
      </c>
    </row>
    <row r="26" spans="1:18" ht="252">
      <c r="A26" s="8" t="s">
        <v>380</v>
      </c>
      <c r="B26" s="8" t="s">
        <v>381</v>
      </c>
      <c r="C26" s="8">
        <v>2025</v>
      </c>
      <c r="D26" s="8" t="s">
        <v>382</v>
      </c>
      <c r="E26" s="8"/>
      <c r="F26" s="8" t="s">
        <v>383</v>
      </c>
      <c r="G26" s="8" t="s">
        <v>384</v>
      </c>
      <c r="H26" s="8" t="s">
        <v>385</v>
      </c>
      <c r="I26" s="8" t="s">
        <v>217</v>
      </c>
      <c r="J26" s="8" t="s">
        <v>386</v>
      </c>
      <c r="K26" s="8" t="s">
        <v>387</v>
      </c>
      <c r="L26" s="8" t="s">
        <v>190</v>
      </c>
      <c r="M26" s="8" t="s">
        <v>191</v>
      </c>
      <c r="N26" s="8" t="s">
        <v>388</v>
      </c>
      <c r="O26" s="9">
        <v>0.94444444444444442</v>
      </c>
      <c r="P26" s="8" t="s">
        <v>193</v>
      </c>
      <c r="Q26" s="8" t="s">
        <v>48</v>
      </c>
      <c r="R26" s="8" t="s">
        <v>51</v>
      </c>
    </row>
    <row r="27" spans="1:18" ht="252">
      <c r="A27" s="8" t="s">
        <v>389</v>
      </c>
      <c r="B27" s="8" t="s">
        <v>390</v>
      </c>
      <c r="C27" s="8">
        <v>2025</v>
      </c>
      <c r="D27" s="8" t="s">
        <v>391</v>
      </c>
      <c r="E27" s="8"/>
      <c r="F27" s="8" t="s">
        <v>392</v>
      </c>
      <c r="G27" s="8" t="s">
        <v>393</v>
      </c>
      <c r="H27" s="8" t="s">
        <v>245</v>
      </c>
      <c r="I27" s="8" t="s">
        <v>236</v>
      </c>
      <c r="J27" s="8" t="s">
        <v>394</v>
      </c>
      <c r="K27" s="8" t="s">
        <v>395</v>
      </c>
      <c r="L27" s="8" t="s">
        <v>190</v>
      </c>
      <c r="M27" s="8" t="s">
        <v>191</v>
      </c>
      <c r="N27" s="8" t="s">
        <v>396</v>
      </c>
      <c r="O27" s="9">
        <v>0.83333333333333337</v>
      </c>
      <c r="P27" s="8" t="s">
        <v>193</v>
      </c>
      <c r="Q27" s="8" t="s">
        <v>48</v>
      </c>
      <c r="R27" s="8" t="s">
        <v>51</v>
      </c>
    </row>
    <row r="28" spans="1:18" ht="315">
      <c r="A28" s="8" t="s">
        <v>397</v>
      </c>
      <c r="B28" s="8" t="s">
        <v>398</v>
      </c>
      <c r="C28" s="8">
        <v>2026</v>
      </c>
      <c r="D28" s="8" t="s">
        <v>399</v>
      </c>
      <c r="E28" s="8"/>
      <c r="F28" s="8" t="s">
        <v>400</v>
      </c>
      <c r="G28" s="8" t="s">
        <v>401</v>
      </c>
      <c r="H28" s="8" t="s">
        <v>273</v>
      </c>
      <c r="I28" s="8" t="s">
        <v>217</v>
      </c>
      <c r="J28" s="8" t="s">
        <v>402</v>
      </c>
      <c r="K28" s="8" t="s">
        <v>403</v>
      </c>
      <c r="L28" s="8" t="s">
        <v>190</v>
      </c>
      <c r="M28" s="8" t="s">
        <v>191</v>
      </c>
      <c r="N28" s="8" t="s">
        <v>404</v>
      </c>
      <c r="O28" s="9">
        <v>0.88888888888888884</v>
      </c>
      <c r="P28" s="8" t="s">
        <v>193</v>
      </c>
      <c r="Q28" s="8" t="s">
        <v>48</v>
      </c>
      <c r="R28" s="8" t="s">
        <v>51</v>
      </c>
    </row>
    <row r="29" spans="1:18" ht="110.25">
      <c r="A29" s="8" t="s">
        <v>405</v>
      </c>
      <c r="B29" s="8" t="s">
        <v>406</v>
      </c>
      <c r="C29" s="8">
        <v>2018</v>
      </c>
      <c r="D29" s="8" t="s">
        <v>407</v>
      </c>
      <c r="E29" s="8"/>
      <c r="F29" s="8" t="s">
        <v>408</v>
      </c>
      <c r="G29" s="8" t="s">
        <v>409</v>
      </c>
      <c r="H29" s="8" t="s">
        <v>410</v>
      </c>
      <c r="I29" s="8" t="s">
        <v>187</v>
      </c>
      <c r="J29" s="8" t="s">
        <v>188</v>
      </c>
      <c r="K29" s="8" t="s">
        <v>411</v>
      </c>
      <c r="L29" s="8" t="s">
        <v>412</v>
      </c>
      <c r="M29" s="8" t="s">
        <v>191</v>
      </c>
      <c r="N29" s="8" t="s">
        <v>413</v>
      </c>
      <c r="O29" s="9">
        <v>1</v>
      </c>
      <c r="P29" s="8" t="s">
        <v>193</v>
      </c>
      <c r="Q29" s="8" t="s">
        <v>48</v>
      </c>
      <c r="R29" s="8" t="s">
        <v>51</v>
      </c>
    </row>
    <row r="30" spans="1:18" ht="189">
      <c r="A30" s="8" t="s">
        <v>414</v>
      </c>
      <c r="B30" s="8" t="s">
        <v>415</v>
      </c>
      <c r="C30" s="8">
        <v>2019</v>
      </c>
      <c r="D30" s="8" t="s">
        <v>416</v>
      </c>
      <c r="E30" s="8"/>
      <c r="F30" s="8" t="s">
        <v>417</v>
      </c>
      <c r="G30" s="8" t="s">
        <v>418</v>
      </c>
      <c r="H30" s="8" t="s">
        <v>419</v>
      </c>
      <c r="I30" s="8" t="s">
        <v>300</v>
      </c>
      <c r="J30" s="8" t="s">
        <v>420</v>
      </c>
      <c r="K30" s="8" t="s">
        <v>421</v>
      </c>
      <c r="L30" s="8" t="s">
        <v>412</v>
      </c>
      <c r="M30" s="8" t="s">
        <v>191</v>
      </c>
      <c r="N30" s="8" t="s">
        <v>422</v>
      </c>
      <c r="O30" s="9">
        <v>0.94444444444444442</v>
      </c>
      <c r="P30" s="8" t="s">
        <v>193</v>
      </c>
      <c r="Q30" s="8" t="s">
        <v>48</v>
      </c>
      <c r="R30" s="8" t="s">
        <v>51</v>
      </c>
    </row>
    <row r="31" spans="1:18" ht="110.25">
      <c r="A31" s="8" t="s">
        <v>423</v>
      </c>
      <c r="B31" s="8" t="s">
        <v>424</v>
      </c>
      <c r="C31" s="8">
        <v>2019</v>
      </c>
      <c r="D31" s="8" t="s">
        <v>425</v>
      </c>
      <c r="E31" s="8"/>
      <c r="F31" s="8" t="s">
        <v>426</v>
      </c>
      <c r="G31" s="8" t="s">
        <v>427</v>
      </c>
      <c r="H31" s="8" t="s">
        <v>428</v>
      </c>
      <c r="I31" s="8" t="s">
        <v>187</v>
      </c>
      <c r="J31" s="8" t="s">
        <v>429</v>
      </c>
      <c r="K31" s="8" t="s">
        <v>430</v>
      </c>
      <c r="L31" s="8" t="s">
        <v>412</v>
      </c>
      <c r="M31" s="8" t="s">
        <v>191</v>
      </c>
      <c r="N31" s="8" t="s">
        <v>431</v>
      </c>
      <c r="O31" s="9">
        <v>0.94444444444444442</v>
      </c>
      <c r="P31" s="8" t="s">
        <v>193</v>
      </c>
      <c r="Q31" s="8" t="s">
        <v>48</v>
      </c>
      <c r="R31" s="8" t="s">
        <v>51</v>
      </c>
    </row>
    <row r="32" spans="1:18" ht="110.25">
      <c r="A32" s="8" t="s">
        <v>432</v>
      </c>
      <c r="B32" s="8" t="s">
        <v>433</v>
      </c>
      <c r="C32" s="8">
        <v>2021</v>
      </c>
      <c r="D32" s="8" t="s">
        <v>434</v>
      </c>
      <c r="E32" s="8"/>
      <c r="F32" s="8" t="s">
        <v>435</v>
      </c>
      <c r="G32" s="8" t="s">
        <v>436</v>
      </c>
      <c r="H32" s="8" t="s">
        <v>437</v>
      </c>
      <c r="I32" s="8" t="s">
        <v>236</v>
      </c>
      <c r="J32" s="8" t="s">
        <v>438</v>
      </c>
      <c r="K32" s="8" t="s">
        <v>439</v>
      </c>
      <c r="L32" s="8" t="s">
        <v>412</v>
      </c>
      <c r="M32" s="8" t="s">
        <v>191</v>
      </c>
      <c r="N32" s="8" t="s">
        <v>440</v>
      </c>
      <c r="O32" s="9">
        <v>0.7142857142857143</v>
      </c>
      <c r="P32" s="8" t="s">
        <v>441</v>
      </c>
      <c r="Q32" s="8" t="s">
        <v>48</v>
      </c>
      <c r="R32" s="8" t="s">
        <v>51</v>
      </c>
    </row>
    <row r="33" spans="1:18" ht="126">
      <c r="A33" s="8" t="s">
        <v>442</v>
      </c>
      <c r="B33" s="8" t="s">
        <v>443</v>
      </c>
      <c r="C33" s="8">
        <v>2021</v>
      </c>
      <c r="D33" s="8" t="s">
        <v>444</v>
      </c>
      <c r="E33" s="8"/>
      <c r="F33" s="8" t="s">
        <v>445</v>
      </c>
      <c r="G33" s="8" t="s">
        <v>446</v>
      </c>
      <c r="H33" s="8" t="s">
        <v>447</v>
      </c>
      <c r="I33" s="8" t="s">
        <v>236</v>
      </c>
      <c r="J33" s="8" t="s">
        <v>448</v>
      </c>
      <c r="K33" s="8" t="s">
        <v>449</v>
      </c>
      <c r="L33" s="8" t="s">
        <v>412</v>
      </c>
      <c r="M33" s="8" t="s">
        <v>191</v>
      </c>
      <c r="N33" s="8" t="s">
        <v>450</v>
      </c>
      <c r="O33" s="9">
        <v>1</v>
      </c>
      <c r="P33" s="8" t="s">
        <v>193</v>
      </c>
      <c r="Q33" s="8" t="s">
        <v>48</v>
      </c>
      <c r="R33" s="8" t="s">
        <v>51</v>
      </c>
    </row>
    <row r="34" spans="1:18" ht="157.5">
      <c r="A34" s="8" t="s">
        <v>451</v>
      </c>
      <c r="B34" s="8" t="s">
        <v>452</v>
      </c>
      <c r="C34" s="8">
        <v>2022</v>
      </c>
      <c r="D34" s="8" t="s">
        <v>453</v>
      </c>
      <c r="E34" s="8"/>
      <c r="F34" s="8" t="s">
        <v>454</v>
      </c>
      <c r="G34" s="8" t="s">
        <v>455</v>
      </c>
      <c r="H34" s="8" t="s">
        <v>456</v>
      </c>
      <c r="I34" s="8" t="s">
        <v>457</v>
      </c>
      <c r="J34" s="8" t="s">
        <v>458</v>
      </c>
      <c r="K34" s="8" t="s">
        <v>459</v>
      </c>
      <c r="L34" s="8" t="s">
        <v>412</v>
      </c>
      <c r="M34" s="8" t="s">
        <v>460</v>
      </c>
      <c r="N34" s="8" t="s">
        <v>461</v>
      </c>
      <c r="O34" s="9"/>
      <c r="P34" s="8"/>
      <c r="Q34" s="8" t="s">
        <v>90</v>
      </c>
      <c r="R34" s="8" t="s">
        <v>90</v>
      </c>
    </row>
    <row r="35" spans="1:18" ht="189">
      <c r="A35" s="8" t="s">
        <v>462</v>
      </c>
      <c r="B35" s="8" t="s">
        <v>463</v>
      </c>
      <c r="C35" s="8">
        <v>2022</v>
      </c>
      <c r="D35" s="8" t="s">
        <v>464</v>
      </c>
      <c r="E35" s="8"/>
      <c r="F35" s="8" t="s">
        <v>465</v>
      </c>
      <c r="G35" s="8" t="s">
        <v>466</v>
      </c>
      <c r="H35" s="8" t="s">
        <v>467</v>
      </c>
      <c r="I35" s="8" t="s">
        <v>300</v>
      </c>
      <c r="J35" s="8" t="s">
        <v>301</v>
      </c>
      <c r="K35" s="8" t="s">
        <v>468</v>
      </c>
      <c r="L35" s="8" t="s">
        <v>412</v>
      </c>
      <c r="M35" s="8" t="s">
        <v>191</v>
      </c>
      <c r="N35" s="8" t="s">
        <v>469</v>
      </c>
      <c r="O35" s="9">
        <v>0.77777777777777779</v>
      </c>
      <c r="P35" s="8" t="s">
        <v>193</v>
      </c>
      <c r="Q35" s="8" t="s">
        <v>48</v>
      </c>
      <c r="R35" s="8" t="s">
        <v>51</v>
      </c>
    </row>
    <row r="36" spans="1:18" ht="173.25">
      <c r="A36" s="8" t="s">
        <v>470</v>
      </c>
      <c r="B36" s="8" t="s">
        <v>471</v>
      </c>
      <c r="C36" s="8">
        <v>2023</v>
      </c>
      <c r="D36" s="8" t="s">
        <v>472</v>
      </c>
      <c r="E36" s="8"/>
      <c r="F36" s="8" t="s">
        <v>473</v>
      </c>
      <c r="G36" s="8" t="s">
        <v>474</v>
      </c>
      <c r="H36" s="8" t="s">
        <v>475</v>
      </c>
      <c r="I36" s="8" t="s">
        <v>236</v>
      </c>
      <c r="J36" s="8" t="s">
        <v>476</v>
      </c>
      <c r="K36" s="8" t="s">
        <v>477</v>
      </c>
      <c r="L36" s="8" t="s">
        <v>412</v>
      </c>
      <c r="M36" s="8" t="s">
        <v>478</v>
      </c>
      <c r="N36" s="8" t="s">
        <v>479</v>
      </c>
      <c r="O36" s="9"/>
      <c r="P36" s="8"/>
      <c r="Q36" s="8" t="s">
        <v>90</v>
      </c>
      <c r="R36" s="8" t="s">
        <v>90</v>
      </c>
    </row>
    <row r="37" spans="1:18" ht="157.5">
      <c r="A37" s="8" t="s">
        <v>480</v>
      </c>
      <c r="B37" s="8" t="s">
        <v>481</v>
      </c>
      <c r="C37" s="8">
        <v>2023</v>
      </c>
      <c r="D37" s="8" t="s">
        <v>482</v>
      </c>
      <c r="E37" s="8"/>
      <c r="F37" s="8" t="s">
        <v>483</v>
      </c>
      <c r="G37" s="8" t="s">
        <v>484</v>
      </c>
      <c r="H37" s="8" t="s">
        <v>485</v>
      </c>
      <c r="I37" s="8" t="s">
        <v>236</v>
      </c>
      <c r="J37" s="8" t="s">
        <v>486</v>
      </c>
      <c r="K37" s="8" t="s">
        <v>487</v>
      </c>
      <c r="L37" s="8" t="s">
        <v>412</v>
      </c>
      <c r="M37" s="8" t="s">
        <v>191</v>
      </c>
      <c r="N37" s="8" t="s">
        <v>488</v>
      </c>
      <c r="O37" s="9">
        <v>0.88888888888888884</v>
      </c>
      <c r="P37" s="8" t="s">
        <v>193</v>
      </c>
      <c r="Q37" s="8" t="s">
        <v>48</v>
      </c>
      <c r="R37" s="8" t="s">
        <v>51</v>
      </c>
    </row>
    <row r="38" spans="1:18" ht="173.25">
      <c r="A38" s="8" t="s">
        <v>489</v>
      </c>
      <c r="B38" s="8" t="s">
        <v>490</v>
      </c>
      <c r="C38" s="8">
        <v>2024</v>
      </c>
      <c r="D38" s="8" t="s">
        <v>491</v>
      </c>
      <c r="E38" s="8"/>
      <c r="F38" s="8" t="s">
        <v>492</v>
      </c>
      <c r="G38" s="8" t="s">
        <v>493</v>
      </c>
      <c r="H38" s="8" t="s">
        <v>494</v>
      </c>
      <c r="I38" s="8" t="s">
        <v>300</v>
      </c>
      <c r="J38" s="8" t="s">
        <v>301</v>
      </c>
      <c r="K38" s="8" t="s">
        <v>495</v>
      </c>
      <c r="L38" s="8" t="s">
        <v>412</v>
      </c>
      <c r="M38" s="8" t="s">
        <v>191</v>
      </c>
      <c r="N38" s="8" t="s">
        <v>496</v>
      </c>
      <c r="O38" s="9">
        <v>0.88888888888888884</v>
      </c>
      <c r="P38" s="8" t="s">
        <v>193</v>
      </c>
      <c r="Q38" s="8" t="s">
        <v>48</v>
      </c>
      <c r="R38" s="8" t="s">
        <v>51</v>
      </c>
    </row>
    <row r="39" spans="1:18" ht="173.25">
      <c r="A39" s="8" t="s">
        <v>497</v>
      </c>
      <c r="B39" s="8" t="s">
        <v>498</v>
      </c>
      <c r="C39" s="8">
        <v>2025</v>
      </c>
      <c r="D39" s="8" t="s">
        <v>499</v>
      </c>
      <c r="E39" s="8"/>
      <c r="F39" s="8" t="s">
        <v>500</v>
      </c>
      <c r="G39" s="8" t="s">
        <v>501</v>
      </c>
      <c r="H39" s="8" t="s">
        <v>264</v>
      </c>
      <c r="I39" s="8" t="s">
        <v>246</v>
      </c>
      <c r="J39" s="8" t="s">
        <v>502</v>
      </c>
      <c r="K39" s="8" t="s">
        <v>503</v>
      </c>
      <c r="L39" s="8" t="s">
        <v>412</v>
      </c>
      <c r="M39" s="8" t="s">
        <v>191</v>
      </c>
      <c r="N39" s="8" t="s">
        <v>504</v>
      </c>
      <c r="O39" s="9">
        <v>0.83333333333333337</v>
      </c>
      <c r="P39" s="8" t="s">
        <v>193</v>
      </c>
      <c r="Q39" s="8" t="s">
        <v>48</v>
      </c>
      <c r="R39" s="8" t="s">
        <v>51</v>
      </c>
    </row>
    <row r="40" spans="1:18" ht="330.75">
      <c r="A40" s="8" t="s">
        <v>505</v>
      </c>
      <c r="B40" s="8" t="s">
        <v>506</v>
      </c>
      <c r="C40" s="8">
        <v>2026</v>
      </c>
      <c r="D40" s="8" t="s">
        <v>507</v>
      </c>
      <c r="E40" s="8"/>
      <c r="F40" s="8" t="s">
        <v>508</v>
      </c>
      <c r="G40" s="8" t="s">
        <v>509</v>
      </c>
      <c r="H40" s="8" t="s">
        <v>510</v>
      </c>
      <c r="I40" s="8" t="s">
        <v>217</v>
      </c>
      <c r="J40" s="8" t="s">
        <v>511</v>
      </c>
      <c r="K40" s="8" t="s">
        <v>512</v>
      </c>
      <c r="L40" s="8" t="s">
        <v>412</v>
      </c>
      <c r="M40" s="8" t="s">
        <v>191</v>
      </c>
      <c r="N40" s="8" t="s">
        <v>513</v>
      </c>
      <c r="O40" s="9">
        <v>0.77777777777777779</v>
      </c>
      <c r="P40" s="8" t="s">
        <v>193</v>
      </c>
      <c r="Q40" s="8" t="s">
        <v>48</v>
      </c>
      <c r="R40" s="8" t="s">
        <v>51</v>
      </c>
    </row>
    <row r="41" spans="1:18" ht="236.25">
      <c r="A41" s="8" t="s">
        <v>514</v>
      </c>
      <c r="B41" s="8" t="s">
        <v>515</v>
      </c>
      <c r="C41" s="8">
        <v>2026</v>
      </c>
      <c r="D41" s="8" t="s">
        <v>516</v>
      </c>
      <c r="E41" s="8"/>
      <c r="F41" s="8" t="s">
        <v>517</v>
      </c>
      <c r="G41" s="8" t="s">
        <v>518</v>
      </c>
      <c r="H41" s="8" t="s">
        <v>519</v>
      </c>
      <c r="I41" s="8" t="s">
        <v>217</v>
      </c>
      <c r="J41" s="8" t="s">
        <v>520</v>
      </c>
      <c r="K41" s="8" t="s">
        <v>521</v>
      </c>
      <c r="L41" s="8" t="s">
        <v>412</v>
      </c>
      <c r="M41" s="8" t="s">
        <v>191</v>
      </c>
      <c r="N41" s="8" t="s">
        <v>522</v>
      </c>
      <c r="O41" s="9">
        <v>1</v>
      </c>
      <c r="P41" s="8" t="s">
        <v>193</v>
      </c>
      <c r="Q41" s="8" t="s">
        <v>48</v>
      </c>
      <c r="R41" s="8" t="s">
        <v>51</v>
      </c>
    </row>
    <row r="42" spans="1:18" ht="189">
      <c r="A42" s="8" t="s">
        <v>523</v>
      </c>
      <c r="B42" s="8" t="s">
        <v>524</v>
      </c>
      <c r="C42" s="8">
        <v>2026</v>
      </c>
      <c r="D42" s="8" t="s">
        <v>525</v>
      </c>
      <c r="E42" s="8"/>
      <c r="F42" s="8" t="s">
        <v>526</v>
      </c>
      <c r="G42" s="8" t="s">
        <v>527</v>
      </c>
      <c r="H42" s="8" t="s">
        <v>528</v>
      </c>
      <c r="I42" s="8" t="s">
        <v>246</v>
      </c>
      <c r="J42" s="8" t="s">
        <v>529</v>
      </c>
      <c r="K42" s="8" t="s">
        <v>530</v>
      </c>
      <c r="L42" s="8" t="s">
        <v>412</v>
      </c>
      <c r="M42" s="8" t="s">
        <v>191</v>
      </c>
      <c r="N42" s="8" t="s">
        <v>531</v>
      </c>
      <c r="O42" s="9">
        <v>0.83333333333333337</v>
      </c>
      <c r="P42" s="8" t="s">
        <v>193</v>
      </c>
      <c r="Q42" s="8" t="s">
        <v>48</v>
      </c>
      <c r="R42" s="8" t="s">
        <v>51</v>
      </c>
    </row>
    <row r="43" spans="1:18" ht="252">
      <c r="A43" s="8" t="s">
        <v>532</v>
      </c>
      <c r="B43" s="8" t="s">
        <v>533</v>
      </c>
      <c r="C43" s="8">
        <v>2026</v>
      </c>
      <c r="D43" s="8" t="s">
        <v>534</v>
      </c>
      <c r="E43" s="8"/>
      <c r="F43" s="8" t="s">
        <v>535</v>
      </c>
      <c r="G43" s="8" t="s">
        <v>536</v>
      </c>
      <c r="H43" s="8" t="s">
        <v>255</v>
      </c>
      <c r="I43" s="8" t="s">
        <v>217</v>
      </c>
      <c r="J43" s="8" t="s">
        <v>537</v>
      </c>
      <c r="K43" s="8" t="s">
        <v>538</v>
      </c>
      <c r="L43" s="8" t="s">
        <v>412</v>
      </c>
      <c r="M43" s="8" t="s">
        <v>539</v>
      </c>
      <c r="N43" s="8" t="s">
        <v>540</v>
      </c>
      <c r="O43" s="9"/>
      <c r="P43" s="8"/>
      <c r="Q43" s="8" t="s">
        <v>90</v>
      </c>
      <c r="R43" s="8" t="s">
        <v>90</v>
      </c>
    </row>
    <row r="44" spans="1:18" ht="236.25">
      <c r="A44" s="8" t="s">
        <v>541</v>
      </c>
      <c r="B44" s="8" t="s">
        <v>542</v>
      </c>
      <c r="C44" s="8">
        <v>2026</v>
      </c>
      <c r="D44" s="8" t="s">
        <v>543</v>
      </c>
      <c r="E44" s="8"/>
      <c r="F44" s="8" t="s">
        <v>544</v>
      </c>
      <c r="G44" s="8" t="s">
        <v>545</v>
      </c>
      <c r="H44" s="8" t="s">
        <v>546</v>
      </c>
      <c r="I44" s="8" t="s">
        <v>217</v>
      </c>
      <c r="J44" s="8" t="s">
        <v>547</v>
      </c>
      <c r="K44" s="8" t="s">
        <v>548</v>
      </c>
      <c r="L44" s="8" t="s">
        <v>412</v>
      </c>
      <c r="M44" s="8" t="s">
        <v>191</v>
      </c>
      <c r="N44" s="8" t="s">
        <v>549</v>
      </c>
      <c r="O44" s="9">
        <v>0.94444444444444442</v>
      </c>
      <c r="P44" s="8" t="s">
        <v>193</v>
      </c>
      <c r="Q44" s="8" t="s">
        <v>48</v>
      </c>
      <c r="R44" s="8" t="s">
        <v>51</v>
      </c>
    </row>
    <row r="45" spans="1:18" ht="63">
      <c r="A45" s="8" t="s">
        <v>550</v>
      </c>
      <c r="B45" s="8" t="s">
        <v>551</v>
      </c>
      <c r="C45" s="8">
        <v>2017</v>
      </c>
      <c r="D45" s="8" t="s">
        <v>552</v>
      </c>
      <c r="E45" s="8"/>
      <c r="F45" s="8" t="s">
        <v>553</v>
      </c>
      <c r="G45" s="8" t="s">
        <v>554</v>
      </c>
      <c r="H45" s="8" t="s">
        <v>555</v>
      </c>
      <c r="I45" s="8" t="s">
        <v>300</v>
      </c>
      <c r="J45" s="8" t="s">
        <v>556</v>
      </c>
      <c r="K45" s="8" t="s">
        <v>557</v>
      </c>
      <c r="L45" s="8" t="s">
        <v>558</v>
      </c>
      <c r="M45" s="8" t="s">
        <v>191</v>
      </c>
      <c r="N45" s="8" t="s">
        <v>559</v>
      </c>
      <c r="O45" s="9">
        <v>0.72222222222222221</v>
      </c>
      <c r="P45" s="8" t="s">
        <v>441</v>
      </c>
      <c r="Q45" s="8" t="s">
        <v>48</v>
      </c>
      <c r="R45" s="8" t="s">
        <v>51</v>
      </c>
    </row>
    <row r="46" spans="1:18" ht="110.25">
      <c r="A46" s="8" t="s">
        <v>560</v>
      </c>
      <c r="B46" s="8" t="s">
        <v>561</v>
      </c>
      <c r="C46" s="8">
        <v>2019</v>
      </c>
      <c r="D46" s="8" t="s">
        <v>562</v>
      </c>
      <c r="E46" s="8"/>
      <c r="F46" s="8" t="s">
        <v>563</v>
      </c>
      <c r="G46" s="8" t="s">
        <v>564</v>
      </c>
      <c r="H46" s="8" t="s">
        <v>565</v>
      </c>
      <c r="I46" s="8" t="s">
        <v>187</v>
      </c>
      <c r="J46" s="8" t="s">
        <v>566</v>
      </c>
      <c r="K46" s="8" t="s">
        <v>567</v>
      </c>
      <c r="L46" s="8" t="s">
        <v>558</v>
      </c>
      <c r="M46" s="8" t="s">
        <v>191</v>
      </c>
      <c r="N46" s="8" t="s">
        <v>568</v>
      </c>
      <c r="O46" s="9">
        <v>0.94444444444444442</v>
      </c>
      <c r="P46" s="8" t="s">
        <v>193</v>
      </c>
      <c r="Q46" s="8" t="s">
        <v>48</v>
      </c>
      <c r="R46" s="8" t="s">
        <v>51</v>
      </c>
    </row>
    <row r="47" spans="1:18" ht="110.25">
      <c r="A47" s="8" t="s">
        <v>569</v>
      </c>
      <c r="B47" s="8" t="s">
        <v>570</v>
      </c>
      <c r="C47" s="8">
        <v>2020</v>
      </c>
      <c r="D47" s="8" t="s">
        <v>571</v>
      </c>
      <c r="E47" s="8"/>
      <c r="F47" s="8" t="s">
        <v>572</v>
      </c>
      <c r="G47" s="8" t="s">
        <v>573</v>
      </c>
      <c r="H47" s="8" t="s">
        <v>574</v>
      </c>
      <c r="I47" s="8" t="s">
        <v>187</v>
      </c>
      <c r="J47" s="8" t="s">
        <v>575</v>
      </c>
      <c r="K47" s="8" t="s">
        <v>576</v>
      </c>
      <c r="L47" s="8" t="s">
        <v>558</v>
      </c>
      <c r="M47" s="8" t="s">
        <v>191</v>
      </c>
      <c r="N47" s="8" t="s">
        <v>577</v>
      </c>
      <c r="O47" s="9">
        <v>0.83333333333333337</v>
      </c>
      <c r="P47" s="8" t="s">
        <v>193</v>
      </c>
      <c r="Q47" s="8" t="s">
        <v>48</v>
      </c>
      <c r="R47" s="8" t="s">
        <v>51</v>
      </c>
    </row>
    <row r="48" spans="1:18" ht="189">
      <c r="A48" s="8" t="s">
        <v>578</v>
      </c>
      <c r="B48" s="8" t="s">
        <v>579</v>
      </c>
      <c r="C48" s="8">
        <v>2020</v>
      </c>
      <c r="D48" s="8" t="s">
        <v>580</v>
      </c>
      <c r="E48" s="8"/>
      <c r="F48" s="8" t="s">
        <v>581</v>
      </c>
      <c r="G48" s="8" t="s">
        <v>582</v>
      </c>
      <c r="H48" s="8" t="s">
        <v>583</v>
      </c>
      <c r="I48" s="8" t="s">
        <v>300</v>
      </c>
      <c r="J48" s="8" t="s">
        <v>301</v>
      </c>
      <c r="K48" s="8" t="s">
        <v>584</v>
      </c>
      <c r="L48" s="8" t="s">
        <v>558</v>
      </c>
      <c r="M48" s="8" t="s">
        <v>191</v>
      </c>
      <c r="N48" s="8" t="s">
        <v>585</v>
      </c>
      <c r="O48" s="9">
        <v>0.66666666666666663</v>
      </c>
      <c r="P48" s="8" t="s">
        <v>441</v>
      </c>
      <c r="Q48" s="8" t="s">
        <v>48</v>
      </c>
      <c r="R48" s="8" t="s">
        <v>51</v>
      </c>
    </row>
    <row r="49" spans="1:18" ht="204.75">
      <c r="A49" s="8" t="s">
        <v>586</v>
      </c>
      <c r="B49" s="8" t="s">
        <v>587</v>
      </c>
      <c r="C49" s="8">
        <v>2020</v>
      </c>
      <c r="D49" s="8" t="s">
        <v>588</v>
      </c>
      <c r="E49" s="8"/>
      <c r="F49" s="8" t="s">
        <v>589</v>
      </c>
      <c r="G49" s="8" t="s">
        <v>590</v>
      </c>
      <c r="H49" s="8" t="s">
        <v>591</v>
      </c>
      <c r="I49" s="8" t="s">
        <v>457</v>
      </c>
      <c r="J49" s="8" t="s">
        <v>592</v>
      </c>
      <c r="K49" s="8" t="s">
        <v>593</v>
      </c>
      <c r="L49" s="8" t="s">
        <v>558</v>
      </c>
      <c r="M49" s="8" t="s">
        <v>191</v>
      </c>
      <c r="N49" s="8" t="s">
        <v>594</v>
      </c>
      <c r="O49" s="9">
        <v>0.6428571428571429</v>
      </c>
      <c r="P49" s="8" t="s">
        <v>441</v>
      </c>
      <c r="Q49" s="8" t="s">
        <v>48</v>
      </c>
      <c r="R49" s="8" t="s">
        <v>51</v>
      </c>
    </row>
    <row r="50" spans="1:18" ht="47.25">
      <c r="A50" s="8" t="s">
        <v>595</v>
      </c>
      <c r="B50" s="8" t="s">
        <v>596</v>
      </c>
      <c r="C50" s="8">
        <v>2021</v>
      </c>
      <c r="D50" s="8" t="s">
        <v>597</v>
      </c>
      <c r="E50" s="8"/>
      <c r="F50" s="8" t="s">
        <v>598</v>
      </c>
      <c r="G50" s="8" t="s">
        <v>599</v>
      </c>
      <c r="H50" s="8" t="s">
        <v>600</v>
      </c>
      <c r="I50" s="8" t="s">
        <v>300</v>
      </c>
      <c r="J50" s="8" t="s">
        <v>301</v>
      </c>
      <c r="K50" s="8" t="s">
        <v>601</v>
      </c>
      <c r="L50" s="8" t="s">
        <v>558</v>
      </c>
      <c r="M50" s="8" t="s">
        <v>191</v>
      </c>
      <c r="N50" s="8" t="s">
        <v>602</v>
      </c>
      <c r="O50" s="9">
        <v>0.5714285714285714</v>
      </c>
      <c r="P50" s="8" t="s">
        <v>441</v>
      </c>
      <c r="Q50" s="8" t="s">
        <v>48</v>
      </c>
      <c r="R50" s="8" t="s">
        <v>51</v>
      </c>
    </row>
    <row r="51" spans="1:18" ht="157.5">
      <c r="A51" s="8" t="s">
        <v>603</v>
      </c>
      <c r="B51" s="8" t="s">
        <v>604</v>
      </c>
      <c r="C51" s="8">
        <v>2021</v>
      </c>
      <c r="D51" s="8" t="s">
        <v>605</v>
      </c>
      <c r="E51" s="8"/>
      <c r="F51" s="8" t="s">
        <v>606</v>
      </c>
      <c r="G51" s="8" t="s">
        <v>607</v>
      </c>
      <c r="H51" s="8" t="s">
        <v>608</v>
      </c>
      <c r="I51" s="8" t="s">
        <v>300</v>
      </c>
      <c r="J51" s="8" t="s">
        <v>301</v>
      </c>
      <c r="K51" s="8" t="s">
        <v>609</v>
      </c>
      <c r="L51" s="8" t="s">
        <v>558</v>
      </c>
      <c r="M51" s="8" t="s">
        <v>191</v>
      </c>
      <c r="N51" s="8" t="s">
        <v>610</v>
      </c>
      <c r="O51" s="9">
        <v>0.94444444444444442</v>
      </c>
      <c r="P51" s="8" t="s">
        <v>193</v>
      </c>
      <c r="Q51" s="8" t="s">
        <v>48</v>
      </c>
      <c r="R51" s="8" t="s">
        <v>51</v>
      </c>
    </row>
    <row r="52" spans="1:18" ht="330.75">
      <c r="A52" s="8" t="s">
        <v>611</v>
      </c>
      <c r="B52" s="8" t="s">
        <v>612</v>
      </c>
      <c r="C52" s="8">
        <v>2021</v>
      </c>
      <c r="D52" s="8" t="s">
        <v>613</v>
      </c>
      <c r="E52" s="8"/>
      <c r="F52" s="8" t="s">
        <v>614</v>
      </c>
      <c r="G52" s="8" t="s">
        <v>615</v>
      </c>
      <c r="H52" s="8" t="s">
        <v>616</v>
      </c>
      <c r="I52" s="8" t="s">
        <v>217</v>
      </c>
      <c r="J52" s="8" t="s">
        <v>617</v>
      </c>
      <c r="K52" s="8" t="s">
        <v>618</v>
      </c>
      <c r="L52" s="8" t="s">
        <v>558</v>
      </c>
      <c r="M52" s="8" t="s">
        <v>191</v>
      </c>
      <c r="N52" s="8" t="s">
        <v>619</v>
      </c>
      <c r="O52" s="9">
        <v>0.94444444444444442</v>
      </c>
      <c r="P52" s="8" t="s">
        <v>193</v>
      </c>
      <c r="Q52" s="8" t="s">
        <v>48</v>
      </c>
      <c r="R52" s="8" t="s">
        <v>51</v>
      </c>
    </row>
    <row r="53" spans="1:18" ht="220.5">
      <c r="A53" s="8" t="s">
        <v>620</v>
      </c>
      <c r="B53" s="8" t="s">
        <v>621</v>
      </c>
      <c r="C53" s="8">
        <v>2022</v>
      </c>
      <c r="D53" s="8" t="s">
        <v>622</v>
      </c>
      <c r="E53" s="8"/>
      <c r="F53" s="8" t="s">
        <v>623</v>
      </c>
      <c r="G53" s="8" t="s">
        <v>624</v>
      </c>
      <c r="H53" s="8" t="s">
        <v>309</v>
      </c>
      <c r="I53" s="8" t="s">
        <v>236</v>
      </c>
      <c r="J53" s="8" t="s">
        <v>625</v>
      </c>
      <c r="K53" s="8" t="s">
        <v>626</v>
      </c>
      <c r="L53" s="8" t="s">
        <v>558</v>
      </c>
      <c r="M53" s="8" t="s">
        <v>191</v>
      </c>
      <c r="N53" s="8" t="s">
        <v>627</v>
      </c>
      <c r="O53" s="9">
        <v>0.88888888888888884</v>
      </c>
      <c r="P53" s="8" t="s">
        <v>193</v>
      </c>
      <c r="Q53" s="8" t="s">
        <v>48</v>
      </c>
      <c r="R53" s="8" t="s">
        <v>51</v>
      </c>
    </row>
    <row r="54" spans="1:18" ht="252">
      <c r="A54" s="8" t="s">
        <v>628</v>
      </c>
      <c r="B54" s="8" t="s">
        <v>629</v>
      </c>
      <c r="C54" s="8">
        <v>2023</v>
      </c>
      <c r="D54" s="8" t="s">
        <v>630</v>
      </c>
      <c r="E54" s="8"/>
      <c r="F54" s="8" t="s">
        <v>631</v>
      </c>
      <c r="G54" s="8" t="s">
        <v>632</v>
      </c>
      <c r="H54" s="8" t="s">
        <v>633</v>
      </c>
      <c r="I54" s="8" t="s">
        <v>236</v>
      </c>
      <c r="J54" s="8" t="s">
        <v>634</v>
      </c>
      <c r="K54" s="8" t="s">
        <v>635</v>
      </c>
      <c r="L54" s="8" t="s">
        <v>558</v>
      </c>
      <c r="M54" s="8" t="s">
        <v>191</v>
      </c>
      <c r="N54" s="8" t="s">
        <v>636</v>
      </c>
      <c r="O54" s="9">
        <v>0.83333333333333337</v>
      </c>
      <c r="P54" s="8" t="s">
        <v>193</v>
      </c>
      <c r="Q54" s="8" t="s">
        <v>48</v>
      </c>
      <c r="R54" s="8" t="s">
        <v>51</v>
      </c>
    </row>
    <row r="55" spans="1:18" ht="141.75">
      <c r="A55" s="8" t="s">
        <v>637</v>
      </c>
      <c r="B55" s="8" t="s">
        <v>638</v>
      </c>
      <c r="C55" s="8">
        <v>2023</v>
      </c>
      <c r="D55" s="8" t="s">
        <v>639</v>
      </c>
      <c r="E55" s="8"/>
      <c r="F55" s="8" t="s">
        <v>640</v>
      </c>
      <c r="G55" s="8" t="s">
        <v>641</v>
      </c>
      <c r="H55" s="8" t="s">
        <v>642</v>
      </c>
      <c r="I55" s="8" t="s">
        <v>236</v>
      </c>
      <c r="J55" s="8" t="s">
        <v>643</v>
      </c>
      <c r="K55" s="8" t="s">
        <v>644</v>
      </c>
      <c r="L55" s="8" t="s">
        <v>558</v>
      </c>
      <c r="M55" s="8" t="s">
        <v>191</v>
      </c>
      <c r="N55" s="8" t="s">
        <v>645</v>
      </c>
      <c r="O55" s="9">
        <v>0.88888888888888884</v>
      </c>
      <c r="P55" s="8" t="s">
        <v>193</v>
      </c>
      <c r="Q55" s="8" t="s">
        <v>48</v>
      </c>
      <c r="R55" s="8" t="s">
        <v>51</v>
      </c>
    </row>
    <row r="56" spans="1:18" ht="220.5">
      <c r="A56" s="8" t="s">
        <v>646</v>
      </c>
      <c r="B56" s="8" t="s">
        <v>647</v>
      </c>
      <c r="C56" s="8">
        <v>2023</v>
      </c>
      <c r="D56" s="8" t="s">
        <v>648</v>
      </c>
      <c r="E56" s="8"/>
      <c r="F56" s="8" t="s">
        <v>649</v>
      </c>
      <c r="G56" s="8" t="s">
        <v>650</v>
      </c>
      <c r="H56" s="8" t="s">
        <v>633</v>
      </c>
      <c r="I56" s="8" t="s">
        <v>457</v>
      </c>
      <c r="J56" s="8" t="s">
        <v>651</v>
      </c>
      <c r="K56" s="8" t="s">
        <v>652</v>
      </c>
      <c r="L56" s="8" t="s">
        <v>558</v>
      </c>
      <c r="M56" s="8" t="s">
        <v>191</v>
      </c>
      <c r="N56" s="8" t="s">
        <v>653</v>
      </c>
      <c r="O56" s="9">
        <v>0.94444444444444442</v>
      </c>
      <c r="P56" s="8" t="s">
        <v>193</v>
      </c>
      <c r="Q56" s="8" t="s">
        <v>48</v>
      </c>
      <c r="R56" s="8" t="s">
        <v>51</v>
      </c>
    </row>
    <row r="57" spans="1:18" ht="204.75">
      <c r="A57" s="8" t="s">
        <v>654</v>
      </c>
      <c r="B57" s="8" t="s">
        <v>655</v>
      </c>
      <c r="C57" s="8">
        <v>2023</v>
      </c>
      <c r="D57" s="8" t="s">
        <v>656</v>
      </c>
      <c r="E57" s="8"/>
      <c r="F57" s="8" t="s">
        <v>657</v>
      </c>
      <c r="G57" s="8" t="s">
        <v>658</v>
      </c>
      <c r="H57" s="8" t="s">
        <v>574</v>
      </c>
      <c r="I57" s="8" t="s">
        <v>236</v>
      </c>
      <c r="J57" s="8" t="s">
        <v>659</v>
      </c>
      <c r="K57" s="8" t="s">
        <v>660</v>
      </c>
      <c r="L57" s="8" t="s">
        <v>558</v>
      </c>
      <c r="M57" s="8" t="s">
        <v>191</v>
      </c>
      <c r="N57" s="8" t="s">
        <v>661</v>
      </c>
      <c r="O57" s="9">
        <v>0.88888888888888884</v>
      </c>
      <c r="P57" s="8" t="s">
        <v>193</v>
      </c>
      <c r="Q57" s="8" t="s">
        <v>48</v>
      </c>
      <c r="R57" s="8" t="s">
        <v>51</v>
      </c>
    </row>
    <row r="58" spans="1:18" ht="362.25">
      <c r="A58" s="8" t="s">
        <v>662</v>
      </c>
      <c r="B58" s="8" t="s">
        <v>663</v>
      </c>
      <c r="C58" s="8">
        <v>2024</v>
      </c>
      <c r="D58" s="8" t="s">
        <v>664</v>
      </c>
      <c r="E58" s="8"/>
      <c r="F58" s="8" t="s">
        <v>665</v>
      </c>
      <c r="G58" s="8" t="s">
        <v>666</v>
      </c>
      <c r="H58" s="8" t="s">
        <v>667</v>
      </c>
      <c r="I58" s="8" t="s">
        <v>300</v>
      </c>
      <c r="J58" s="8" t="s">
        <v>668</v>
      </c>
      <c r="K58" s="8" t="s">
        <v>669</v>
      </c>
      <c r="L58" s="8" t="s">
        <v>558</v>
      </c>
      <c r="M58" s="8" t="s">
        <v>191</v>
      </c>
      <c r="N58" s="8" t="s">
        <v>670</v>
      </c>
      <c r="O58" s="9">
        <v>1</v>
      </c>
      <c r="P58" s="8" t="s">
        <v>193</v>
      </c>
      <c r="Q58" s="8" t="s">
        <v>48</v>
      </c>
      <c r="R58" s="8" t="s">
        <v>51</v>
      </c>
    </row>
    <row r="59" spans="1:18" ht="157.5">
      <c r="A59" s="8" t="s">
        <v>671</v>
      </c>
      <c r="B59" s="8" t="s">
        <v>672</v>
      </c>
      <c r="C59" s="8">
        <v>2024</v>
      </c>
      <c r="D59" s="8" t="s">
        <v>673</v>
      </c>
      <c r="E59" s="8"/>
      <c r="F59" s="8" t="s">
        <v>674</v>
      </c>
      <c r="G59" s="8" t="s">
        <v>675</v>
      </c>
      <c r="H59" s="8" t="s">
        <v>676</v>
      </c>
      <c r="I59" s="8" t="s">
        <v>236</v>
      </c>
      <c r="J59" s="8" t="s">
        <v>677</v>
      </c>
      <c r="K59" s="8" t="s">
        <v>678</v>
      </c>
      <c r="L59" s="8" t="s">
        <v>558</v>
      </c>
      <c r="M59" s="8" t="s">
        <v>191</v>
      </c>
      <c r="N59" s="8" t="s">
        <v>679</v>
      </c>
      <c r="O59" s="9">
        <v>0.88888888888888884</v>
      </c>
      <c r="P59" s="8" t="s">
        <v>193</v>
      </c>
      <c r="Q59" s="8" t="s">
        <v>48</v>
      </c>
      <c r="R59" s="8" t="s">
        <v>51</v>
      </c>
    </row>
    <row r="60" spans="1:18" ht="267.75">
      <c r="A60" s="8" t="s">
        <v>680</v>
      </c>
      <c r="B60" s="8" t="s">
        <v>681</v>
      </c>
      <c r="C60" s="8">
        <v>2024</v>
      </c>
      <c r="D60" s="8" t="s">
        <v>682</v>
      </c>
      <c r="E60" s="8"/>
      <c r="F60" s="8" t="s">
        <v>683</v>
      </c>
      <c r="G60" s="8" t="s">
        <v>684</v>
      </c>
      <c r="H60" s="8" t="s">
        <v>685</v>
      </c>
      <c r="I60" s="8" t="s">
        <v>236</v>
      </c>
      <c r="J60" s="8" t="s">
        <v>686</v>
      </c>
      <c r="K60" s="8" t="s">
        <v>687</v>
      </c>
      <c r="L60" s="8" t="s">
        <v>558</v>
      </c>
      <c r="M60" s="8" t="s">
        <v>191</v>
      </c>
      <c r="N60" s="8" t="s">
        <v>688</v>
      </c>
      <c r="O60" s="9">
        <v>1</v>
      </c>
      <c r="P60" s="8" t="s">
        <v>193</v>
      </c>
      <c r="Q60" s="8" t="s">
        <v>48</v>
      </c>
      <c r="R60" s="8" t="s">
        <v>51</v>
      </c>
    </row>
    <row r="61" spans="1:18" ht="204.75">
      <c r="A61" s="8" t="s">
        <v>689</v>
      </c>
      <c r="B61" s="8" t="s">
        <v>690</v>
      </c>
      <c r="C61" s="8">
        <v>2024</v>
      </c>
      <c r="D61" s="8" t="s">
        <v>691</v>
      </c>
      <c r="E61" s="8"/>
      <c r="F61" s="8" t="s">
        <v>692</v>
      </c>
      <c r="G61" s="8" t="s">
        <v>693</v>
      </c>
      <c r="H61" s="8" t="s">
        <v>694</v>
      </c>
      <c r="I61" s="8" t="s">
        <v>236</v>
      </c>
      <c r="J61" s="8" t="s">
        <v>695</v>
      </c>
      <c r="K61" s="8" t="s">
        <v>696</v>
      </c>
      <c r="L61" s="8" t="s">
        <v>558</v>
      </c>
      <c r="M61" s="8" t="s">
        <v>191</v>
      </c>
      <c r="N61" s="8" t="s">
        <v>697</v>
      </c>
      <c r="O61" s="9">
        <v>0.72222222222222221</v>
      </c>
      <c r="P61" s="8" t="s">
        <v>441</v>
      </c>
      <c r="Q61" s="8" t="s">
        <v>48</v>
      </c>
      <c r="R61" s="8" t="s">
        <v>51</v>
      </c>
    </row>
    <row r="62" spans="1:18" ht="220.5">
      <c r="A62" s="8" t="s">
        <v>698</v>
      </c>
      <c r="B62" s="8" t="s">
        <v>699</v>
      </c>
      <c r="C62" s="8">
        <v>2025</v>
      </c>
      <c r="D62" s="8" t="s">
        <v>700</v>
      </c>
      <c r="E62" s="8"/>
      <c r="F62" s="8" t="s">
        <v>701</v>
      </c>
      <c r="G62" s="8" t="s">
        <v>702</v>
      </c>
      <c r="H62" s="8" t="s">
        <v>703</v>
      </c>
      <c r="I62" s="8" t="s">
        <v>704</v>
      </c>
      <c r="J62" s="8" t="s">
        <v>705</v>
      </c>
      <c r="K62" s="8" t="s">
        <v>706</v>
      </c>
      <c r="L62" s="8" t="s">
        <v>558</v>
      </c>
      <c r="M62" s="8" t="s">
        <v>191</v>
      </c>
      <c r="N62" s="8" t="s">
        <v>707</v>
      </c>
      <c r="O62" s="9">
        <v>1</v>
      </c>
      <c r="P62" s="8" t="s">
        <v>193</v>
      </c>
      <c r="Q62" s="8" t="s">
        <v>48</v>
      </c>
      <c r="R62" s="8" t="s">
        <v>51</v>
      </c>
    </row>
    <row r="63" spans="1:18" ht="173.25">
      <c r="A63" s="8" t="s">
        <v>708</v>
      </c>
      <c r="B63" s="8" t="s">
        <v>709</v>
      </c>
      <c r="C63" s="8">
        <v>2025</v>
      </c>
      <c r="D63" s="8" t="s">
        <v>710</v>
      </c>
      <c r="E63" s="8"/>
      <c r="F63" s="8" t="s">
        <v>711</v>
      </c>
      <c r="G63" s="8" t="s">
        <v>712</v>
      </c>
      <c r="H63" s="8" t="s">
        <v>713</v>
      </c>
      <c r="I63" s="8" t="s">
        <v>236</v>
      </c>
      <c r="J63" s="8" t="s">
        <v>714</v>
      </c>
      <c r="K63" s="8" t="s">
        <v>715</v>
      </c>
      <c r="L63" s="8" t="s">
        <v>558</v>
      </c>
      <c r="M63" s="8" t="s">
        <v>191</v>
      </c>
      <c r="N63" s="8" t="s">
        <v>716</v>
      </c>
      <c r="O63" s="9">
        <v>1</v>
      </c>
      <c r="P63" s="8" t="s">
        <v>193</v>
      </c>
      <c r="Q63" s="8" t="s">
        <v>48</v>
      </c>
      <c r="R63" s="8" t="s">
        <v>51</v>
      </c>
    </row>
    <row r="64" spans="1:18" ht="189">
      <c r="A64" s="8" t="s">
        <v>717</v>
      </c>
      <c r="B64" s="8" t="s">
        <v>718</v>
      </c>
      <c r="C64" s="8">
        <v>2025</v>
      </c>
      <c r="D64" s="8" t="s">
        <v>719</v>
      </c>
      <c r="E64" s="8"/>
      <c r="F64" s="8" t="s">
        <v>720</v>
      </c>
      <c r="G64" s="8" t="s">
        <v>721</v>
      </c>
      <c r="H64" s="8" t="s">
        <v>309</v>
      </c>
      <c r="I64" s="8" t="s">
        <v>236</v>
      </c>
      <c r="J64" s="8" t="s">
        <v>722</v>
      </c>
      <c r="K64" s="8" t="s">
        <v>723</v>
      </c>
      <c r="L64" s="8" t="s">
        <v>558</v>
      </c>
      <c r="M64" s="8" t="s">
        <v>191</v>
      </c>
      <c r="N64" s="8" t="s">
        <v>724</v>
      </c>
      <c r="O64" s="9">
        <v>0.77777777777777779</v>
      </c>
      <c r="P64" s="8" t="s">
        <v>193</v>
      </c>
      <c r="Q64" s="8" t="s">
        <v>48</v>
      </c>
      <c r="R64" s="8" t="s">
        <v>51</v>
      </c>
    </row>
    <row r="65" spans="1:18" ht="141.75">
      <c r="A65" s="8" t="s">
        <v>725</v>
      </c>
      <c r="B65" s="8" t="s">
        <v>726</v>
      </c>
      <c r="C65" s="8">
        <v>2025</v>
      </c>
      <c r="D65" s="8" t="s">
        <v>727</v>
      </c>
      <c r="E65" s="8"/>
      <c r="F65" s="8" t="s">
        <v>728</v>
      </c>
      <c r="G65" s="8" t="s">
        <v>729</v>
      </c>
      <c r="H65" s="8" t="s">
        <v>730</v>
      </c>
      <c r="I65" s="8" t="s">
        <v>300</v>
      </c>
      <c r="J65" s="8" t="s">
        <v>301</v>
      </c>
      <c r="K65" s="8" t="s">
        <v>731</v>
      </c>
      <c r="L65" s="8" t="s">
        <v>558</v>
      </c>
      <c r="M65" s="8" t="s">
        <v>191</v>
      </c>
      <c r="N65" s="8" t="s">
        <v>732</v>
      </c>
      <c r="O65" s="9">
        <v>0.72222222222222221</v>
      </c>
      <c r="P65" s="8" t="s">
        <v>441</v>
      </c>
      <c r="Q65" s="8" t="s">
        <v>48</v>
      </c>
      <c r="R65" s="8" t="s">
        <v>51</v>
      </c>
    </row>
    <row r="66" spans="1:18" ht="173.25">
      <c r="A66" s="8" t="s">
        <v>733</v>
      </c>
      <c r="B66" s="8" t="s">
        <v>734</v>
      </c>
      <c r="C66" s="8">
        <v>2025</v>
      </c>
      <c r="D66" s="8" t="s">
        <v>735</v>
      </c>
      <c r="E66" s="8"/>
      <c r="F66" s="8" t="s">
        <v>736</v>
      </c>
      <c r="G66" s="8" t="s">
        <v>737</v>
      </c>
      <c r="H66" s="8" t="s">
        <v>738</v>
      </c>
      <c r="I66" s="8" t="s">
        <v>300</v>
      </c>
      <c r="J66" s="8" t="s">
        <v>301</v>
      </c>
      <c r="K66" s="8" t="s">
        <v>739</v>
      </c>
      <c r="L66" s="8" t="s">
        <v>558</v>
      </c>
      <c r="M66" s="8" t="s">
        <v>191</v>
      </c>
      <c r="N66" s="8" t="s">
        <v>740</v>
      </c>
      <c r="O66" s="9">
        <v>1</v>
      </c>
      <c r="P66" s="8" t="s">
        <v>193</v>
      </c>
      <c r="Q66" s="8" t="s">
        <v>48</v>
      </c>
      <c r="R66" s="8" t="s">
        <v>51</v>
      </c>
    </row>
    <row r="67" spans="1:18" ht="283.5">
      <c r="A67" s="8" t="s">
        <v>741</v>
      </c>
      <c r="B67" s="8" t="s">
        <v>742</v>
      </c>
      <c r="C67" s="8">
        <v>2026</v>
      </c>
      <c r="D67" s="8" t="s">
        <v>743</v>
      </c>
      <c r="E67" s="8"/>
      <c r="F67" s="8" t="s">
        <v>744</v>
      </c>
      <c r="G67" s="8" t="s">
        <v>745</v>
      </c>
      <c r="H67" s="8" t="s">
        <v>746</v>
      </c>
      <c r="I67" s="8" t="s">
        <v>300</v>
      </c>
      <c r="J67" s="8" t="s">
        <v>301</v>
      </c>
      <c r="K67" s="8" t="s">
        <v>747</v>
      </c>
      <c r="L67" s="8" t="s">
        <v>558</v>
      </c>
      <c r="M67" s="8" t="s">
        <v>748</v>
      </c>
      <c r="N67" s="8" t="s">
        <v>749</v>
      </c>
      <c r="O67" s="9"/>
      <c r="P67" s="8"/>
      <c r="Q67" s="8" t="s">
        <v>90</v>
      </c>
      <c r="R67" s="8" t="s">
        <v>90</v>
      </c>
    </row>
    <row r="68" spans="1:18" ht="110.25">
      <c r="A68" s="8" t="s">
        <v>750</v>
      </c>
      <c r="B68" s="8" t="s">
        <v>751</v>
      </c>
      <c r="C68" s="8">
        <v>2016</v>
      </c>
      <c r="D68" s="8" t="s">
        <v>752</v>
      </c>
      <c r="E68" s="8"/>
      <c r="F68" s="8" t="s">
        <v>753</v>
      </c>
      <c r="G68" s="8" t="s">
        <v>754</v>
      </c>
      <c r="H68" s="8" t="s">
        <v>755</v>
      </c>
      <c r="I68" s="8" t="s">
        <v>187</v>
      </c>
      <c r="J68" s="8" t="s">
        <v>188</v>
      </c>
      <c r="K68" s="8" t="s">
        <v>756</v>
      </c>
      <c r="L68" s="8" t="s">
        <v>757</v>
      </c>
      <c r="M68" s="8" t="s">
        <v>191</v>
      </c>
      <c r="N68" s="8" t="s">
        <v>758</v>
      </c>
      <c r="O68" s="9">
        <v>0.88888888888888884</v>
      </c>
      <c r="P68" s="8" t="s">
        <v>193</v>
      </c>
      <c r="Q68" s="8" t="s">
        <v>48</v>
      </c>
      <c r="R68" s="8" t="s">
        <v>51</v>
      </c>
    </row>
    <row r="69" spans="1:18" ht="110.25">
      <c r="A69" s="8" t="s">
        <v>759</v>
      </c>
      <c r="B69" s="8" t="s">
        <v>760</v>
      </c>
      <c r="C69" s="8">
        <v>2018</v>
      </c>
      <c r="D69" s="8" t="s">
        <v>761</v>
      </c>
      <c r="E69" s="8"/>
      <c r="F69" s="8" t="s">
        <v>762</v>
      </c>
      <c r="G69" s="8" t="s">
        <v>763</v>
      </c>
      <c r="H69" s="8" t="s">
        <v>764</v>
      </c>
      <c r="I69" s="8" t="s">
        <v>187</v>
      </c>
      <c r="J69" s="8" t="s">
        <v>765</v>
      </c>
      <c r="K69" s="8" t="s">
        <v>766</v>
      </c>
      <c r="L69" s="8" t="s">
        <v>757</v>
      </c>
      <c r="M69" s="8" t="s">
        <v>191</v>
      </c>
      <c r="N69" s="8" t="s">
        <v>767</v>
      </c>
      <c r="O69" s="9">
        <v>1</v>
      </c>
      <c r="P69" s="8" t="s">
        <v>193</v>
      </c>
      <c r="Q69" s="8" t="s">
        <v>48</v>
      </c>
      <c r="R69" s="8" t="s">
        <v>51</v>
      </c>
    </row>
    <row r="70" spans="1:18" ht="110.25">
      <c r="A70" s="8" t="s">
        <v>768</v>
      </c>
      <c r="B70" s="8" t="s">
        <v>769</v>
      </c>
      <c r="C70" s="8">
        <v>2018</v>
      </c>
      <c r="D70" s="8" t="s">
        <v>770</v>
      </c>
      <c r="E70" s="8"/>
      <c r="F70" s="8" t="s">
        <v>771</v>
      </c>
      <c r="G70" s="8" t="s">
        <v>772</v>
      </c>
      <c r="H70" s="8" t="s">
        <v>773</v>
      </c>
      <c r="I70" s="8" t="s">
        <v>187</v>
      </c>
      <c r="J70" s="8" t="s">
        <v>774</v>
      </c>
      <c r="K70" s="8" t="s">
        <v>775</v>
      </c>
      <c r="L70" s="8" t="s">
        <v>757</v>
      </c>
      <c r="M70" s="8" t="s">
        <v>191</v>
      </c>
      <c r="N70" s="8" t="s">
        <v>776</v>
      </c>
      <c r="O70" s="9">
        <v>0.94444444444444442</v>
      </c>
      <c r="P70" s="8" t="s">
        <v>193</v>
      </c>
      <c r="Q70" s="8" t="s">
        <v>48</v>
      </c>
      <c r="R70" s="8" t="s">
        <v>51</v>
      </c>
    </row>
    <row r="71" spans="1:18" ht="189">
      <c r="A71" s="8" t="s">
        <v>777</v>
      </c>
      <c r="B71" s="8" t="s">
        <v>778</v>
      </c>
      <c r="C71" s="8">
        <v>2019</v>
      </c>
      <c r="D71" s="8" t="s">
        <v>779</v>
      </c>
      <c r="E71" s="8"/>
      <c r="F71" s="8" t="s">
        <v>780</v>
      </c>
      <c r="G71" s="8" t="s">
        <v>781</v>
      </c>
      <c r="H71" s="8" t="s">
        <v>782</v>
      </c>
      <c r="I71" s="8" t="s">
        <v>236</v>
      </c>
      <c r="J71" s="8" t="s">
        <v>783</v>
      </c>
      <c r="K71" s="8" t="s">
        <v>784</v>
      </c>
      <c r="L71" s="8" t="s">
        <v>757</v>
      </c>
      <c r="M71" s="8" t="s">
        <v>191</v>
      </c>
      <c r="N71" s="8" t="s">
        <v>785</v>
      </c>
      <c r="O71" s="9">
        <v>0.72222222222222221</v>
      </c>
      <c r="P71" s="8" t="s">
        <v>441</v>
      </c>
      <c r="Q71" s="8" t="s">
        <v>48</v>
      </c>
      <c r="R71" s="8" t="s">
        <v>51</v>
      </c>
    </row>
    <row r="72" spans="1:18" ht="126">
      <c r="A72" s="8" t="s">
        <v>786</v>
      </c>
      <c r="B72" s="8" t="s">
        <v>787</v>
      </c>
      <c r="C72" s="8">
        <v>2020</v>
      </c>
      <c r="D72" s="8" t="s">
        <v>788</v>
      </c>
      <c r="E72" s="8"/>
      <c r="F72" s="8" t="s">
        <v>789</v>
      </c>
      <c r="G72" s="8" t="s">
        <v>790</v>
      </c>
      <c r="H72" s="8" t="s">
        <v>791</v>
      </c>
      <c r="I72" s="8" t="s">
        <v>300</v>
      </c>
      <c r="J72" s="8" t="s">
        <v>301</v>
      </c>
      <c r="K72" s="8" t="s">
        <v>792</v>
      </c>
      <c r="L72" s="8" t="s">
        <v>757</v>
      </c>
      <c r="M72" s="8" t="s">
        <v>191</v>
      </c>
      <c r="N72" s="8" t="s">
        <v>793</v>
      </c>
      <c r="O72" s="9">
        <v>1</v>
      </c>
      <c r="P72" s="8" t="s">
        <v>193</v>
      </c>
      <c r="Q72" s="8" t="s">
        <v>48</v>
      </c>
      <c r="R72" s="8" t="s">
        <v>51</v>
      </c>
    </row>
    <row r="73" spans="1:18" ht="204.75">
      <c r="A73" s="8" t="s">
        <v>794</v>
      </c>
      <c r="B73" s="8" t="s">
        <v>795</v>
      </c>
      <c r="C73" s="8">
        <v>2020</v>
      </c>
      <c r="D73" s="8" t="s">
        <v>796</v>
      </c>
      <c r="E73" s="8"/>
      <c r="F73" s="8" t="s">
        <v>797</v>
      </c>
      <c r="G73" s="8" t="s">
        <v>798</v>
      </c>
      <c r="H73" s="8" t="s">
        <v>799</v>
      </c>
      <c r="I73" s="8" t="s">
        <v>300</v>
      </c>
      <c r="J73" s="8" t="s">
        <v>301</v>
      </c>
      <c r="K73" s="8" t="s">
        <v>800</v>
      </c>
      <c r="L73" s="8" t="s">
        <v>757</v>
      </c>
      <c r="M73" s="8" t="s">
        <v>191</v>
      </c>
      <c r="N73" s="8" t="s">
        <v>801</v>
      </c>
      <c r="O73" s="9">
        <v>0.94444444444444442</v>
      </c>
      <c r="P73" s="8" t="s">
        <v>193</v>
      </c>
      <c r="Q73" s="8" t="s">
        <v>48</v>
      </c>
      <c r="R73" s="8" t="s">
        <v>51</v>
      </c>
    </row>
    <row r="74" spans="1:18" ht="157.5">
      <c r="A74" s="8" t="s">
        <v>802</v>
      </c>
      <c r="B74" s="8" t="s">
        <v>803</v>
      </c>
      <c r="C74" s="8">
        <v>2021</v>
      </c>
      <c r="D74" s="8" t="s">
        <v>804</v>
      </c>
      <c r="E74" s="8"/>
      <c r="F74" s="8" t="s">
        <v>805</v>
      </c>
      <c r="G74" s="8" t="s">
        <v>806</v>
      </c>
      <c r="H74" s="8" t="s">
        <v>807</v>
      </c>
      <c r="I74" s="8" t="s">
        <v>300</v>
      </c>
      <c r="J74" s="8" t="s">
        <v>301</v>
      </c>
      <c r="K74" s="8" t="s">
        <v>808</v>
      </c>
      <c r="L74" s="8" t="s">
        <v>757</v>
      </c>
      <c r="M74" s="8" t="s">
        <v>191</v>
      </c>
      <c r="N74" s="8" t="s">
        <v>809</v>
      </c>
      <c r="O74" s="9">
        <v>0.94444444444444442</v>
      </c>
      <c r="P74" s="8" t="s">
        <v>193</v>
      </c>
      <c r="Q74" s="8" t="s">
        <v>48</v>
      </c>
      <c r="R74" s="8" t="s">
        <v>51</v>
      </c>
    </row>
    <row r="75" spans="1:18" ht="204.75">
      <c r="A75" s="8" t="s">
        <v>810</v>
      </c>
      <c r="B75" s="8" t="s">
        <v>811</v>
      </c>
      <c r="C75" s="8">
        <v>2022</v>
      </c>
      <c r="D75" s="8" t="s">
        <v>812</v>
      </c>
      <c r="E75" s="8"/>
      <c r="F75" s="8" t="s">
        <v>813</v>
      </c>
      <c r="G75" s="8" t="s">
        <v>814</v>
      </c>
      <c r="H75" s="8" t="s">
        <v>815</v>
      </c>
      <c r="I75" s="8" t="s">
        <v>236</v>
      </c>
      <c r="J75" s="8" t="s">
        <v>816</v>
      </c>
      <c r="K75" s="8" t="s">
        <v>817</v>
      </c>
      <c r="L75" s="8" t="s">
        <v>757</v>
      </c>
      <c r="M75" s="8" t="s">
        <v>191</v>
      </c>
      <c r="N75" s="8" t="s">
        <v>818</v>
      </c>
      <c r="O75" s="9">
        <v>0.83333333333333337</v>
      </c>
      <c r="P75" s="8" t="s">
        <v>193</v>
      </c>
      <c r="Q75" s="8" t="s">
        <v>48</v>
      </c>
      <c r="R75" s="8" t="s">
        <v>51</v>
      </c>
    </row>
    <row r="76" spans="1:18" ht="204.75">
      <c r="A76" s="8" t="s">
        <v>819</v>
      </c>
      <c r="B76" s="8" t="s">
        <v>820</v>
      </c>
      <c r="C76" s="8">
        <v>2022</v>
      </c>
      <c r="D76" s="8" t="s">
        <v>821</v>
      </c>
      <c r="E76" s="8"/>
      <c r="F76" s="8" t="s">
        <v>822</v>
      </c>
      <c r="G76" s="8" t="s">
        <v>823</v>
      </c>
      <c r="H76" s="8" t="s">
        <v>824</v>
      </c>
      <c r="I76" s="8" t="s">
        <v>300</v>
      </c>
      <c r="J76" s="8" t="s">
        <v>301</v>
      </c>
      <c r="K76" s="8" t="s">
        <v>825</v>
      </c>
      <c r="L76" s="8" t="s">
        <v>757</v>
      </c>
      <c r="M76" s="8" t="s">
        <v>191</v>
      </c>
      <c r="N76" s="8" t="s">
        <v>826</v>
      </c>
      <c r="O76" s="9">
        <v>0.94444444444444442</v>
      </c>
      <c r="P76" s="8" t="s">
        <v>193</v>
      </c>
      <c r="Q76" s="8" t="s">
        <v>48</v>
      </c>
      <c r="R76" s="8" t="s">
        <v>51</v>
      </c>
    </row>
    <row r="77" spans="1:18" ht="189">
      <c r="A77" s="8" t="s">
        <v>827</v>
      </c>
      <c r="B77" s="8" t="s">
        <v>828</v>
      </c>
      <c r="C77" s="8">
        <v>2022</v>
      </c>
      <c r="D77" s="8" t="s">
        <v>829</v>
      </c>
      <c r="E77" s="8"/>
      <c r="F77" s="8" t="s">
        <v>830</v>
      </c>
      <c r="G77" s="8" t="s">
        <v>831</v>
      </c>
      <c r="H77" s="8" t="s">
        <v>832</v>
      </c>
      <c r="I77" s="8" t="s">
        <v>236</v>
      </c>
      <c r="J77" s="8" t="s">
        <v>833</v>
      </c>
      <c r="K77" s="8" t="s">
        <v>834</v>
      </c>
      <c r="L77" s="8" t="s">
        <v>757</v>
      </c>
      <c r="M77" s="8" t="s">
        <v>191</v>
      </c>
      <c r="N77" s="8" t="s">
        <v>835</v>
      </c>
      <c r="O77" s="9">
        <v>0.94444444444444442</v>
      </c>
      <c r="P77" s="8" t="s">
        <v>193</v>
      </c>
      <c r="Q77" s="8" t="s">
        <v>48</v>
      </c>
      <c r="R77" s="8" t="s">
        <v>51</v>
      </c>
    </row>
    <row r="78" spans="1:18" ht="267.75">
      <c r="A78" s="8" t="s">
        <v>836</v>
      </c>
      <c r="B78" s="8" t="s">
        <v>837</v>
      </c>
      <c r="C78" s="8">
        <v>2022</v>
      </c>
      <c r="D78" s="8" t="s">
        <v>838</v>
      </c>
      <c r="E78" s="8"/>
      <c r="F78" s="8" t="s">
        <v>839</v>
      </c>
      <c r="G78" s="8" t="s">
        <v>840</v>
      </c>
      <c r="H78" s="8" t="s">
        <v>841</v>
      </c>
      <c r="I78" s="8" t="s">
        <v>457</v>
      </c>
      <c r="J78" s="8" t="s">
        <v>842</v>
      </c>
      <c r="K78" s="8" t="s">
        <v>843</v>
      </c>
      <c r="L78" s="8" t="s">
        <v>757</v>
      </c>
      <c r="M78" s="8" t="s">
        <v>191</v>
      </c>
      <c r="N78" s="8" t="s">
        <v>844</v>
      </c>
      <c r="O78" s="9">
        <v>1</v>
      </c>
      <c r="P78" s="8" t="s">
        <v>193</v>
      </c>
      <c r="Q78" s="8" t="s">
        <v>48</v>
      </c>
      <c r="R78" s="8" t="s">
        <v>51</v>
      </c>
    </row>
    <row r="79" spans="1:18" ht="204.75">
      <c r="A79" s="8" t="s">
        <v>845</v>
      </c>
      <c r="B79" s="8" t="s">
        <v>846</v>
      </c>
      <c r="C79" s="8">
        <v>2022</v>
      </c>
      <c r="D79" s="8" t="s">
        <v>847</v>
      </c>
      <c r="E79" s="8"/>
      <c r="F79" s="8" t="s">
        <v>848</v>
      </c>
      <c r="G79" s="8" t="s">
        <v>849</v>
      </c>
      <c r="H79" s="8" t="s">
        <v>850</v>
      </c>
      <c r="I79" s="8" t="s">
        <v>236</v>
      </c>
      <c r="J79" s="8" t="s">
        <v>851</v>
      </c>
      <c r="K79" s="8" t="s">
        <v>852</v>
      </c>
      <c r="L79" s="8" t="s">
        <v>757</v>
      </c>
      <c r="M79" s="8" t="s">
        <v>191</v>
      </c>
      <c r="N79" s="8" t="s">
        <v>853</v>
      </c>
      <c r="O79" s="9">
        <v>1</v>
      </c>
      <c r="P79" s="8" t="s">
        <v>193</v>
      </c>
      <c r="Q79" s="8" t="s">
        <v>48</v>
      </c>
      <c r="R79" s="8" t="s">
        <v>51</v>
      </c>
    </row>
    <row r="80" spans="1:18" ht="157.5">
      <c r="A80" s="8" t="s">
        <v>854</v>
      </c>
      <c r="B80" s="8" t="s">
        <v>855</v>
      </c>
      <c r="C80" s="8">
        <v>2022</v>
      </c>
      <c r="D80" s="8" t="s">
        <v>856</v>
      </c>
      <c r="E80" s="8"/>
      <c r="F80" s="8" t="s">
        <v>857</v>
      </c>
      <c r="G80" s="8" t="s">
        <v>858</v>
      </c>
      <c r="H80" s="8" t="s">
        <v>859</v>
      </c>
      <c r="I80" s="8" t="s">
        <v>236</v>
      </c>
      <c r="J80" s="8" t="s">
        <v>860</v>
      </c>
      <c r="K80" s="8" t="s">
        <v>861</v>
      </c>
      <c r="L80" s="8" t="s">
        <v>757</v>
      </c>
      <c r="M80" s="8" t="s">
        <v>191</v>
      </c>
      <c r="N80" s="8" t="s">
        <v>862</v>
      </c>
      <c r="O80" s="9">
        <v>0.94444444444444442</v>
      </c>
      <c r="P80" s="8" t="s">
        <v>193</v>
      </c>
      <c r="Q80" s="8" t="s">
        <v>48</v>
      </c>
      <c r="R80" s="8" t="s">
        <v>51</v>
      </c>
    </row>
    <row r="81" spans="1:18" ht="252">
      <c r="A81" s="8" t="s">
        <v>863</v>
      </c>
      <c r="B81" s="8" t="s">
        <v>864</v>
      </c>
      <c r="C81" s="8">
        <v>2023</v>
      </c>
      <c r="D81" s="8" t="s">
        <v>865</v>
      </c>
      <c r="E81" s="8"/>
      <c r="F81" s="8" t="s">
        <v>866</v>
      </c>
      <c r="G81" s="8" t="s">
        <v>867</v>
      </c>
      <c r="H81" s="8" t="s">
        <v>713</v>
      </c>
      <c r="I81" s="8" t="s">
        <v>236</v>
      </c>
      <c r="J81" s="8" t="s">
        <v>868</v>
      </c>
      <c r="K81" s="8" t="s">
        <v>869</v>
      </c>
      <c r="L81" s="8" t="s">
        <v>757</v>
      </c>
      <c r="M81" s="8" t="s">
        <v>191</v>
      </c>
      <c r="N81" s="8" t="s">
        <v>870</v>
      </c>
      <c r="O81" s="9">
        <v>1</v>
      </c>
      <c r="P81" s="8" t="s">
        <v>193</v>
      </c>
      <c r="Q81" s="8" t="s">
        <v>48</v>
      </c>
      <c r="R81" s="8" t="s">
        <v>51</v>
      </c>
    </row>
    <row r="82" spans="1:18" ht="189">
      <c r="A82" s="8" t="s">
        <v>871</v>
      </c>
      <c r="B82" s="8" t="s">
        <v>872</v>
      </c>
      <c r="C82" s="8">
        <v>2023</v>
      </c>
      <c r="D82" s="8" t="s">
        <v>873</v>
      </c>
      <c r="E82" s="8"/>
      <c r="F82" s="8" t="s">
        <v>874</v>
      </c>
      <c r="G82" s="8" t="s">
        <v>875</v>
      </c>
      <c r="H82" s="8" t="s">
        <v>216</v>
      </c>
      <c r="I82" s="8" t="s">
        <v>457</v>
      </c>
      <c r="J82" s="8" t="s">
        <v>876</v>
      </c>
      <c r="K82" s="8" t="s">
        <v>877</v>
      </c>
      <c r="L82" s="8" t="s">
        <v>757</v>
      </c>
      <c r="M82" s="8" t="s">
        <v>191</v>
      </c>
      <c r="N82" s="8" t="s">
        <v>878</v>
      </c>
      <c r="O82" s="9">
        <v>0.94444444444444442</v>
      </c>
      <c r="P82" s="8" t="s">
        <v>193</v>
      </c>
      <c r="Q82" s="8" t="s">
        <v>48</v>
      </c>
      <c r="R82" s="8" t="s">
        <v>51</v>
      </c>
    </row>
    <row r="83" spans="1:18" ht="204.75">
      <c r="A83" s="8" t="s">
        <v>879</v>
      </c>
      <c r="B83" s="8" t="s">
        <v>880</v>
      </c>
      <c r="C83" s="8">
        <v>2023</v>
      </c>
      <c r="D83" s="8" t="s">
        <v>881</v>
      </c>
      <c r="E83" s="8"/>
      <c r="F83" s="8" t="s">
        <v>882</v>
      </c>
      <c r="G83" s="8" t="s">
        <v>883</v>
      </c>
      <c r="H83" s="8" t="s">
        <v>884</v>
      </c>
      <c r="I83" s="8" t="s">
        <v>236</v>
      </c>
      <c r="J83" s="8" t="s">
        <v>885</v>
      </c>
      <c r="K83" s="8" t="s">
        <v>886</v>
      </c>
      <c r="L83" s="8" t="s">
        <v>757</v>
      </c>
      <c r="M83" s="8" t="s">
        <v>191</v>
      </c>
      <c r="N83" s="8" t="s">
        <v>887</v>
      </c>
      <c r="O83" s="9">
        <v>0.88888888888888884</v>
      </c>
      <c r="P83" s="8" t="s">
        <v>193</v>
      </c>
      <c r="Q83" s="8" t="s">
        <v>48</v>
      </c>
      <c r="R83" s="8" t="s">
        <v>51</v>
      </c>
    </row>
    <row r="84" spans="1:18" ht="141.75">
      <c r="A84" s="8" t="s">
        <v>888</v>
      </c>
      <c r="B84" s="8" t="s">
        <v>889</v>
      </c>
      <c r="C84" s="8">
        <v>2023</v>
      </c>
      <c r="D84" s="8" t="s">
        <v>890</v>
      </c>
      <c r="E84" s="8"/>
      <c r="F84" s="8" t="s">
        <v>891</v>
      </c>
      <c r="G84" s="8" t="s">
        <v>892</v>
      </c>
      <c r="H84" s="8" t="s">
        <v>841</v>
      </c>
      <c r="I84" s="8" t="s">
        <v>236</v>
      </c>
      <c r="J84" s="8" t="s">
        <v>893</v>
      </c>
      <c r="K84" s="8" t="s">
        <v>894</v>
      </c>
      <c r="L84" s="8" t="s">
        <v>757</v>
      </c>
      <c r="M84" s="8" t="s">
        <v>191</v>
      </c>
      <c r="N84" s="8" t="s">
        <v>895</v>
      </c>
      <c r="O84" s="9">
        <v>0.83333333333333337</v>
      </c>
      <c r="P84" s="8" t="s">
        <v>193</v>
      </c>
      <c r="Q84" s="8" t="s">
        <v>48</v>
      </c>
      <c r="R84" s="8" t="s">
        <v>51</v>
      </c>
    </row>
    <row r="85" spans="1:18" ht="299.25">
      <c r="A85" s="8" t="s">
        <v>896</v>
      </c>
      <c r="B85" s="8" t="s">
        <v>897</v>
      </c>
      <c r="C85" s="8">
        <v>2023</v>
      </c>
      <c r="D85" s="8" t="s">
        <v>898</v>
      </c>
      <c r="E85" s="8"/>
      <c r="F85" s="8" t="s">
        <v>899</v>
      </c>
      <c r="G85" s="8" t="s">
        <v>900</v>
      </c>
      <c r="H85" s="8" t="s">
        <v>264</v>
      </c>
      <c r="I85" s="8" t="s">
        <v>236</v>
      </c>
      <c r="J85" s="8" t="s">
        <v>901</v>
      </c>
      <c r="K85" s="8" t="s">
        <v>902</v>
      </c>
      <c r="L85" s="8" t="s">
        <v>757</v>
      </c>
      <c r="M85" s="8" t="s">
        <v>191</v>
      </c>
      <c r="N85" s="8" t="s">
        <v>903</v>
      </c>
      <c r="O85" s="9">
        <v>0.94444444444444442</v>
      </c>
      <c r="P85" s="8" t="s">
        <v>193</v>
      </c>
      <c r="Q85" s="8" t="s">
        <v>48</v>
      </c>
      <c r="R85" s="8" t="s">
        <v>51</v>
      </c>
    </row>
    <row r="86" spans="1:18" ht="220.5">
      <c r="A86" s="8" t="s">
        <v>904</v>
      </c>
      <c r="B86" s="8" t="s">
        <v>905</v>
      </c>
      <c r="C86" s="8">
        <v>2023</v>
      </c>
      <c r="D86" s="8" t="s">
        <v>906</v>
      </c>
      <c r="E86" s="8"/>
      <c r="F86" s="8" t="s">
        <v>907</v>
      </c>
      <c r="G86" s="8" t="s">
        <v>908</v>
      </c>
      <c r="H86" s="8" t="s">
        <v>909</v>
      </c>
      <c r="I86" s="8" t="s">
        <v>236</v>
      </c>
      <c r="J86" s="8" t="s">
        <v>910</v>
      </c>
      <c r="K86" s="8" t="s">
        <v>911</v>
      </c>
      <c r="L86" s="8" t="s">
        <v>757</v>
      </c>
      <c r="M86" s="8" t="s">
        <v>191</v>
      </c>
      <c r="N86" s="8" t="s">
        <v>912</v>
      </c>
      <c r="O86" s="9">
        <v>0.88888888888888884</v>
      </c>
      <c r="P86" s="8" t="s">
        <v>193</v>
      </c>
      <c r="Q86" s="8" t="s">
        <v>48</v>
      </c>
      <c r="R86" s="8" t="s">
        <v>51</v>
      </c>
    </row>
    <row r="87" spans="1:18" ht="252">
      <c r="A87" s="8" t="s">
        <v>913</v>
      </c>
      <c r="B87" s="8" t="s">
        <v>914</v>
      </c>
      <c r="C87" s="8">
        <v>2023</v>
      </c>
      <c r="D87" s="8" t="s">
        <v>915</v>
      </c>
      <c r="E87" s="8"/>
      <c r="F87" s="8" t="s">
        <v>916</v>
      </c>
      <c r="G87" s="8" t="s">
        <v>917</v>
      </c>
      <c r="H87" s="8" t="s">
        <v>918</v>
      </c>
      <c r="I87" s="8" t="s">
        <v>457</v>
      </c>
      <c r="J87" s="8" t="s">
        <v>919</v>
      </c>
      <c r="K87" s="8" t="s">
        <v>920</v>
      </c>
      <c r="L87" s="8" t="s">
        <v>757</v>
      </c>
      <c r="M87" s="8" t="s">
        <v>191</v>
      </c>
      <c r="N87" s="8" t="s">
        <v>921</v>
      </c>
      <c r="O87" s="9">
        <v>1</v>
      </c>
      <c r="P87" s="8" t="s">
        <v>193</v>
      </c>
      <c r="Q87" s="8" t="s">
        <v>48</v>
      </c>
      <c r="R87" s="8" t="s">
        <v>51</v>
      </c>
    </row>
    <row r="88" spans="1:18" ht="204.75">
      <c r="A88" s="8" t="s">
        <v>922</v>
      </c>
      <c r="B88" s="8" t="s">
        <v>923</v>
      </c>
      <c r="C88" s="8">
        <v>2023</v>
      </c>
      <c r="D88" s="8" t="s">
        <v>924</v>
      </c>
      <c r="E88" s="8"/>
      <c r="F88" s="8" t="s">
        <v>925</v>
      </c>
      <c r="G88" s="8" t="s">
        <v>926</v>
      </c>
      <c r="H88" s="8" t="s">
        <v>927</v>
      </c>
      <c r="I88" s="8" t="s">
        <v>300</v>
      </c>
      <c r="J88" s="8" t="s">
        <v>301</v>
      </c>
      <c r="K88" s="8" t="s">
        <v>928</v>
      </c>
      <c r="L88" s="8" t="s">
        <v>757</v>
      </c>
      <c r="M88" s="8" t="s">
        <v>191</v>
      </c>
      <c r="N88" s="8" t="s">
        <v>929</v>
      </c>
      <c r="O88" s="9">
        <v>1</v>
      </c>
      <c r="P88" s="8" t="s">
        <v>193</v>
      </c>
      <c r="Q88" s="8" t="s">
        <v>48</v>
      </c>
      <c r="R88" s="8" t="s">
        <v>51</v>
      </c>
    </row>
    <row r="89" spans="1:18" ht="236.25">
      <c r="A89" s="8" t="s">
        <v>930</v>
      </c>
      <c r="B89" s="8" t="s">
        <v>931</v>
      </c>
      <c r="C89" s="8">
        <v>2023</v>
      </c>
      <c r="D89" s="8" t="s">
        <v>932</v>
      </c>
      <c r="E89" s="8"/>
      <c r="F89" s="8" t="s">
        <v>933</v>
      </c>
      <c r="G89" s="8" t="s">
        <v>934</v>
      </c>
      <c r="H89" s="8" t="s">
        <v>935</v>
      </c>
      <c r="I89" s="8" t="s">
        <v>300</v>
      </c>
      <c r="J89" s="8" t="s">
        <v>301</v>
      </c>
      <c r="K89" s="8" t="s">
        <v>936</v>
      </c>
      <c r="L89" s="8" t="s">
        <v>757</v>
      </c>
      <c r="M89" s="8" t="s">
        <v>191</v>
      </c>
      <c r="N89" s="8" t="s">
        <v>937</v>
      </c>
      <c r="O89" s="9">
        <v>0.77777777777777779</v>
      </c>
      <c r="P89" s="8" t="s">
        <v>193</v>
      </c>
      <c r="Q89" s="8" t="s">
        <v>48</v>
      </c>
      <c r="R89" s="8" t="s">
        <v>51</v>
      </c>
    </row>
    <row r="90" spans="1:18" ht="157.5">
      <c r="A90" s="8" t="s">
        <v>938</v>
      </c>
      <c r="B90" s="8" t="s">
        <v>939</v>
      </c>
      <c r="C90" s="8">
        <v>2023</v>
      </c>
      <c r="D90" s="8" t="s">
        <v>940</v>
      </c>
      <c r="E90" s="8"/>
      <c r="F90" s="8" t="s">
        <v>941</v>
      </c>
      <c r="G90" s="8" t="s">
        <v>942</v>
      </c>
      <c r="H90" s="8" t="s">
        <v>943</v>
      </c>
      <c r="I90" s="8" t="s">
        <v>236</v>
      </c>
      <c r="J90" s="8" t="s">
        <v>944</v>
      </c>
      <c r="K90" s="8" t="s">
        <v>945</v>
      </c>
      <c r="L90" s="8" t="s">
        <v>757</v>
      </c>
      <c r="M90" s="8" t="s">
        <v>191</v>
      </c>
      <c r="N90" s="8" t="s">
        <v>946</v>
      </c>
      <c r="O90" s="9">
        <v>0.55555555555555558</v>
      </c>
      <c r="P90" s="8" t="s">
        <v>441</v>
      </c>
      <c r="Q90" s="8" t="s">
        <v>48</v>
      </c>
      <c r="R90" s="8" t="s">
        <v>51</v>
      </c>
    </row>
    <row r="91" spans="1:18" ht="173.25">
      <c r="A91" s="8" t="s">
        <v>947</v>
      </c>
      <c r="B91" s="8" t="s">
        <v>948</v>
      </c>
      <c r="C91" s="8">
        <v>2024</v>
      </c>
      <c r="D91" s="8" t="s">
        <v>949</v>
      </c>
      <c r="E91" s="8"/>
      <c r="F91" s="8" t="s">
        <v>950</v>
      </c>
      <c r="G91" s="8" t="s">
        <v>951</v>
      </c>
      <c r="H91" s="8" t="s">
        <v>952</v>
      </c>
      <c r="I91" s="8" t="s">
        <v>236</v>
      </c>
      <c r="J91" s="8" t="s">
        <v>953</v>
      </c>
      <c r="K91" s="8" t="s">
        <v>954</v>
      </c>
      <c r="L91" s="8" t="s">
        <v>757</v>
      </c>
      <c r="M91" s="8" t="s">
        <v>191</v>
      </c>
      <c r="N91" s="8" t="s">
        <v>955</v>
      </c>
      <c r="O91" s="9">
        <v>0.66666666666666663</v>
      </c>
      <c r="P91" s="8" t="s">
        <v>441</v>
      </c>
      <c r="Q91" s="8" t="s">
        <v>48</v>
      </c>
      <c r="R91" s="8" t="s">
        <v>51</v>
      </c>
    </row>
    <row r="92" spans="1:18" ht="204.75">
      <c r="A92" s="8" t="s">
        <v>956</v>
      </c>
      <c r="B92" s="8" t="s">
        <v>957</v>
      </c>
      <c r="C92" s="8">
        <v>2024</v>
      </c>
      <c r="D92" s="8" t="s">
        <v>958</v>
      </c>
      <c r="E92" s="8"/>
      <c r="F92" s="8" t="s">
        <v>959</v>
      </c>
      <c r="G92" s="8" t="s">
        <v>960</v>
      </c>
      <c r="H92" s="8" t="s">
        <v>961</v>
      </c>
      <c r="I92" s="8" t="s">
        <v>457</v>
      </c>
      <c r="J92" s="8" t="s">
        <v>962</v>
      </c>
      <c r="K92" s="8" t="s">
        <v>963</v>
      </c>
      <c r="L92" s="8" t="s">
        <v>757</v>
      </c>
      <c r="M92" s="8" t="s">
        <v>191</v>
      </c>
      <c r="N92" s="8" t="s">
        <v>964</v>
      </c>
      <c r="O92" s="9">
        <v>1</v>
      </c>
      <c r="P92" s="8" t="s">
        <v>193</v>
      </c>
      <c r="Q92" s="8" t="s">
        <v>48</v>
      </c>
      <c r="R92" s="8" t="s">
        <v>51</v>
      </c>
    </row>
    <row r="93" spans="1:18" ht="252">
      <c r="A93" s="8" t="s">
        <v>965</v>
      </c>
      <c r="B93" s="8" t="s">
        <v>966</v>
      </c>
      <c r="C93" s="8">
        <v>2024</v>
      </c>
      <c r="D93" s="8" t="s">
        <v>967</v>
      </c>
      <c r="E93" s="8"/>
      <c r="F93" s="8" t="s">
        <v>968</v>
      </c>
      <c r="G93" s="8" t="s">
        <v>969</v>
      </c>
      <c r="H93" s="8" t="s">
        <v>970</v>
      </c>
      <c r="I93" s="8" t="s">
        <v>236</v>
      </c>
      <c r="J93" s="8" t="s">
        <v>971</v>
      </c>
      <c r="K93" s="8" t="s">
        <v>972</v>
      </c>
      <c r="L93" s="8" t="s">
        <v>757</v>
      </c>
      <c r="M93" s="8" t="s">
        <v>191</v>
      </c>
      <c r="N93" s="8" t="s">
        <v>973</v>
      </c>
      <c r="O93" s="9">
        <v>0.94444444444444442</v>
      </c>
      <c r="P93" s="8" t="s">
        <v>193</v>
      </c>
      <c r="Q93" s="8" t="s">
        <v>48</v>
      </c>
      <c r="R93" s="8" t="s">
        <v>51</v>
      </c>
    </row>
    <row r="94" spans="1:18" ht="189">
      <c r="A94" s="8" t="s">
        <v>974</v>
      </c>
      <c r="B94" s="8" t="s">
        <v>975</v>
      </c>
      <c r="C94" s="8">
        <v>2025</v>
      </c>
      <c r="D94" s="8" t="s">
        <v>976</v>
      </c>
      <c r="E94" s="8"/>
      <c r="F94" s="8" t="s">
        <v>977</v>
      </c>
      <c r="G94" s="8" t="s">
        <v>978</v>
      </c>
      <c r="H94" s="8" t="s">
        <v>979</v>
      </c>
      <c r="I94" s="8" t="s">
        <v>236</v>
      </c>
      <c r="J94" s="8" t="s">
        <v>980</v>
      </c>
      <c r="K94" s="8" t="s">
        <v>981</v>
      </c>
      <c r="L94" s="8" t="s">
        <v>757</v>
      </c>
      <c r="M94" s="8" t="s">
        <v>191</v>
      </c>
      <c r="N94" s="8" t="s">
        <v>982</v>
      </c>
      <c r="O94" s="9">
        <v>0.94444444444444442</v>
      </c>
      <c r="P94" s="8" t="s">
        <v>193</v>
      </c>
      <c r="Q94" s="8" t="s">
        <v>48</v>
      </c>
      <c r="R94" s="8" t="s">
        <v>51</v>
      </c>
    </row>
    <row r="95" spans="1:18" ht="236.25">
      <c r="A95" s="8" t="s">
        <v>983</v>
      </c>
      <c r="B95" s="8" t="s">
        <v>984</v>
      </c>
      <c r="C95" s="8">
        <v>2025</v>
      </c>
      <c r="D95" s="8" t="s">
        <v>985</v>
      </c>
      <c r="E95" s="8"/>
      <c r="F95" s="8" t="s">
        <v>986</v>
      </c>
      <c r="G95" s="8" t="s">
        <v>987</v>
      </c>
      <c r="H95" s="8" t="s">
        <v>565</v>
      </c>
      <c r="I95" s="8" t="s">
        <v>457</v>
      </c>
      <c r="J95" s="8" t="s">
        <v>988</v>
      </c>
      <c r="K95" s="8" t="s">
        <v>989</v>
      </c>
      <c r="L95" s="8" t="s">
        <v>757</v>
      </c>
      <c r="M95" s="8" t="s">
        <v>191</v>
      </c>
      <c r="N95" s="8" t="s">
        <v>990</v>
      </c>
      <c r="O95" s="9">
        <v>0.94444444444444442</v>
      </c>
      <c r="P95" s="8" t="s">
        <v>193</v>
      </c>
      <c r="Q95" s="8" t="s">
        <v>48</v>
      </c>
      <c r="R95" s="8" t="s">
        <v>51</v>
      </c>
    </row>
    <row r="96" spans="1:18" ht="315">
      <c r="A96" s="8" t="s">
        <v>991</v>
      </c>
      <c r="B96" s="8" t="s">
        <v>992</v>
      </c>
      <c r="C96" s="8">
        <v>2025</v>
      </c>
      <c r="D96" s="8" t="s">
        <v>993</v>
      </c>
      <c r="E96" s="8"/>
      <c r="F96" s="8" t="s">
        <v>994</v>
      </c>
      <c r="G96" s="8" t="s">
        <v>995</v>
      </c>
      <c r="H96" s="8" t="s">
        <v>255</v>
      </c>
      <c r="I96" s="8" t="s">
        <v>236</v>
      </c>
      <c r="J96" s="8" t="s">
        <v>996</v>
      </c>
      <c r="K96" s="8" t="s">
        <v>997</v>
      </c>
      <c r="L96" s="8" t="s">
        <v>757</v>
      </c>
      <c r="M96" s="8" t="s">
        <v>191</v>
      </c>
      <c r="N96" s="8" t="s">
        <v>998</v>
      </c>
      <c r="O96" s="9">
        <v>1</v>
      </c>
      <c r="P96" s="8" t="s">
        <v>193</v>
      </c>
      <c r="Q96" s="8" t="s">
        <v>48</v>
      </c>
      <c r="R96" s="8" t="s">
        <v>51</v>
      </c>
    </row>
    <row r="97" spans="1:18" ht="299.25">
      <c r="A97" s="8" t="s">
        <v>999</v>
      </c>
      <c r="B97" s="8" t="s">
        <v>1000</v>
      </c>
      <c r="C97" s="8">
        <v>2026</v>
      </c>
      <c r="D97" s="8" t="s">
        <v>1001</v>
      </c>
      <c r="E97" s="8"/>
      <c r="F97" s="8" t="s">
        <v>1002</v>
      </c>
      <c r="G97" s="8" t="s">
        <v>1003</v>
      </c>
      <c r="H97" s="8" t="s">
        <v>738</v>
      </c>
      <c r="I97" s="8" t="s">
        <v>300</v>
      </c>
      <c r="J97" s="8" t="s">
        <v>301</v>
      </c>
      <c r="K97" s="8" t="s">
        <v>1004</v>
      </c>
      <c r="L97" s="8" t="s">
        <v>757</v>
      </c>
      <c r="M97" s="8" t="s">
        <v>191</v>
      </c>
      <c r="N97" s="8" t="s">
        <v>1005</v>
      </c>
      <c r="O97" s="9">
        <v>1</v>
      </c>
      <c r="P97" s="8" t="s">
        <v>193</v>
      </c>
      <c r="Q97" s="8" t="s">
        <v>48</v>
      </c>
      <c r="R97" s="8" t="s">
        <v>51</v>
      </c>
    </row>
  </sheetData>
  <mergeCells count="1">
    <mergeCell ref="A1:R1"/>
  </mergeCells>
  <conditionalFormatting sqref="Q4:R97">
    <cfRule type="expression" dxfId="12" priority="1">
      <formula>$Q4="Yes"</formula>
    </cfRule>
    <cfRule type="expression" dxfId="11" priority="2">
      <formula>$Q4="Hold"</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200-000000000000}">
          <x14:formula1>
            <xm:f>Controlled_Vocab!$L$4:$L$7</xm:f>
          </x14:formula1>
          <xm:sqref>E4:E97</xm:sqref>
        </x14:dataValidation>
        <x14:dataValidation type="list" xr:uid="{00000000-0002-0000-0200-000001000000}">
          <x14:formula1>
            <xm:f>Controlled_Vocab!$K$4:$K$8</xm:f>
          </x14:formula1>
          <xm:sqref>R4:R97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V97"/>
  <sheetViews>
    <sheetView workbookViewId="0">
      <selection activeCell="V4" sqref="V4"/>
    </sheetView>
  </sheetViews>
  <sheetFormatPr defaultRowHeight="14.25"/>
  <cols>
    <col min="1" max="1" width="11" customWidth="1"/>
    <col min="2" max="2" width="48" customWidth="1"/>
    <col min="3" max="3" width="52" customWidth="1"/>
    <col min="4" max="4" width="28" customWidth="1"/>
    <col min="5" max="5" width="42" customWidth="1"/>
    <col min="6" max="6" width="48" customWidth="1"/>
    <col min="7" max="7" width="36" customWidth="1"/>
    <col min="8" max="8" width="26" customWidth="1"/>
    <col min="9" max="9" width="36" customWidth="1"/>
    <col min="10" max="11" width="28" customWidth="1"/>
    <col min="12" max="12" width="26" customWidth="1"/>
    <col min="13" max="13" width="24" customWidth="1"/>
    <col min="14" max="15" width="42" customWidth="1"/>
    <col min="16" max="16" width="16" customWidth="1"/>
    <col min="17" max="17" width="18" customWidth="1"/>
    <col min="18" max="18" width="44" customWidth="1"/>
    <col min="19" max="19" width="38" customWidth="1"/>
    <col min="20" max="20" width="42" customWidth="1"/>
    <col min="21" max="21" width="50" customWidth="1"/>
    <col min="22" max="22" width="30" customWidth="1"/>
  </cols>
  <sheetData>
    <row r="1" spans="1:22" s="11" customFormat="1" ht="20.25">
      <c r="A1" s="16" t="s">
        <v>1006</v>
      </c>
      <c r="B1" s="16"/>
      <c r="C1" s="16"/>
      <c r="D1" s="16"/>
      <c r="E1" s="16"/>
      <c r="F1" s="16"/>
      <c r="G1" s="16"/>
      <c r="H1" s="16"/>
      <c r="I1" s="16"/>
      <c r="J1" s="16"/>
      <c r="K1" s="16"/>
      <c r="L1" s="16"/>
      <c r="M1" s="16"/>
      <c r="N1" s="16"/>
      <c r="O1" s="16"/>
      <c r="P1" s="16"/>
      <c r="Q1" s="16"/>
      <c r="R1" s="16"/>
      <c r="S1" s="16"/>
      <c r="T1" s="16"/>
      <c r="U1" s="16"/>
      <c r="V1" s="16"/>
    </row>
    <row r="2" spans="1:22" ht="15">
      <c r="A2" s="1"/>
      <c r="B2" s="1"/>
      <c r="C2" s="1"/>
      <c r="D2" s="1"/>
      <c r="E2" s="1"/>
      <c r="F2" s="1"/>
      <c r="G2" s="1"/>
      <c r="H2" s="1"/>
      <c r="I2" s="1"/>
      <c r="J2" s="1"/>
      <c r="K2" s="1"/>
      <c r="L2" s="1"/>
      <c r="M2" s="1"/>
      <c r="N2" s="1"/>
      <c r="O2" s="1"/>
      <c r="P2" s="1"/>
      <c r="Q2" s="1"/>
      <c r="R2" s="1"/>
      <c r="S2" s="1"/>
      <c r="T2" s="1"/>
      <c r="U2" s="1"/>
      <c r="V2" s="1"/>
    </row>
    <row r="3" spans="1:22" s="10" customFormat="1" ht="37.5">
      <c r="A3" s="5" t="s">
        <v>165</v>
      </c>
      <c r="B3" s="5" t="s">
        <v>168</v>
      </c>
      <c r="C3" s="5" t="s">
        <v>1007</v>
      </c>
      <c r="D3" s="5" t="s">
        <v>1008</v>
      </c>
      <c r="E3" s="5" t="s">
        <v>1009</v>
      </c>
      <c r="F3" s="5" t="s">
        <v>1010</v>
      </c>
      <c r="G3" s="5" t="s">
        <v>1011</v>
      </c>
      <c r="H3" s="5" t="s">
        <v>1012</v>
      </c>
      <c r="I3" s="5" t="s">
        <v>1013</v>
      </c>
      <c r="J3" s="5" t="s">
        <v>1014</v>
      </c>
      <c r="K3" s="5" t="s">
        <v>1015</v>
      </c>
      <c r="L3" s="5" t="s">
        <v>1016</v>
      </c>
      <c r="M3" s="5" t="s">
        <v>1017</v>
      </c>
      <c r="N3" s="5" t="s">
        <v>1018</v>
      </c>
      <c r="O3" s="5" t="s">
        <v>1019</v>
      </c>
      <c r="P3" s="5" t="s">
        <v>1020</v>
      </c>
      <c r="Q3" s="5" t="s">
        <v>1021</v>
      </c>
      <c r="R3" s="5" t="s">
        <v>1022</v>
      </c>
      <c r="S3" s="5" t="s">
        <v>1023</v>
      </c>
      <c r="T3" s="5" t="s">
        <v>1024</v>
      </c>
      <c r="U3" s="5" t="s">
        <v>1025</v>
      </c>
      <c r="V3" s="5" t="s">
        <v>1026</v>
      </c>
    </row>
    <row r="4" spans="1:22" ht="110.25">
      <c r="A4" s="8" t="s">
        <v>181</v>
      </c>
      <c r="B4" s="8" t="s">
        <v>183</v>
      </c>
      <c r="C4" s="8" t="s">
        <v>1128</v>
      </c>
      <c r="D4" s="8" t="s">
        <v>1129</v>
      </c>
      <c r="E4" s="8" t="s">
        <v>1130</v>
      </c>
      <c r="F4" s="8" t="s">
        <v>1128</v>
      </c>
      <c r="G4" s="8" t="s">
        <v>1131</v>
      </c>
      <c r="H4" s="8" t="s">
        <v>1132</v>
      </c>
      <c r="I4" s="8" t="s">
        <v>1133</v>
      </c>
      <c r="J4" s="8" t="s">
        <v>1134</v>
      </c>
      <c r="K4" s="8" t="s">
        <v>1135</v>
      </c>
      <c r="L4" s="8" t="s">
        <v>1136</v>
      </c>
      <c r="M4" s="8" t="s">
        <v>1137</v>
      </c>
      <c r="N4" s="8" t="s">
        <v>1138</v>
      </c>
      <c r="O4" s="8" t="s">
        <v>1139</v>
      </c>
      <c r="P4" s="8" t="s">
        <v>1140</v>
      </c>
      <c r="Q4" s="8" t="s">
        <v>1140</v>
      </c>
      <c r="R4" s="8" t="s">
        <v>1141</v>
      </c>
      <c r="S4" s="8" t="s">
        <v>1141</v>
      </c>
      <c r="T4" s="8" t="s">
        <v>1142</v>
      </c>
      <c r="U4" s="8" t="s">
        <v>1143</v>
      </c>
      <c r="V4" s="8" t="s">
        <v>1144</v>
      </c>
    </row>
    <row r="5" spans="1:22" ht="110.25">
      <c r="A5" s="8" t="s">
        <v>194</v>
      </c>
      <c r="B5" s="8" t="s">
        <v>196</v>
      </c>
      <c r="C5" s="8" t="s">
        <v>1145</v>
      </c>
      <c r="D5" s="8" t="s">
        <v>1129</v>
      </c>
      <c r="E5" s="8" t="s">
        <v>1130</v>
      </c>
      <c r="F5" s="8" t="s">
        <v>1145</v>
      </c>
      <c r="G5" s="8" t="s">
        <v>1131</v>
      </c>
      <c r="H5" s="8" t="s">
        <v>1132</v>
      </c>
      <c r="I5" s="8" t="s">
        <v>1133</v>
      </c>
      <c r="J5" s="8" t="s">
        <v>1146</v>
      </c>
      <c r="K5" s="8" t="s">
        <v>1147</v>
      </c>
      <c r="L5" s="8" t="s">
        <v>1148</v>
      </c>
      <c r="M5" s="8" t="s">
        <v>1137</v>
      </c>
      <c r="N5" s="8" t="s">
        <v>1149</v>
      </c>
      <c r="O5" s="8" t="s">
        <v>1139</v>
      </c>
      <c r="P5" s="8" t="s">
        <v>1140</v>
      </c>
      <c r="Q5" s="8" t="s">
        <v>1140</v>
      </c>
      <c r="R5" s="8" t="s">
        <v>1150</v>
      </c>
      <c r="S5" s="8" t="s">
        <v>1151</v>
      </c>
      <c r="T5" s="8" t="s">
        <v>1152</v>
      </c>
      <c r="U5" s="8" t="s">
        <v>1153</v>
      </c>
      <c r="V5" s="8" t="s">
        <v>1154</v>
      </c>
    </row>
    <row r="6" spans="1:22" ht="126">
      <c r="A6" s="8" t="s">
        <v>202</v>
      </c>
      <c r="B6" s="8" t="s">
        <v>204</v>
      </c>
      <c r="C6" s="8" t="s">
        <v>1155</v>
      </c>
      <c r="D6" s="8" t="s">
        <v>1129</v>
      </c>
      <c r="E6" s="8" t="s">
        <v>1130</v>
      </c>
      <c r="F6" s="8" t="s">
        <v>1155</v>
      </c>
      <c r="G6" s="8" t="s">
        <v>1131</v>
      </c>
      <c r="H6" s="8" t="s">
        <v>1132</v>
      </c>
      <c r="I6" s="8" t="s">
        <v>1133</v>
      </c>
      <c r="J6" s="8" t="s">
        <v>1146</v>
      </c>
      <c r="K6" s="8" t="s">
        <v>1147</v>
      </c>
      <c r="L6" s="8" t="s">
        <v>1148</v>
      </c>
      <c r="M6" s="8" t="s">
        <v>1137</v>
      </c>
      <c r="N6" s="8" t="s">
        <v>1138</v>
      </c>
      <c r="O6" s="8" t="s">
        <v>1139</v>
      </c>
      <c r="P6" s="8" t="s">
        <v>1156</v>
      </c>
      <c r="Q6" s="8" t="s">
        <v>1140</v>
      </c>
      <c r="R6" s="8" t="s">
        <v>1157</v>
      </c>
      <c r="S6" s="8" t="s">
        <v>1157</v>
      </c>
      <c r="T6" s="8" t="s">
        <v>1142</v>
      </c>
      <c r="U6" s="8" t="s">
        <v>1158</v>
      </c>
      <c r="V6" s="8" t="s">
        <v>1159</v>
      </c>
    </row>
    <row r="7" spans="1:22" ht="126">
      <c r="A7" s="8" t="s">
        <v>211</v>
      </c>
      <c r="B7" s="8" t="s">
        <v>213</v>
      </c>
      <c r="C7" s="8" t="s">
        <v>1160</v>
      </c>
      <c r="D7" s="8" t="s">
        <v>1161</v>
      </c>
      <c r="E7" s="8" t="s">
        <v>1162</v>
      </c>
      <c r="F7" s="8" t="s">
        <v>1160</v>
      </c>
      <c r="G7" s="8" t="s">
        <v>1163</v>
      </c>
      <c r="H7" s="8" t="s">
        <v>1132</v>
      </c>
      <c r="I7" s="8" t="s">
        <v>1133</v>
      </c>
      <c r="J7" s="8" t="s">
        <v>1164</v>
      </c>
      <c r="K7" s="8" t="s">
        <v>1165</v>
      </c>
      <c r="L7" s="8" t="s">
        <v>1166</v>
      </c>
      <c r="M7" s="8" t="s">
        <v>1137</v>
      </c>
      <c r="N7" s="8" t="s">
        <v>1138</v>
      </c>
      <c r="O7" s="8" t="s">
        <v>1167</v>
      </c>
      <c r="P7" s="8" t="s">
        <v>1140</v>
      </c>
      <c r="Q7" s="8" t="s">
        <v>1140</v>
      </c>
      <c r="R7" s="8" t="s">
        <v>1168</v>
      </c>
      <c r="S7" s="8" t="s">
        <v>1151</v>
      </c>
      <c r="T7" s="8" t="s">
        <v>1142</v>
      </c>
      <c r="U7" s="8" t="s">
        <v>1169</v>
      </c>
      <c r="V7" s="8" t="s">
        <v>1170</v>
      </c>
    </row>
    <row r="8" spans="1:22" ht="110.25">
      <c r="A8" s="8" t="s">
        <v>221</v>
      </c>
      <c r="B8" s="8" t="s">
        <v>223</v>
      </c>
      <c r="C8" s="8" t="s">
        <v>1171</v>
      </c>
      <c r="D8" s="8" t="s">
        <v>1172</v>
      </c>
      <c r="E8" s="8" t="s">
        <v>1130</v>
      </c>
      <c r="F8" s="8" t="s">
        <v>1171</v>
      </c>
      <c r="G8" s="8" t="s">
        <v>1131</v>
      </c>
      <c r="H8" s="8" t="s">
        <v>1132</v>
      </c>
      <c r="I8" s="8" t="s">
        <v>1133</v>
      </c>
      <c r="J8" s="8" t="s">
        <v>1173</v>
      </c>
      <c r="K8" s="8" t="s">
        <v>1165</v>
      </c>
      <c r="L8" s="8" t="s">
        <v>1166</v>
      </c>
      <c r="M8" s="8" t="s">
        <v>1137</v>
      </c>
      <c r="N8" s="8" t="s">
        <v>1138</v>
      </c>
      <c r="O8" s="8" t="s">
        <v>1139</v>
      </c>
      <c r="P8" s="8" t="s">
        <v>1140</v>
      </c>
      <c r="Q8" s="8" t="s">
        <v>1140</v>
      </c>
      <c r="R8" s="8" t="s">
        <v>1174</v>
      </c>
      <c r="S8" s="8" t="s">
        <v>1174</v>
      </c>
      <c r="T8" s="8" t="s">
        <v>1142</v>
      </c>
      <c r="U8" s="8" t="s">
        <v>1175</v>
      </c>
      <c r="V8" s="8" t="s">
        <v>1176</v>
      </c>
    </row>
    <row r="9" spans="1:22" ht="126">
      <c r="A9" s="8" t="s">
        <v>230</v>
      </c>
      <c r="B9" s="8" t="s">
        <v>232</v>
      </c>
      <c r="C9" s="8" t="s">
        <v>1177</v>
      </c>
      <c r="D9" s="8" t="s">
        <v>1172</v>
      </c>
      <c r="E9" s="8" t="s">
        <v>1130</v>
      </c>
      <c r="F9" s="8" t="s">
        <v>1177</v>
      </c>
      <c r="G9" s="8" t="s">
        <v>1131</v>
      </c>
      <c r="H9" s="8" t="s">
        <v>1132</v>
      </c>
      <c r="I9" s="8" t="s">
        <v>1133</v>
      </c>
      <c r="J9" s="8" t="s">
        <v>1146</v>
      </c>
      <c r="K9" s="8" t="s">
        <v>1165</v>
      </c>
      <c r="L9" s="8" t="s">
        <v>1136</v>
      </c>
      <c r="M9" s="8" t="s">
        <v>1137</v>
      </c>
      <c r="N9" s="8" t="s">
        <v>1149</v>
      </c>
      <c r="O9" s="8" t="s">
        <v>1178</v>
      </c>
      <c r="P9" s="8" t="s">
        <v>1140</v>
      </c>
      <c r="Q9" s="8" t="s">
        <v>1140</v>
      </c>
      <c r="R9" s="8" t="s">
        <v>1179</v>
      </c>
      <c r="S9" s="8" t="s">
        <v>1179</v>
      </c>
      <c r="T9" s="8" t="s">
        <v>1142</v>
      </c>
      <c r="U9" s="8" t="s">
        <v>1180</v>
      </c>
      <c r="V9" s="8" t="s">
        <v>1181</v>
      </c>
    </row>
    <row r="10" spans="1:22" ht="94.5">
      <c r="A10" s="8" t="s">
        <v>240</v>
      </c>
      <c r="B10" s="8" t="s">
        <v>242</v>
      </c>
      <c r="C10" s="8" t="s">
        <v>1182</v>
      </c>
      <c r="D10" s="8" t="s">
        <v>1172</v>
      </c>
      <c r="E10" s="8" t="s">
        <v>1183</v>
      </c>
      <c r="F10" s="8" t="s">
        <v>1182</v>
      </c>
      <c r="G10" s="8" t="s">
        <v>1131</v>
      </c>
      <c r="H10" s="8" t="s">
        <v>1132</v>
      </c>
      <c r="I10" s="8" t="s">
        <v>1133</v>
      </c>
      <c r="J10" s="8" t="s">
        <v>1164</v>
      </c>
      <c r="K10" s="8" t="s">
        <v>1165</v>
      </c>
      <c r="L10" s="8" t="s">
        <v>1136</v>
      </c>
      <c r="M10" s="8" t="s">
        <v>1137</v>
      </c>
      <c r="N10" s="8" t="s">
        <v>1138</v>
      </c>
      <c r="O10" s="8" t="s">
        <v>1139</v>
      </c>
      <c r="P10" s="8" t="s">
        <v>1140</v>
      </c>
      <c r="Q10" s="8" t="s">
        <v>1140</v>
      </c>
      <c r="R10" s="8" t="s">
        <v>1184</v>
      </c>
      <c r="S10" s="8" t="s">
        <v>1184</v>
      </c>
      <c r="T10" s="8" t="s">
        <v>1142</v>
      </c>
      <c r="U10" s="8" t="s">
        <v>1185</v>
      </c>
      <c r="V10" s="8" t="s">
        <v>1186</v>
      </c>
    </row>
    <row r="11" spans="1:22" ht="110.25">
      <c r="A11" s="8" t="s">
        <v>250</v>
      </c>
      <c r="B11" s="8" t="s">
        <v>252</v>
      </c>
      <c r="C11" s="8" t="s">
        <v>1187</v>
      </c>
      <c r="D11" s="8" t="s">
        <v>1172</v>
      </c>
      <c r="E11" s="8" t="s">
        <v>1162</v>
      </c>
      <c r="F11" s="8" t="s">
        <v>1187</v>
      </c>
      <c r="G11" s="8" t="s">
        <v>1131</v>
      </c>
      <c r="H11" s="8" t="s">
        <v>1132</v>
      </c>
      <c r="I11" s="8" t="s">
        <v>1133</v>
      </c>
      <c r="J11" s="8" t="s">
        <v>1164</v>
      </c>
      <c r="K11" s="8" t="s">
        <v>1165</v>
      </c>
      <c r="L11" s="8" t="s">
        <v>1166</v>
      </c>
      <c r="M11" s="8" t="s">
        <v>1137</v>
      </c>
      <c r="N11" s="8" t="s">
        <v>1138</v>
      </c>
      <c r="O11" s="8" t="s">
        <v>1139</v>
      </c>
      <c r="P11" s="8" t="s">
        <v>1140</v>
      </c>
      <c r="Q11" s="8" t="s">
        <v>1140</v>
      </c>
      <c r="R11" s="8" t="s">
        <v>1188</v>
      </c>
      <c r="S11" s="8" t="s">
        <v>1188</v>
      </c>
      <c r="T11" s="8" t="s">
        <v>1142</v>
      </c>
      <c r="U11" s="8" t="s">
        <v>1189</v>
      </c>
      <c r="V11" s="8" t="s">
        <v>1190</v>
      </c>
    </row>
    <row r="12" spans="1:22" ht="94.5">
      <c r="A12" s="8" t="s">
        <v>259</v>
      </c>
      <c r="B12" s="8" t="s">
        <v>261</v>
      </c>
      <c r="C12" s="8" t="s">
        <v>1191</v>
      </c>
      <c r="D12" s="8" t="s">
        <v>1172</v>
      </c>
      <c r="E12" s="8" t="s">
        <v>1130</v>
      </c>
      <c r="F12" s="8" t="s">
        <v>1191</v>
      </c>
      <c r="G12" s="8" t="s">
        <v>1131</v>
      </c>
      <c r="H12" s="8" t="s">
        <v>1132</v>
      </c>
      <c r="I12" s="8" t="s">
        <v>1133</v>
      </c>
      <c r="J12" s="8" t="s">
        <v>1146</v>
      </c>
      <c r="K12" s="8" t="s">
        <v>1165</v>
      </c>
      <c r="L12" s="8" t="s">
        <v>1136</v>
      </c>
      <c r="M12" s="8" t="s">
        <v>1137</v>
      </c>
      <c r="N12" s="8" t="s">
        <v>1138</v>
      </c>
      <c r="O12" s="8" t="s">
        <v>1192</v>
      </c>
      <c r="P12" s="8" t="s">
        <v>1140</v>
      </c>
      <c r="Q12" s="8" t="s">
        <v>1140</v>
      </c>
      <c r="R12" s="8" t="s">
        <v>1193</v>
      </c>
      <c r="S12" s="8" t="s">
        <v>1151</v>
      </c>
      <c r="T12" s="8" t="s">
        <v>1142</v>
      </c>
      <c r="U12" s="8" t="s">
        <v>1194</v>
      </c>
      <c r="V12" s="8" t="s">
        <v>1195</v>
      </c>
    </row>
    <row r="13" spans="1:22" ht="110.25">
      <c r="A13" s="8" t="s">
        <v>268</v>
      </c>
      <c r="B13" s="8" t="s">
        <v>270</v>
      </c>
      <c r="C13" s="8" t="s">
        <v>1196</v>
      </c>
      <c r="D13" s="8" t="s">
        <v>1197</v>
      </c>
      <c r="E13" s="8" t="s">
        <v>1183</v>
      </c>
      <c r="F13" s="8" t="s">
        <v>1196</v>
      </c>
      <c r="G13" s="8" t="s">
        <v>1198</v>
      </c>
      <c r="H13" s="8" t="s">
        <v>1132</v>
      </c>
      <c r="I13" s="8" t="s">
        <v>1133</v>
      </c>
      <c r="J13" s="8" t="s">
        <v>1164</v>
      </c>
      <c r="K13" s="8" t="s">
        <v>1165</v>
      </c>
      <c r="L13" s="8" t="s">
        <v>1166</v>
      </c>
      <c r="M13" s="8" t="s">
        <v>1137</v>
      </c>
      <c r="N13" s="8" t="s">
        <v>1138</v>
      </c>
      <c r="O13" s="8" t="s">
        <v>1178</v>
      </c>
      <c r="P13" s="8" t="s">
        <v>1140</v>
      </c>
      <c r="Q13" s="8" t="s">
        <v>1140</v>
      </c>
      <c r="R13" s="8" t="s">
        <v>1199</v>
      </c>
      <c r="S13" s="8" t="s">
        <v>1151</v>
      </c>
      <c r="T13" s="8" t="s">
        <v>1142</v>
      </c>
      <c r="U13" s="8" t="s">
        <v>1200</v>
      </c>
      <c r="V13" s="8" t="s">
        <v>1201</v>
      </c>
    </row>
    <row r="14" spans="1:22" ht="110.25">
      <c r="A14" s="8" t="s">
        <v>277</v>
      </c>
      <c r="B14" s="8" t="s">
        <v>279</v>
      </c>
      <c r="C14" s="8" t="s">
        <v>1202</v>
      </c>
      <c r="D14" s="8" t="s">
        <v>1172</v>
      </c>
      <c r="E14" s="8" t="s">
        <v>1162</v>
      </c>
      <c r="F14" s="8" t="s">
        <v>1202</v>
      </c>
      <c r="G14" s="8" t="s">
        <v>1131</v>
      </c>
      <c r="H14" s="8" t="s">
        <v>1132</v>
      </c>
      <c r="I14" s="8" t="s">
        <v>1133</v>
      </c>
      <c r="J14" s="8" t="s">
        <v>1164</v>
      </c>
      <c r="K14" s="8" t="s">
        <v>1165</v>
      </c>
      <c r="L14" s="8" t="s">
        <v>1166</v>
      </c>
      <c r="M14" s="8" t="s">
        <v>1137</v>
      </c>
      <c r="N14" s="8" t="s">
        <v>1138</v>
      </c>
      <c r="O14" s="8" t="s">
        <v>1139</v>
      </c>
      <c r="P14" s="8" t="s">
        <v>1140</v>
      </c>
      <c r="Q14" s="8" t="s">
        <v>1140</v>
      </c>
      <c r="R14" s="8" t="s">
        <v>1203</v>
      </c>
      <c r="S14" s="8" t="s">
        <v>1151</v>
      </c>
      <c r="T14" s="8" t="s">
        <v>1142</v>
      </c>
      <c r="U14" s="8" t="s">
        <v>1204</v>
      </c>
      <c r="V14" s="8" t="s">
        <v>1205</v>
      </c>
    </row>
    <row r="15" spans="1:22" ht="110.25">
      <c r="A15" s="8" t="s">
        <v>285</v>
      </c>
      <c r="B15" s="8" t="s">
        <v>287</v>
      </c>
      <c r="C15" s="8" t="s">
        <v>1206</v>
      </c>
      <c r="D15" s="8" t="s">
        <v>1207</v>
      </c>
      <c r="E15" s="8" t="s">
        <v>1183</v>
      </c>
      <c r="F15" s="8" t="s">
        <v>1206</v>
      </c>
      <c r="G15" s="8" t="s">
        <v>1208</v>
      </c>
      <c r="H15" s="8" t="s">
        <v>1132</v>
      </c>
      <c r="I15" s="8" t="s">
        <v>1133</v>
      </c>
      <c r="J15" s="8" t="s">
        <v>1164</v>
      </c>
      <c r="K15" s="8" t="s">
        <v>1165</v>
      </c>
      <c r="L15" s="8" t="s">
        <v>1166</v>
      </c>
      <c r="M15" s="8" t="s">
        <v>1137</v>
      </c>
      <c r="N15" s="8" t="s">
        <v>1209</v>
      </c>
      <c r="O15" s="8" t="s">
        <v>1139</v>
      </c>
      <c r="P15" s="8" t="s">
        <v>1210</v>
      </c>
      <c r="Q15" s="8" t="s">
        <v>1140</v>
      </c>
      <c r="R15" s="8" t="s">
        <v>1211</v>
      </c>
      <c r="S15" s="8" t="s">
        <v>1211</v>
      </c>
      <c r="T15" s="8" t="s">
        <v>1142</v>
      </c>
      <c r="U15" s="8" t="s">
        <v>1212</v>
      </c>
      <c r="V15" s="8" t="s">
        <v>1213</v>
      </c>
    </row>
    <row r="16" spans="1:22" ht="126">
      <c r="A16" s="8" t="s">
        <v>294</v>
      </c>
      <c r="B16" s="8" t="s">
        <v>296</v>
      </c>
      <c r="C16" s="8" t="s">
        <v>1214</v>
      </c>
      <c r="D16" s="8" t="s">
        <v>1215</v>
      </c>
      <c r="E16" s="8" t="s">
        <v>1183</v>
      </c>
      <c r="F16" s="8" t="s">
        <v>1214</v>
      </c>
      <c r="G16" s="8" t="s">
        <v>1216</v>
      </c>
      <c r="H16" s="8" t="s">
        <v>1132</v>
      </c>
      <c r="I16" s="8" t="s">
        <v>1133</v>
      </c>
      <c r="J16" s="8" t="s">
        <v>1164</v>
      </c>
      <c r="K16" s="8" t="s">
        <v>1165</v>
      </c>
      <c r="L16" s="8" t="s">
        <v>1166</v>
      </c>
      <c r="M16" s="8" t="s">
        <v>1137</v>
      </c>
      <c r="N16" s="8" t="s">
        <v>1138</v>
      </c>
      <c r="O16" s="8" t="s">
        <v>1217</v>
      </c>
      <c r="P16" s="8" t="s">
        <v>1140</v>
      </c>
      <c r="Q16" s="8" t="s">
        <v>1140</v>
      </c>
      <c r="R16" s="8" t="s">
        <v>1218</v>
      </c>
      <c r="S16" s="8" t="s">
        <v>1151</v>
      </c>
      <c r="T16" s="8" t="s">
        <v>1142</v>
      </c>
      <c r="U16" s="8" t="s">
        <v>1219</v>
      </c>
      <c r="V16" s="8" t="s">
        <v>1220</v>
      </c>
    </row>
    <row r="17" spans="1:22" ht="47.25">
      <c r="A17" s="8" t="s">
        <v>304</v>
      </c>
      <c r="B17" s="8" t="s">
        <v>306</v>
      </c>
      <c r="C17" s="8" t="s">
        <v>1221</v>
      </c>
      <c r="D17" s="8" t="s">
        <v>1222</v>
      </c>
      <c r="E17" s="8" t="s">
        <v>1223</v>
      </c>
      <c r="F17" s="8" t="s">
        <v>1224</v>
      </c>
      <c r="G17" s="8" t="s">
        <v>1225</v>
      </c>
      <c r="H17" s="8" t="s">
        <v>1226</v>
      </c>
      <c r="I17" s="8" t="s">
        <v>1226</v>
      </c>
      <c r="J17" s="8" t="s">
        <v>1227</v>
      </c>
      <c r="K17" s="8" t="s">
        <v>1228</v>
      </c>
      <c r="L17" s="8" t="s">
        <v>1228</v>
      </c>
      <c r="M17" s="8" t="s">
        <v>1228</v>
      </c>
      <c r="N17" s="8" t="s">
        <v>1228</v>
      </c>
      <c r="O17" s="8" t="s">
        <v>1228</v>
      </c>
      <c r="P17" s="8" t="s">
        <v>64</v>
      </c>
      <c r="Q17" s="8" t="s">
        <v>64</v>
      </c>
      <c r="R17" s="8" t="s">
        <v>64</v>
      </c>
      <c r="S17" s="8" t="s">
        <v>1229</v>
      </c>
      <c r="T17" s="8" t="s">
        <v>1228</v>
      </c>
      <c r="U17" s="8" t="s">
        <v>1230</v>
      </c>
      <c r="V17" s="8" t="s">
        <v>1231</v>
      </c>
    </row>
    <row r="18" spans="1:22" ht="47.25">
      <c r="A18" s="8" t="s">
        <v>315</v>
      </c>
      <c r="B18" s="8" t="s">
        <v>317</v>
      </c>
      <c r="C18" s="8" t="s">
        <v>1232</v>
      </c>
      <c r="D18" s="8" t="s">
        <v>1233</v>
      </c>
      <c r="E18" s="8" t="s">
        <v>1234</v>
      </c>
      <c r="F18" s="8" t="s">
        <v>1235</v>
      </c>
      <c r="G18" s="8" t="s">
        <v>1236</v>
      </c>
      <c r="H18" s="8" t="s">
        <v>1132</v>
      </c>
      <c r="I18" s="8" t="s">
        <v>1133</v>
      </c>
      <c r="J18" s="8" t="s">
        <v>1237</v>
      </c>
      <c r="K18" s="8" t="s">
        <v>1238</v>
      </c>
      <c r="L18" s="8" t="s">
        <v>1239</v>
      </c>
      <c r="M18" s="8" t="s">
        <v>64</v>
      </c>
      <c r="N18" s="8" t="s">
        <v>1240</v>
      </c>
      <c r="O18" s="8" t="s">
        <v>1241</v>
      </c>
      <c r="P18" s="8" t="s">
        <v>1140</v>
      </c>
      <c r="Q18" s="8" t="s">
        <v>1140</v>
      </c>
      <c r="R18" s="8" t="s">
        <v>1242</v>
      </c>
      <c r="S18" s="8" t="s">
        <v>1242</v>
      </c>
      <c r="T18" s="8" t="s">
        <v>1243</v>
      </c>
      <c r="U18" s="8" t="s">
        <v>1244</v>
      </c>
      <c r="V18" s="8" t="s">
        <v>1231</v>
      </c>
    </row>
    <row r="19" spans="1:22" ht="126">
      <c r="A19" s="8" t="s">
        <v>324</v>
      </c>
      <c r="B19" s="8" t="s">
        <v>326</v>
      </c>
      <c r="C19" s="8" t="s">
        <v>1245</v>
      </c>
      <c r="D19" s="8" t="s">
        <v>1172</v>
      </c>
      <c r="E19" s="8" t="s">
        <v>1183</v>
      </c>
      <c r="F19" s="8" t="s">
        <v>1245</v>
      </c>
      <c r="G19" s="8" t="s">
        <v>1131</v>
      </c>
      <c r="H19" s="8" t="s">
        <v>1132</v>
      </c>
      <c r="I19" s="8" t="s">
        <v>1133</v>
      </c>
      <c r="J19" s="8" t="s">
        <v>1164</v>
      </c>
      <c r="K19" s="8" t="s">
        <v>1165</v>
      </c>
      <c r="L19" s="8" t="s">
        <v>1246</v>
      </c>
      <c r="M19" s="8" t="s">
        <v>1137</v>
      </c>
      <c r="N19" s="8" t="s">
        <v>1138</v>
      </c>
      <c r="O19" s="8" t="s">
        <v>1139</v>
      </c>
      <c r="P19" s="8" t="s">
        <v>1140</v>
      </c>
      <c r="Q19" s="8" t="s">
        <v>1140</v>
      </c>
      <c r="R19" s="8" t="s">
        <v>1247</v>
      </c>
      <c r="S19" s="8" t="s">
        <v>1151</v>
      </c>
      <c r="T19" s="8" t="s">
        <v>1142</v>
      </c>
      <c r="U19" s="8" t="s">
        <v>1248</v>
      </c>
      <c r="V19" s="8" t="s">
        <v>1249</v>
      </c>
    </row>
    <row r="20" spans="1:22" ht="110.25">
      <c r="A20" s="8" t="s">
        <v>332</v>
      </c>
      <c r="B20" s="8" t="s">
        <v>334</v>
      </c>
      <c r="C20" s="8" t="s">
        <v>1250</v>
      </c>
      <c r="D20" s="8" t="s">
        <v>1172</v>
      </c>
      <c r="E20" s="8" t="s">
        <v>1162</v>
      </c>
      <c r="F20" s="8" t="s">
        <v>1250</v>
      </c>
      <c r="G20" s="8" t="s">
        <v>1131</v>
      </c>
      <c r="H20" s="8" t="s">
        <v>1132</v>
      </c>
      <c r="I20" s="8" t="s">
        <v>1133</v>
      </c>
      <c r="J20" s="8" t="s">
        <v>1164</v>
      </c>
      <c r="K20" s="8" t="s">
        <v>1165</v>
      </c>
      <c r="L20" s="8" t="s">
        <v>1136</v>
      </c>
      <c r="M20" s="8" t="s">
        <v>1137</v>
      </c>
      <c r="N20" s="8" t="s">
        <v>1138</v>
      </c>
      <c r="O20" s="8" t="s">
        <v>1139</v>
      </c>
      <c r="P20" s="8" t="s">
        <v>1140</v>
      </c>
      <c r="Q20" s="8" t="s">
        <v>1140</v>
      </c>
      <c r="R20" s="8" t="s">
        <v>1251</v>
      </c>
      <c r="S20" s="8" t="s">
        <v>1151</v>
      </c>
      <c r="T20" s="8" t="s">
        <v>1252</v>
      </c>
      <c r="U20" s="8" t="s">
        <v>1253</v>
      </c>
      <c r="V20" s="8" t="s">
        <v>1254</v>
      </c>
    </row>
    <row r="21" spans="1:22" ht="141.75">
      <c r="A21" s="8" t="s">
        <v>340</v>
      </c>
      <c r="B21" s="8" t="s">
        <v>342</v>
      </c>
      <c r="C21" s="8" t="s">
        <v>1255</v>
      </c>
      <c r="D21" s="8" t="s">
        <v>1172</v>
      </c>
      <c r="E21" s="8" t="s">
        <v>1183</v>
      </c>
      <c r="F21" s="8" t="s">
        <v>1255</v>
      </c>
      <c r="G21" s="8" t="s">
        <v>1131</v>
      </c>
      <c r="H21" s="8" t="s">
        <v>1132</v>
      </c>
      <c r="I21" s="8" t="s">
        <v>1133</v>
      </c>
      <c r="J21" s="8" t="s">
        <v>1164</v>
      </c>
      <c r="K21" s="8" t="s">
        <v>1256</v>
      </c>
      <c r="L21" s="8" t="s">
        <v>1136</v>
      </c>
      <c r="M21" s="8" t="s">
        <v>1137</v>
      </c>
      <c r="N21" s="8" t="s">
        <v>1138</v>
      </c>
      <c r="O21" s="8" t="s">
        <v>1139</v>
      </c>
      <c r="P21" s="8" t="s">
        <v>1140</v>
      </c>
      <c r="Q21" s="8" t="s">
        <v>1140</v>
      </c>
      <c r="R21" s="8" t="s">
        <v>1257</v>
      </c>
      <c r="S21" s="8" t="s">
        <v>1258</v>
      </c>
      <c r="T21" s="8" t="s">
        <v>1142</v>
      </c>
      <c r="U21" s="8" t="s">
        <v>1259</v>
      </c>
      <c r="V21" s="8" t="s">
        <v>1260</v>
      </c>
    </row>
    <row r="22" spans="1:22" ht="126">
      <c r="A22" s="8" t="s">
        <v>348</v>
      </c>
      <c r="B22" s="8" t="s">
        <v>350</v>
      </c>
      <c r="C22" s="8" t="s">
        <v>1261</v>
      </c>
      <c r="D22" s="8" t="s">
        <v>1172</v>
      </c>
      <c r="E22" s="8" t="s">
        <v>1183</v>
      </c>
      <c r="F22" s="8" t="s">
        <v>1261</v>
      </c>
      <c r="G22" s="8" t="s">
        <v>1131</v>
      </c>
      <c r="H22" s="8" t="s">
        <v>1132</v>
      </c>
      <c r="I22" s="8" t="s">
        <v>1133</v>
      </c>
      <c r="J22" s="8" t="s">
        <v>1164</v>
      </c>
      <c r="K22" s="8" t="s">
        <v>1165</v>
      </c>
      <c r="L22" s="8" t="s">
        <v>1262</v>
      </c>
      <c r="M22" s="8" t="s">
        <v>1137</v>
      </c>
      <c r="N22" s="8" t="s">
        <v>1138</v>
      </c>
      <c r="O22" s="8" t="s">
        <v>1263</v>
      </c>
      <c r="P22" s="8" t="s">
        <v>1140</v>
      </c>
      <c r="Q22" s="8" t="s">
        <v>1140</v>
      </c>
      <c r="R22" s="8" t="s">
        <v>1264</v>
      </c>
      <c r="S22" s="8" t="s">
        <v>1151</v>
      </c>
      <c r="T22" s="8" t="s">
        <v>1142</v>
      </c>
      <c r="U22" s="8" t="s">
        <v>1265</v>
      </c>
      <c r="V22" s="8" t="s">
        <v>1266</v>
      </c>
    </row>
    <row r="23" spans="1:22" ht="126">
      <c r="A23" s="8" t="s">
        <v>356</v>
      </c>
      <c r="B23" s="8" t="s">
        <v>358</v>
      </c>
      <c r="C23" s="8" t="s">
        <v>1267</v>
      </c>
      <c r="D23" s="8" t="s">
        <v>1268</v>
      </c>
      <c r="E23" s="8" t="s">
        <v>1183</v>
      </c>
      <c r="F23" s="8" t="s">
        <v>1267</v>
      </c>
      <c r="G23" s="8" t="s">
        <v>1131</v>
      </c>
      <c r="H23" s="8" t="s">
        <v>1132</v>
      </c>
      <c r="I23" s="8" t="s">
        <v>1133</v>
      </c>
      <c r="J23" s="8" t="s">
        <v>1164</v>
      </c>
      <c r="K23" s="8" t="s">
        <v>1165</v>
      </c>
      <c r="L23" s="8" t="s">
        <v>1136</v>
      </c>
      <c r="M23" s="8" t="s">
        <v>1137</v>
      </c>
      <c r="N23" s="8" t="s">
        <v>1138</v>
      </c>
      <c r="O23" s="8" t="s">
        <v>1139</v>
      </c>
      <c r="P23" s="8" t="s">
        <v>1269</v>
      </c>
      <c r="Q23" s="8" t="s">
        <v>1140</v>
      </c>
      <c r="R23" s="8" t="s">
        <v>1270</v>
      </c>
      <c r="S23" s="8" t="s">
        <v>1270</v>
      </c>
      <c r="T23" s="8" t="s">
        <v>1142</v>
      </c>
      <c r="U23" s="8" t="s">
        <v>1271</v>
      </c>
      <c r="V23" s="8" t="s">
        <v>1272</v>
      </c>
    </row>
    <row r="24" spans="1:22" ht="126">
      <c r="A24" s="8" t="s">
        <v>364</v>
      </c>
      <c r="B24" s="8" t="s">
        <v>366</v>
      </c>
      <c r="C24" s="8" t="s">
        <v>1273</v>
      </c>
      <c r="D24" s="8" t="s">
        <v>1172</v>
      </c>
      <c r="E24" s="8" t="s">
        <v>1183</v>
      </c>
      <c r="F24" s="8" t="s">
        <v>1273</v>
      </c>
      <c r="G24" s="8" t="s">
        <v>1131</v>
      </c>
      <c r="H24" s="8" t="s">
        <v>1132</v>
      </c>
      <c r="I24" s="8" t="s">
        <v>1133</v>
      </c>
      <c r="J24" s="8" t="s">
        <v>1164</v>
      </c>
      <c r="K24" s="8" t="s">
        <v>1165</v>
      </c>
      <c r="L24" s="8" t="s">
        <v>1166</v>
      </c>
      <c r="M24" s="8" t="s">
        <v>1137</v>
      </c>
      <c r="N24" s="8" t="s">
        <v>1138</v>
      </c>
      <c r="O24" s="8" t="s">
        <v>1139</v>
      </c>
      <c r="P24" s="8" t="s">
        <v>1140</v>
      </c>
      <c r="Q24" s="8" t="s">
        <v>1140</v>
      </c>
      <c r="R24" s="8" t="s">
        <v>1274</v>
      </c>
      <c r="S24" s="8" t="s">
        <v>1274</v>
      </c>
      <c r="T24" s="8" t="s">
        <v>1142</v>
      </c>
      <c r="U24" s="8" t="s">
        <v>1275</v>
      </c>
      <c r="V24" s="8" t="s">
        <v>1276</v>
      </c>
    </row>
    <row r="25" spans="1:22" ht="126">
      <c r="A25" s="8" t="s">
        <v>372</v>
      </c>
      <c r="B25" s="8" t="s">
        <v>374</v>
      </c>
      <c r="C25" s="8" t="s">
        <v>1277</v>
      </c>
      <c r="D25" s="8" t="s">
        <v>1172</v>
      </c>
      <c r="E25" s="8" t="s">
        <v>1130</v>
      </c>
      <c r="F25" s="8" t="s">
        <v>1277</v>
      </c>
      <c r="G25" s="8" t="s">
        <v>1131</v>
      </c>
      <c r="H25" s="8" t="s">
        <v>1132</v>
      </c>
      <c r="I25" s="8" t="s">
        <v>1133</v>
      </c>
      <c r="J25" s="8" t="s">
        <v>1146</v>
      </c>
      <c r="K25" s="8" t="s">
        <v>1147</v>
      </c>
      <c r="L25" s="8" t="s">
        <v>1166</v>
      </c>
      <c r="M25" s="8" t="s">
        <v>1137</v>
      </c>
      <c r="N25" s="8" t="s">
        <v>1138</v>
      </c>
      <c r="O25" s="8" t="s">
        <v>1278</v>
      </c>
      <c r="P25" s="8" t="s">
        <v>1140</v>
      </c>
      <c r="Q25" s="8" t="s">
        <v>1140</v>
      </c>
      <c r="R25" s="8" t="s">
        <v>1279</v>
      </c>
      <c r="S25" s="8" t="s">
        <v>1151</v>
      </c>
      <c r="T25" s="8" t="s">
        <v>1142</v>
      </c>
      <c r="U25" s="8" t="s">
        <v>1280</v>
      </c>
      <c r="V25" s="8" t="s">
        <v>1281</v>
      </c>
    </row>
    <row r="26" spans="1:22" ht="126">
      <c r="A26" s="8" t="s">
        <v>380</v>
      </c>
      <c r="B26" s="8" t="s">
        <v>382</v>
      </c>
      <c r="C26" s="8" t="s">
        <v>1282</v>
      </c>
      <c r="D26" s="8" t="s">
        <v>1283</v>
      </c>
      <c r="E26" s="8" t="s">
        <v>1183</v>
      </c>
      <c r="F26" s="8" t="s">
        <v>1282</v>
      </c>
      <c r="G26" s="8" t="s">
        <v>1284</v>
      </c>
      <c r="H26" s="8" t="s">
        <v>1132</v>
      </c>
      <c r="I26" s="8" t="s">
        <v>1133</v>
      </c>
      <c r="J26" s="8" t="s">
        <v>1285</v>
      </c>
      <c r="K26" s="8" t="s">
        <v>1286</v>
      </c>
      <c r="L26" s="8" t="s">
        <v>1287</v>
      </c>
      <c r="M26" s="8" t="s">
        <v>1137</v>
      </c>
      <c r="N26" s="8" t="s">
        <v>1288</v>
      </c>
      <c r="O26" s="8" t="s">
        <v>1139</v>
      </c>
      <c r="P26" s="8" t="s">
        <v>1140</v>
      </c>
      <c r="Q26" s="8" t="s">
        <v>1140</v>
      </c>
      <c r="R26" s="8" t="s">
        <v>1289</v>
      </c>
      <c r="S26" s="8" t="s">
        <v>1151</v>
      </c>
      <c r="T26" s="8" t="s">
        <v>1142</v>
      </c>
      <c r="U26" s="8" t="s">
        <v>1290</v>
      </c>
      <c r="V26" s="8" t="s">
        <v>1291</v>
      </c>
    </row>
    <row r="27" spans="1:22" ht="126">
      <c r="A27" s="8" t="s">
        <v>389</v>
      </c>
      <c r="B27" s="8" t="s">
        <v>391</v>
      </c>
      <c r="C27" s="8" t="s">
        <v>1292</v>
      </c>
      <c r="D27" s="8" t="s">
        <v>1172</v>
      </c>
      <c r="E27" s="8" t="s">
        <v>1183</v>
      </c>
      <c r="F27" s="8" t="s">
        <v>1292</v>
      </c>
      <c r="G27" s="8" t="s">
        <v>1131</v>
      </c>
      <c r="H27" s="8" t="s">
        <v>1132</v>
      </c>
      <c r="I27" s="8" t="s">
        <v>1133</v>
      </c>
      <c r="J27" s="8" t="s">
        <v>1164</v>
      </c>
      <c r="K27" s="8" t="s">
        <v>1256</v>
      </c>
      <c r="L27" s="8" t="s">
        <v>1136</v>
      </c>
      <c r="M27" s="8" t="s">
        <v>1137</v>
      </c>
      <c r="N27" s="8" t="s">
        <v>1149</v>
      </c>
      <c r="O27" s="8" t="s">
        <v>1139</v>
      </c>
      <c r="P27" s="8" t="s">
        <v>1140</v>
      </c>
      <c r="Q27" s="8" t="s">
        <v>1140</v>
      </c>
      <c r="R27" s="8" t="s">
        <v>1293</v>
      </c>
      <c r="S27" s="8" t="s">
        <v>1293</v>
      </c>
      <c r="T27" s="8" t="s">
        <v>1142</v>
      </c>
      <c r="U27" s="8" t="s">
        <v>1294</v>
      </c>
      <c r="V27" s="8" t="s">
        <v>1295</v>
      </c>
    </row>
    <row r="28" spans="1:22" ht="141.75">
      <c r="A28" s="8" t="s">
        <v>397</v>
      </c>
      <c r="B28" s="8" t="s">
        <v>399</v>
      </c>
      <c r="C28" s="8" t="s">
        <v>1296</v>
      </c>
      <c r="D28" s="8" t="s">
        <v>1197</v>
      </c>
      <c r="E28" s="8" t="s">
        <v>1183</v>
      </c>
      <c r="F28" s="8" t="s">
        <v>1296</v>
      </c>
      <c r="G28" s="8" t="s">
        <v>1198</v>
      </c>
      <c r="H28" s="8" t="s">
        <v>1132</v>
      </c>
      <c r="I28" s="8" t="s">
        <v>1133</v>
      </c>
      <c r="J28" s="8" t="s">
        <v>1164</v>
      </c>
      <c r="K28" s="8" t="s">
        <v>1165</v>
      </c>
      <c r="L28" s="8" t="s">
        <v>1297</v>
      </c>
      <c r="M28" s="8" t="s">
        <v>1137</v>
      </c>
      <c r="N28" s="8" t="s">
        <v>1138</v>
      </c>
      <c r="O28" s="8" t="s">
        <v>1139</v>
      </c>
      <c r="P28" s="8" t="s">
        <v>1140</v>
      </c>
      <c r="Q28" s="8" t="s">
        <v>1140</v>
      </c>
      <c r="R28" s="8" t="s">
        <v>1257</v>
      </c>
      <c r="S28" s="8" t="s">
        <v>1151</v>
      </c>
      <c r="T28" s="8" t="s">
        <v>1142</v>
      </c>
      <c r="U28" s="8" t="s">
        <v>1298</v>
      </c>
      <c r="V28" s="8" t="s">
        <v>1299</v>
      </c>
    </row>
    <row r="29" spans="1:22" ht="110.25">
      <c r="A29" s="8" t="s">
        <v>405</v>
      </c>
      <c r="B29" s="8" t="s">
        <v>407</v>
      </c>
      <c r="C29" s="8" t="s">
        <v>1300</v>
      </c>
      <c r="D29" s="8" t="s">
        <v>1283</v>
      </c>
      <c r="E29" s="8" t="s">
        <v>1162</v>
      </c>
      <c r="F29" s="8" t="s">
        <v>1300</v>
      </c>
      <c r="G29" s="8" t="s">
        <v>1284</v>
      </c>
      <c r="H29" s="8" t="s">
        <v>1132</v>
      </c>
      <c r="I29" s="8" t="s">
        <v>1133</v>
      </c>
      <c r="J29" s="8" t="s">
        <v>1285</v>
      </c>
      <c r="K29" s="8" t="s">
        <v>1165</v>
      </c>
      <c r="L29" s="8" t="s">
        <v>1136</v>
      </c>
      <c r="M29" s="8" t="s">
        <v>1137</v>
      </c>
      <c r="N29" s="8" t="s">
        <v>1288</v>
      </c>
      <c r="O29" s="8" t="s">
        <v>1139</v>
      </c>
      <c r="P29" s="8" t="s">
        <v>1140</v>
      </c>
      <c r="Q29" s="8" t="s">
        <v>1140</v>
      </c>
      <c r="R29" s="8" t="s">
        <v>1257</v>
      </c>
      <c r="S29" s="8" t="s">
        <v>1301</v>
      </c>
      <c r="T29" s="8" t="s">
        <v>1142</v>
      </c>
      <c r="U29" s="8" t="s">
        <v>1302</v>
      </c>
      <c r="V29" s="8" t="s">
        <v>1303</v>
      </c>
    </row>
    <row r="30" spans="1:22" ht="141.75">
      <c r="A30" s="8" t="s">
        <v>414</v>
      </c>
      <c r="B30" s="8" t="s">
        <v>416</v>
      </c>
      <c r="C30" s="8" t="s">
        <v>1304</v>
      </c>
      <c r="D30" s="8" t="s">
        <v>1283</v>
      </c>
      <c r="E30" s="8" t="s">
        <v>1183</v>
      </c>
      <c r="F30" s="8" t="s">
        <v>1304</v>
      </c>
      <c r="G30" s="8" t="s">
        <v>1284</v>
      </c>
      <c r="H30" s="8" t="s">
        <v>1132</v>
      </c>
      <c r="I30" s="8" t="s">
        <v>1133</v>
      </c>
      <c r="J30" s="8" t="s">
        <v>1285</v>
      </c>
      <c r="K30" s="8" t="s">
        <v>1165</v>
      </c>
      <c r="L30" s="8" t="s">
        <v>1136</v>
      </c>
      <c r="M30" s="8" t="s">
        <v>1137</v>
      </c>
      <c r="N30" s="8" t="s">
        <v>1288</v>
      </c>
      <c r="O30" s="8" t="s">
        <v>1263</v>
      </c>
      <c r="P30" s="8" t="s">
        <v>1140</v>
      </c>
      <c r="Q30" s="8" t="s">
        <v>1140</v>
      </c>
      <c r="R30" s="8" t="s">
        <v>1305</v>
      </c>
      <c r="S30" s="8" t="s">
        <v>1151</v>
      </c>
      <c r="T30" s="8" t="s">
        <v>1142</v>
      </c>
      <c r="U30" s="8" t="s">
        <v>1306</v>
      </c>
      <c r="V30" s="8" t="s">
        <v>1307</v>
      </c>
    </row>
    <row r="31" spans="1:22" ht="126">
      <c r="A31" s="8" t="s">
        <v>423</v>
      </c>
      <c r="B31" s="8" t="s">
        <v>425</v>
      </c>
      <c r="C31" s="8" t="s">
        <v>1308</v>
      </c>
      <c r="D31" s="8" t="s">
        <v>1283</v>
      </c>
      <c r="E31" s="8" t="s">
        <v>1183</v>
      </c>
      <c r="F31" s="8" t="s">
        <v>1308</v>
      </c>
      <c r="G31" s="8" t="s">
        <v>1284</v>
      </c>
      <c r="H31" s="8" t="s">
        <v>1132</v>
      </c>
      <c r="I31" s="8" t="s">
        <v>1133</v>
      </c>
      <c r="J31" s="8" t="s">
        <v>1309</v>
      </c>
      <c r="K31" s="8" t="s">
        <v>1310</v>
      </c>
      <c r="L31" s="8" t="s">
        <v>1136</v>
      </c>
      <c r="M31" s="8" t="s">
        <v>1137</v>
      </c>
      <c r="N31" s="8" t="s">
        <v>1288</v>
      </c>
      <c r="O31" s="8" t="s">
        <v>1139</v>
      </c>
      <c r="P31" s="8" t="s">
        <v>1140</v>
      </c>
      <c r="Q31" s="8" t="s">
        <v>1140</v>
      </c>
      <c r="R31" s="8" t="s">
        <v>1311</v>
      </c>
      <c r="S31" s="8" t="s">
        <v>1151</v>
      </c>
      <c r="T31" s="8" t="s">
        <v>1142</v>
      </c>
      <c r="U31" s="8" t="s">
        <v>1312</v>
      </c>
      <c r="V31" s="8" t="s">
        <v>1313</v>
      </c>
    </row>
    <row r="32" spans="1:22" ht="110.25">
      <c r="A32" s="8" t="s">
        <v>432</v>
      </c>
      <c r="B32" s="8" t="s">
        <v>434</v>
      </c>
      <c r="C32" s="8" t="s">
        <v>1314</v>
      </c>
      <c r="D32" s="8" t="s">
        <v>1315</v>
      </c>
      <c r="E32" s="8" t="s">
        <v>1316</v>
      </c>
      <c r="F32" s="8" t="s">
        <v>1314</v>
      </c>
      <c r="G32" s="8" t="s">
        <v>1317</v>
      </c>
      <c r="H32" s="8" t="s">
        <v>1132</v>
      </c>
      <c r="I32" s="8" t="s">
        <v>1133</v>
      </c>
      <c r="J32" s="8" t="s">
        <v>1164</v>
      </c>
      <c r="K32" s="8" t="s">
        <v>1165</v>
      </c>
      <c r="L32" s="8" t="s">
        <v>1136</v>
      </c>
      <c r="M32" s="8" t="s">
        <v>1137</v>
      </c>
      <c r="N32" s="8" t="s">
        <v>1318</v>
      </c>
      <c r="O32" s="8" t="s">
        <v>1139</v>
      </c>
      <c r="P32" s="8" t="s">
        <v>1140</v>
      </c>
      <c r="Q32" s="8" t="s">
        <v>1140</v>
      </c>
      <c r="R32" s="8" t="s">
        <v>1257</v>
      </c>
      <c r="S32" s="8" t="s">
        <v>1319</v>
      </c>
      <c r="T32" s="8" t="s">
        <v>1142</v>
      </c>
      <c r="U32" s="8" t="s">
        <v>1320</v>
      </c>
      <c r="V32" s="8" t="s">
        <v>1321</v>
      </c>
    </row>
    <row r="33" spans="1:22" ht="110.25">
      <c r="A33" s="8" t="s">
        <v>442</v>
      </c>
      <c r="B33" s="8" t="s">
        <v>444</v>
      </c>
      <c r="C33" s="8" t="s">
        <v>1322</v>
      </c>
      <c r="D33" s="8" t="s">
        <v>1283</v>
      </c>
      <c r="E33" s="8" t="s">
        <v>1162</v>
      </c>
      <c r="F33" s="8" t="s">
        <v>1322</v>
      </c>
      <c r="G33" s="8" t="s">
        <v>1284</v>
      </c>
      <c r="H33" s="8" t="s">
        <v>1132</v>
      </c>
      <c r="I33" s="8" t="s">
        <v>1133</v>
      </c>
      <c r="J33" s="8" t="s">
        <v>1309</v>
      </c>
      <c r="K33" s="8" t="s">
        <v>1256</v>
      </c>
      <c r="L33" s="8" t="s">
        <v>1136</v>
      </c>
      <c r="M33" s="8" t="s">
        <v>1137</v>
      </c>
      <c r="N33" s="8" t="s">
        <v>1288</v>
      </c>
      <c r="O33" s="8" t="s">
        <v>1139</v>
      </c>
      <c r="P33" s="8" t="s">
        <v>1140</v>
      </c>
      <c r="Q33" s="8" t="s">
        <v>1140</v>
      </c>
      <c r="R33" s="8" t="s">
        <v>1323</v>
      </c>
      <c r="S33" s="8" t="s">
        <v>1323</v>
      </c>
      <c r="T33" s="8" t="s">
        <v>1142</v>
      </c>
      <c r="U33" s="8" t="s">
        <v>1324</v>
      </c>
      <c r="V33" s="8" t="s">
        <v>1325</v>
      </c>
    </row>
    <row r="34" spans="1:22" ht="63">
      <c r="A34" s="8" t="s">
        <v>451</v>
      </c>
      <c r="B34" s="8" t="s">
        <v>453</v>
      </c>
      <c r="C34" s="8" t="s">
        <v>1326</v>
      </c>
      <c r="D34" s="8" t="s">
        <v>1283</v>
      </c>
      <c r="E34" s="8" t="s">
        <v>1162</v>
      </c>
      <c r="F34" s="8" t="s">
        <v>1327</v>
      </c>
      <c r="G34" s="8" t="s">
        <v>1284</v>
      </c>
      <c r="H34" s="8" t="s">
        <v>1132</v>
      </c>
      <c r="I34" s="8" t="s">
        <v>1133</v>
      </c>
      <c r="J34" s="8" t="s">
        <v>1285</v>
      </c>
      <c r="K34" s="8" t="s">
        <v>1165</v>
      </c>
      <c r="L34" s="8" t="s">
        <v>1136</v>
      </c>
      <c r="M34" s="8" t="s">
        <v>1137</v>
      </c>
      <c r="N34" s="8" t="s">
        <v>1288</v>
      </c>
      <c r="O34" s="8" t="s">
        <v>1139</v>
      </c>
      <c r="P34" s="8" t="s">
        <v>1140</v>
      </c>
      <c r="Q34" s="8" t="s">
        <v>1140</v>
      </c>
      <c r="R34" s="8" t="s">
        <v>1242</v>
      </c>
      <c r="S34" s="8" t="s">
        <v>1242</v>
      </c>
      <c r="T34" s="8" t="s">
        <v>1142</v>
      </c>
      <c r="U34" s="8" t="s">
        <v>1328</v>
      </c>
      <c r="V34" s="8" t="s">
        <v>1329</v>
      </c>
    </row>
    <row r="35" spans="1:22" ht="110.25">
      <c r="A35" s="8" t="s">
        <v>462</v>
      </c>
      <c r="B35" s="8" t="s">
        <v>464</v>
      </c>
      <c r="C35" s="8" t="s">
        <v>1330</v>
      </c>
      <c r="D35" s="8" t="s">
        <v>1331</v>
      </c>
      <c r="E35" s="8" t="s">
        <v>1183</v>
      </c>
      <c r="F35" s="8" t="s">
        <v>1330</v>
      </c>
      <c r="G35" s="8" t="s">
        <v>1332</v>
      </c>
      <c r="H35" s="8" t="s">
        <v>1132</v>
      </c>
      <c r="I35" s="8" t="s">
        <v>1133</v>
      </c>
      <c r="J35" s="8" t="s">
        <v>1309</v>
      </c>
      <c r="K35" s="8" t="s">
        <v>1256</v>
      </c>
      <c r="L35" s="8" t="s">
        <v>1166</v>
      </c>
      <c r="M35" s="8" t="s">
        <v>1137</v>
      </c>
      <c r="N35" s="8" t="s">
        <v>1333</v>
      </c>
      <c r="O35" s="8" t="s">
        <v>1139</v>
      </c>
      <c r="P35" s="8" t="s">
        <v>1140</v>
      </c>
      <c r="Q35" s="8" t="s">
        <v>1140</v>
      </c>
      <c r="R35" s="8" t="s">
        <v>1334</v>
      </c>
      <c r="S35" s="8" t="s">
        <v>1334</v>
      </c>
      <c r="T35" s="8" t="s">
        <v>1335</v>
      </c>
      <c r="U35" s="8" t="s">
        <v>1336</v>
      </c>
      <c r="V35" s="8" t="s">
        <v>1337</v>
      </c>
    </row>
    <row r="36" spans="1:22" ht="110.25">
      <c r="A36" s="8" t="s">
        <v>470</v>
      </c>
      <c r="B36" s="8" t="s">
        <v>472</v>
      </c>
      <c r="C36" s="8" t="s">
        <v>1338</v>
      </c>
      <c r="D36" s="8" t="s">
        <v>1339</v>
      </c>
      <c r="E36" s="8" t="s">
        <v>1183</v>
      </c>
      <c r="F36" s="8" t="s">
        <v>1340</v>
      </c>
      <c r="G36" s="8" t="s">
        <v>1131</v>
      </c>
      <c r="H36" s="8" t="s">
        <v>1132</v>
      </c>
      <c r="I36" s="8" t="s">
        <v>1133</v>
      </c>
      <c r="J36" s="8" t="s">
        <v>1285</v>
      </c>
      <c r="K36" s="8" t="s">
        <v>1165</v>
      </c>
      <c r="L36" s="8" t="s">
        <v>1136</v>
      </c>
      <c r="M36" s="8" t="s">
        <v>1137</v>
      </c>
      <c r="N36" s="8" t="s">
        <v>1288</v>
      </c>
      <c r="O36" s="8" t="s">
        <v>1139</v>
      </c>
      <c r="P36" s="8" t="s">
        <v>1140</v>
      </c>
      <c r="Q36" s="8" t="s">
        <v>1140</v>
      </c>
      <c r="R36" s="8" t="s">
        <v>1242</v>
      </c>
      <c r="S36" s="8" t="s">
        <v>1242</v>
      </c>
      <c r="T36" s="8" t="s">
        <v>1341</v>
      </c>
      <c r="U36" s="8" t="s">
        <v>1342</v>
      </c>
      <c r="V36" s="8" t="s">
        <v>1343</v>
      </c>
    </row>
    <row r="37" spans="1:22" ht="126">
      <c r="A37" s="8" t="s">
        <v>480</v>
      </c>
      <c r="B37" s="8" t="s">
        <v>482</v>
      </c>
      <c r="C37" s="8" t="s">
        <v>1344</v>
      </c>
      <c r="D37" s="8" t="s">
        <v>1283</v>
      </c>
      <c r="E37" s="8" t="s">
        <v>1345</v>
      </c>
      <c r="F37" s="8" t="s">
        <v>1344</v>
      </c>
      <c r="G37" s="8" t="s">
        <v>1284</v>
      </c>
      <c r="H37" s="8" t="s">
        <v>1132</v>
      </c>
      <c r="I37" s="8" t="s">
        <v>1133</v>
      </c>
      <c r="J37" s="8" t="s">
        <v>1346</v>
      </c>
      <c r="K37" s="8" t="s">
        <v>1347</v>
      </c>
      <c r="L37" s="8" t="s">
        <v>1136</v>
      </c>
      <c r="M37" s="8" t="s">
        <v>1137</v>
      </c>
      <c r="N37" s="8" t="s">
        <v>1288</v>
      </c>
      <c r="O37" s="8" t="s">
        <v>1348</v>
      </c>
      <c r="P37" s="8" t="s">
        <v>1349</v>
      </c>
      <c r="Q37" s="8" t="s">
        <v>1140</v>
      </c>
      <c r="R37" s="8" t="s">
        <v>1350</v>
      </c>
      <c r="S37" s="8" t="s">
        <v>1350</v>
      </c>
      <c r="T37" s="8" t="s">
        <v>1142</v>
      </c>
      <c r="U37" s="8" t="s">
        <v>1351</v>
      </c>
      <c r="V37" s="8" t="s">
        <v>1352</v>
      </c>
    </row>
    <row r="38" spans="1:22" ht="110.25">
      <c r="A38" s="8" t="s">
        <v>489</v>
      </c>
      <c r="B38" s="8" t="s">
        <v>491</v>
      </c>
      <c r="C38" s="8" t="s">
        <v>1353</v>
      </c>
      <c r="D38" s="8" t="s">
        <v>1283</v>
      </c>
      <c r="E38" s="8" t="s">
        <v>1345</v>
      </c>
      <c r="F38" s="8" t="s">
        <v>1353</v>
      </c>
      <c r="G38" s="8" t="s">
        <v>1284</v>
      </c>
      <c r="H38" s="8" t="s">
        <v>1132</v>
      </c>
      <c r="I38" s="8" t="s">
        <v>1133</v>
      </c>
      <c r="J38" s="8" t="s">
        <v>1354</v>
      </c>
      <c r="K38" s="8" t="s">
        <v>1147</v>
      </c>
      <c r="L38" s="8" t="s">
        <v>1136</v>
      </c>
      <c r="M38" s="8" t="s">
        <v>1137</v>
      </c>
      <c r="N38" s="8" t="s">
        <v>1288</v>
      </c>
      <c r="O38" s="8" t="s">
        <v>1355</v>
      </c>
      <c r="P38" s="8" t="s">
        <v>1140</v>
      </c>
      <c r="Q38" s="8" t="s">
        <v>1140</v>
      </c>
      <c r="R38" s="8" t="s">
        <v>1356</v>
      </c>
      <c r="S38" s="8" t="s">
        <v>1151</v>
      </c>
      <c r="T38" s="8" t="s">
        <v>1357</v>
      </c>
      <c r="U38" s="8" t="s">
        <v>1358</v>
      </c>
      <c r="V38" s="8" t="s">
        <v>1359</v>
      </c>
    </row>
    <row r="39" spans="1:22" ht="126">
      <c r="A39" s="8" t="s">
        <v>497</v>
      </c>
      <c r="B39" s="8" t="s">
        <v>499</v>
      </c>
      <c r="C39" s="8" t="s">
        <v>1360</v>
      </c>
      <c r="D39" s="8" t="s">
        <v>1283</v>
      </c>
      <c r="E39" s="8" t="s">
        <v>1130</v>
      </c>
      <c r="F39" s="8" t="s">
        <v>1360</v>
      </c>
      <c r="G39" s="8" t="s">
        <v>1284</v>
      </c>
      <c r="H39" s="8" t="s">
        <v>1132</v>
      </c>
      <c r="I39" s="8" t="s">
        <v>1133</v>
      </c>
      <c r="J39" s="8" t="s">
        <v>1354</v>
      </c>
      <c r="K39" s="8" t="s">
        <v>1147</v>
      </c>
      <c r="L39" s="8" t="s">
        <v>1136</v>
      </c>
      <c r="M39" s="8" t="s">
        <v>1137</v>
      </c>
      <c r="N39" s="8" t="s">
        <v>1288</v>
      </c>
      <c r="O39" s="8" t="s">
        <v>1139</v>
      </c>
      <c r="P39" s="8" t="s">
        <v>1140</v>
      </c>
      <c r="Q39" s="8" t="s">
        <v>1140</v>
      </c>
      <c r="R39" s="8" t="s">
        <v>1361</v>
      </c>
      <c r="S39" s="8" t="s">
        <v>1151</v>
      </c>
      <c r="T39" s="8" t="s">
        <v>1142</v>
      </c>
      <c r="U39" s="8" t="s">
        <v>1362</v>
      </c>
      <c r="V39" s="8" t="s">
        <v>1363</v>
      </c>
    </row>
    <row r="40" spans="1:22" ht="126">
      <c r="A40" s="8" t="s">
        <v>505</v>
      </c>
      <c r="B40" s="8" t="s">
        <v>507</v>
      </c>
      <c r="C40" s="8" t="s">
        <v>1364</v>
      </c>
      <c r="D40" s="8" t="s">
        <v>1197</v>
      </c>
      <c r="E40" s="8" t="s">
        <v>1130</v>
      </c>
      <c r="F40" s="8" t="s">
        <v>1364</v>
      </c>
      <c r="G40" s="8" t="s">
        <v>1198</v>
      </c>
      <c r="H40" s="8" t="s">
        <v>1132</v>
      </c>
      <c r="I40" s="8" t="s">
        <v>1133</v>
      </c>
      <c r="J40" s="8" t="s">
        <v>1354</v>
      </c>
      <c r="K40" s="8" t="s">
        <v>1365</v>
      </c>
      <c r="L40" s="8" t="s">
        <v>1136</v>
      </c>
      <c r="M40" s="8" t="s">
        <v>1137</v>
      </c>
      <c r="N40" s="8" t="s">
        <v>1288</v>
      </c>
      <c r="O40" s="8" t="s">
        <v>1348</v>
      </c>
      <c r="P40" s="8" t="s">
        <v>1140</v>
      </c>
      <c r="Q40" s="8" t="s">
        <v>1140</v>
      </c>
      <c r="R40" s="8" t="s">
        <v>1366</v>
      </c>
      <c r="S40" s="8" t="s">
        <v>1366</v>
      </c>
      <c r="T40" s="8" t="s">
        <v>1142</v>
      </c>
      <c r="U40" s="8" t="s">
        <v>1367</v>
      </c>
      <c r="V40" s="8" t="s">
        <v>1368</v>
      </c>
    </row>
    <row r="41" spans="1:22" ht="110.25">
      <c r="A41" s="8" t="s">
        <v>514</v>
      </c>
      <c r="B41" s="8" t="s">
        <v>516</v>
      </c>
      <c r="C41" s="8" t="s">
        <v>1369</v>
      </c>
      <c r="D41" s="8" t="s">
        <v>1283</v>
      </c>
      <c r="E41" s="8" t="s">
        <v>1183</v>
      </c>
      <c r="F41" s="8" t="s">
        <v>1369</v>
      </c>
      <c r="G41" s="8" t="s">
        <v>1284</v>
      </c>
      <c r="H41" s="8" t="s">
        <v>1132</v>
      </c>
      <c r="I41" s="8" t="s">
        <v>1133</v>
      </c>
      <c r="J41" s="8" t="s">
        <v>1285</v>
      </c>
      <c r="K41" s="8" t="s">
        <v>1165</v>
      </c>
      <c r="L41" s="8" t="s">
        <v>1136</v>
      </c>
      <c r="M41" s="8" t="s">
        <v>1137</v>
      </c>
      <c r="N41" s="8" t="s">
        <v>1288</v>
      </c>
      <c r="O41" s="8" t="s">
        <v>1370</v>
      </c>
      <c r="P41" s="8" t="s">
        <v>1140</v>
      </c>
      <c r="Q41" s="8" t="s">
        <v>1140</v>
      </c>
      <c r="R41" s="8" t="s">
        <v>1371</v>
      </c>
      <c r="S41" s="8" t="s">
        <v>1371</v>
      </c>
      <c r="T41" s="8" t="s">
        <v>1142</v>
      </c>
      <c r="U41" s="8" t="s">
        <v>1372</v>
      </c>
      <c r="V41" s="8" t="s">
        <v>1373</v>
      </c>
    </row>
    <row r="42" spans="1:22" ht="141.75">
      <c r="A42" s="8" t="s">
        <v>523</v>
      </c>
      <c r="B42" s="8" t="s">
        <v>525</v>
      </c>
      <c r="C42" s="8" t="s">
        <v>1374</v>
      </c>
      <c r="D42" s="8" t="s">
        <v>1283</v>
      </c>
      <c r="E42" s="8" t="s">
        <v>1130</v>
      </c>
      <c r="F42" s="8" t="s">
        <v>1374</v>
      </c>
      <c r="G42" s="8" t="s">
        <v>1284</v>
      </c>
      <c r="H42" s="8" t="s">
        <v>1375</v>
      </c>
      <c r="I42" s="8" t="s">
        <v>1133</v>
      </c>
      <c r="J42" s="8" t="s">
        <v>1346</v>
      </c>
      <c r="K42" s="8" t="s">
        <v>1376</v>
      </c>
      <c r="L42" s="8" t="s">
        <v>1136</v>
      </c>
      <c r="M42" s="8" t="s">
        <v>1137</v>
      </c>
      <c r="N42" s="8" t="s">
        <v>1288</v>
      </c>
      <c r="O42" s="8" t="s">
        <v>1263</v>
      </c>
      <c r="P42" s="8" t="s">
        <v>1377</v>
      </c>
      <c r="Q42" s="8" t="s">
        <v>1140</v>
      </c>
      <c r="R42" s="8" t="s">
        <v>1378</v>
      </c>
      <c r="S42" s="8" t="s">
        <v>1151</v>
      </c>
      <c r="T42" s="8" t="s">
        <v>1142</v>
      </c>
      <c r="U42" s="8" t="s">
        <v>1379</v>
      </c>
      <c r="V42" s="8" t="s">
        <v>1380</v>
      </c>
    </row>
    <row r="43" spans="1:22" ht="47.25">
      <c r="A43" s="8" t="s">
        <v>532</v>
      </c>
      <c r="B43" s="8" t="s">
        <v>534</v>
      </c>
      <c r="C43" s="8" t="s">
        <v>1381</v>
      </c>
      <c r="D43" s="8" t="s">
        <v>1381</v>
      </c>
      <c r="E43" s="8" t="s">
        <v>1381</v>
      </c>
      <c r="F43" s="8" t="s">
        <v>1381</v>
      </c>
      <c r="G43" s="8" t="s">
        <v>1381</v>
      </c>
      <c r="H43" s="8" t="s">
        <v>1381</v>
      </c>
      <c r="I43" s="8" t="s">
        <v>1381</v>
      </c>
      <c r="J43" s="8" t="s">
        <v>1381</v>
      </c>
      <c r="K43" s="8" t="s">
        <v>1381</v>
      </c>
      <c r="L43" s="8" t="s">
        <v>1381</v>
      </c>
      <c r="M43" s="8" t="s">
        <v>1381</v>
      </c>
      <c r="N43" s="8" t="s">
        <v>1381</v>
      </c>
      <c r="O43" s="8" t="s">
        <v>1381</v>
      </c>
      <c r="P43" s="8" t="s">
        <v>1381</v>
      </c>
      <c r="Q43" s="8" t="s">
        <v>1381</v>
      </c>
      <c r="R43" s="8" t="s">
        <v>1381</v>
      </c>
      <c r="S43" s="8" t="s">
        <v>1381</v>
      </c>
      <c r="T43" s="8" t="s">
        <v>1381</v>
      </c>
      <c r="U43" s="8" t="s">
        <v>1382</v>
      </c>
      <c r="V43" s="8" t="s">
        <v>1381</v>
      </c>
    </row>
    <row r="44" spans="1:22" ht="110.25">
      <c r="A44" s="8" t="s">
        <v>541</v>
      </c>
      <c r="B44" s="8" t="s">
        <v>543</v>
      </c>
      <c r="C44" s="8" t="s">
        <v>1383</v>
      </c>
      <c r="D44" s="8" t="s">
        <v>1283</v>
      </c>
      <c r="E44" s="8" t="s">
        <v>1130</v>
      </c>
      <c r="F44" s="8" t="s">
        <v>1383</v>
      </c>
      <c r="G44" s="8" t="s">
        <v>1284</v>
      </c>
      <c r="H44" s="8" t="s">
        <v>1132</v>
      </c>
      <c r="I44" s="8" t="s">
        <v>1133</v>
      </c>
      <c r="J44" s="8" t="s">
        <v>1384</v>
      </c>
      <c r="K44" s="8" t="s">
        <v>1147</v>
      </c>
      <c r="L44" s="8" t="s">
        <v>1136</v>
      </c>
      <c r="M44" s="8" t="s">
        <v>1137</v>
      </c>
      <c r="N44" s="8" t="s">
        <v>1288</v>
      </c>
      <c r="O44" s="8" t="s">
        <v>1192</v>
      </c>
      <c r="P44" s="8" t="s">
        <v>1140</v>
      </c>
      <c r="Q44" s="8" t="s">
        <v>1140</v>
      </c>
      <c r="R44" s="8" t="s">
        <v>1385</v>
      </c>
      <c r="S44" s="8" t="s">
        <v>1151</v>
      </c>
      <c r="T44" s="8" t="s">
        <v>1142</v>
      </c>
      <c r="U44" s="8" t="s">
        <v>1386</v>
      </c>
      <c r="V44" s="8" t="s">
        <v>1387</v>
      </c>
    </row>
    <row r="45" spans="1:22" ht="110.25">
      <c r="A45" s="8" t="s">
        <v>550</v>
      </c>
      <c r="B45" s="8" t="s">
        <v>552</v>
      </c>
      <c r="C45" s="8" t="s">
        <v>1388</v>
      </c>
      <c r="D45" s="8" t="s">
        <v>1315</v>
      </c>
      <c r="E45" s="8" t="s">
        <v>1316</v>
      </c>
      <c r="F45" s="8" t="s">
        <v>1388</v>
      </c>
      <c r="G45" s="8" t="s">
        <v>1317</v>
      </c>
      <c r="H45" s="8" t="s">
        <v>1132</v>
      </c>
      <c r="I45" s="8" t="s">
        <v>1133</v>
      </c>
      <c r="J45" s="8" t="s">
        <v>1164</v>
      </c>
      <c r="K45" s="8" t="s">
        <v>1165</v>
      </c>
      <c r="L45" s="8" t="s">
        <v>1136</v>
      </c>
      <c r="M45" s="8" t="s">
        <v>1137</v>
      </c>
      <c r="N45" s="8" t="s">
        <v>1318</v>
      </c>
      <c r="O45" s="8" t="s">
        <v>1139</v>
      </c>
      <c r="P45" s="8" t="s">
        <v>1140</v>
      </c>
      <c r="Q45" s="8" t="s">
        <v>1140</v>
      </c>
      <c r="R45" s="8" t="s">
        <v>1257</v>
      </c>
      <c r="S45" s="8" t="s">
        <v>1389</v>
      </c>
      <c r="T45" s="8" t="s">
        <v>1142</v>
      </c>
      <c r="U45" s="8" t="s">
        <v>1390</v>
      </c>
      <c r="V45" s="8" t="s">
        <v>1391</v>
      </c>
    </row>
    <row r="46" spans="1:22" ht="126">
      <c r="A46" s="8" t="s">
        <v>560</v>
      </c>
      <c r="B46" s="8" t="s">
        <v>562</v>
      </c>
      <c r="C46" s="8" t="s">
        <v>1392</v>
      </c>
      <c r="D46" s="8" t="s">
        <v>1315</v>
      </c>
      <c r="E46" s="8" t="s">
        <v>1316</v>
      </c>
      <c r="F46" s="8" t="s">
        <v>1392</v>
      </c>
      <c r="G46" s="8" t="s">
        <v>1317</v>
      </c>
      <c r="H46" s="8" t="s">
        <v>1132</v>
      </c>
      <c r="I46" s="8" t="s">
        <v>1133</v>
      </c>
      <c r="J46" s="8" t="s">
        <v>1164</v>
      </c>
      <c r="K46" s="8" t="s">
        <v>1165</v>
      </c>
      <c r="L46" s="8" t="s">
        <v>1136</v>
      </c>
      <c r="M46" s="8" t="s">
        <v>1137</v>
      </c>
      <c r="N46" s="8" t="s">
        <v>1318</v>
      </c>
      <c r="O46" s="8" t="s">
        <v>1139</v>
      </c>
      <c r="P46" s="8" t="s">
        <v>1140</v>
      </c>
      <c r="Q46" s="8" t="s">
        <v>1140</v>
      </c>
      <c r="R46" s="8" t="s">
        <v>1257</v>
      </c>
      <c r="S46" s="8" t="s">
        <v>1151</v>
      </c>
      <c r="T46" s="8" t="s">
        <v>1142</v>
      </c>
      <c r="U46" s="8" t="s">
        <v>1393</v>
      </c>
      <c r="V46" s="8" t="s">
        <v>1394</v>
      </c>
    </row>
    <row r="47" spans="1:22" ht="126">
      <c r="A47" s="8" t="s">
        <v>569</v>
      </c>
      <c r="B47" s="8" t="s">
        <v>571</v>
      </c>
      <c r="C47" s="8" t="s">
        <v>1395</v>
      </c>
      <c r="D47" s="8" t="s">
        <v>1331</v>
      </c>
      <c r="E47" s="8" t="s">
        <v>1396</v>
      </c>
      <c r="F47" s="8" t="s">
        <v>1395</v>
      </c>
      <c r="G47" s="8" t="s">
        <v>1332</v>
      </c>
      <c r="H47" s="8" t="s">
        <v>1132</v>
      </c>
      <c r="I47" s="8" t="s">
        <v>1133</v>
      </c>
      <c r="J47" s="8" t="s">
        <v>1397</v>
      </c>
      <c r="K47" s="8" t="s">
        <v>1256</v>
      </c>
      <c r="L47" s="8" t="s">
        <v>1136</v>
      </c>
      <c r="M47" s="8" t="s">
        <v>1398</v>
      </c>
      <c r="N47" s="8" t="s">
        <v>1138</v>
      </c>
      <c r="O47" s="8" t="s">
        <v>1399</v>
      </c>
      <c r="P47" s="8" t="s">
        <v>1140</v>
      </c>
      <c r="Q47" s="8" t="s">
        <v>1140</v>
      </c>
      <c r="R47" s="8" t="s">
        <v>1257</v>
      </c>
      <c r="S47" s="8" t="s">
        <v>1400</v>
      </c>
      <c r="T47" s="8" t="s">
        <v>1142</v>
      </c>
      <c r="U47" s="8" t="s">
        <v>1401</v>
      </c>
      <c r="V47" s="8" t="s">
        <v>1402</v>
      </c>
    </row>
    <row r="48" spans="1:22" ht="126">
      <c r="A48" s="8" t="s">
        <v>578</v>
      </c>
      <c r="B48" s="8" t="s">
        <v>580</v>
      </c>
      <c r="C48" s="8" t="s">
        <v>1403</v>
      </c>
      <c r="D48" s="8" t="s">
        <v>1315</v>
      </c>
      <c r="E48" s="8" t="s">
        <v>1316</v>
      </c>
      <c r="F48" s="8" t="s">
        <v>1403</v>
      </c>
      <c r="G48" s="8" t="s">
        <v>1317</v>
      </c>
      <c r="H48" s="8" t="s">
        <v>1132</v>
      </c>
      <c r="I48" s="8" t="s">
        <v>1133</v>
      </c>
      <c r="J48" s="8" t="s">
        <v>1173</v>
      </c>
      <c r="K48" s="8" t="s">
        <v>1165</v>
      </c>
      <c r="L48" s="8" t="s">
        <v>1136</v>
      </c>
      <c r="M48" s="8" t="s">
        <v>1137</v>
      </c>
      <c r="N48" s="8" t="s">
        <v>1318</v>
      </c>
      <c r="O48" s="8" t="s">
        <v>1139</v>
      </c>
      <c r="P48" s="8" t="s">
        <v>1140</v>
      </c>
      <c r="Q48" s="8" t="s">
        <v>1140</v>
      </c>
      <c r="R48" s="8" t="s">
        <v>1257</v>
      </c>
      <c r="S48" s="8" t="s">
        <v>1404</v>
      </c>
      <c r="T48" s="8" t="s">
        <v>1142</v>
      </c>
      <c r="U48" s="8" t="s">
        <v>1405</v>
      </c>
      <c r="V48" s="8" t="s">
        <v>1406</v>
      </c>
    </row>
    <row r="49" spans="1:22" ht="126">
      <c r="A49" s="8" t="s">
        <v>586</v>
      </c>
      <c r="B49" s="8" t="s">
        <v>588</v>
      </c>
      <c r="C49" s="8" t="s">
        <v>1407</v>
      </c>
      <c r="D49" s="8" t="s">
        <v>1315</v>
      </c>
      <c r="E49" s="8" t="s">
        <v>1396</v>
      </c>
      <c r="F49" s="8" t="s">
        <v>1407</v>
      </c>
      <c r="G49" s="8" t="s">
        <v>1317</v>
      </c>
      <c r="H49" s="8" t="s">
        <v>1132</v>
      </c>
      <c r="I49" s="8" t="s">
        <v>1133</v>
      </c>
      <c r="J49" s="8" t="s">
        <v>1164</v>
      </c>
      <c r="K49" s="8" t="s">
        <v>1165</v>
      </c>
      <c r="L49" s="8" t="s">
        <v>1136</v>
      </c>
      <c r="M49" s="8" t="s">
        <v>1137</v>
      </c>
      <c r="N49" s="8" t="s">
        <v>1318</v>
      </c>
      <c r="O49" s="8" t="s">
        <v>1399</v>
      </c>
      <c r="P49" s="8" t="s">
        <v>1140</v>
      </c>
      <c r="Q49" s="8" t="s">
        <v>1140</v>
      </c>
      <c r="R49" s="8" t="s">
        <v>1257</v>
      </c>
      <c r="S49" s="8" t="s">
        <v>1408</v>
      </c>
      <c r="T49" s="8" t="s">
        <v>1142</v>
      </c>
      <c r="U49" s="8" t="s">
        <v>1409</v>
      </c>
      <c r="V49" s="8" t="s">
        <v>1410</v>
      </c>
    </row>
    <row r="50" spans="1:22" ht="126">
      <c r="A50" s="8" t="s">
        <v>595</v>
      </c>
      <c r="B50" s="8" t="s">
        <v>597</v>
      </c>
      <c r="C50" s="8" t="s">
        <v>1411</v>
      </c>
      <c r="D50" s="8" t="s">
        <v>1315</v>
      </c>
      <c r="E50" s="8" t="s">
        <v>1316</v>
      </c>
      <c r="F50" s="8" t="s">
        <v>1411</v>
      </c>
      <c r="G50" s="8" t="s">
        <v>1317</v>
      </c>
      <c r="H50" s="8" t="s">
        <v>1132</v>
      </c>
      <c r="I50" s="8" t="s">
        <v>1133</v>
      </c>
      <c r="J50" s="8" t="s">
        <v>1164</v>
      </c>
      <c r="K50" s="8" t="s">
        <v>1165</v>
      </c>
      <c r="L50" s="8" t="s">
        <v>1136</v>
      </c>
      <c r="M50" s="8" t="s">
        <v>1137</v>
      </c>
      <c r="N50" s="8" t="s">
        <v>1318</v>
      </c>
      <c r="O50" s="8" t="s">
        <v>1139</v>
      </c>
      <c r="P50" s="8" t="s">
        <v>1140</v>
      </c>
      <c r="Q50" s="8" t="s">
        <v>1140</v>
      </c>
      <c r="R50" s="8" t="s">
        <v>1412</v>
      </c>
      <c r="S50" s="8" t="s">
        <v>1151</v>
      </c>
      <c r="T50" s="8" t="s">
        <v>1142</v>
      </c>
      <c r="U50" s="8" t="s">
        <v>1413</v>
      </c>
      <c r="V50" s="8" t="s">
        <v>1414</v>
      </c>
    </row>
    <row r="51" spans="1:22" ht="126">
      <c r="A51" s="8" t="s">
        <v>603</v>
      </c>
      <c r="B51" s="8" t="s">
        <v>605</v>
      </c>
      <c r="C51" s="8" t="s">
        <v>1415</v>
      </c>
      <c r="D51" s="8" t="s">
        <v>1315</v>
      </c>
      <c r="E51" s="8" t="s">
        <v>1316</v>
      </c>
      <c r="F51" s="8" t="s">
        <v>1415</v>
      </c>
      <c r="G51" s="8" t="s">
        <v>1317</v>
      </c>
      <c r="H51" s="8" t="s">
        <v>1132</v>
      </c>
      <c r="I51" s="8" t="s">
        <v>1133</v>
      </c>
      <c r="J51" s="8" t="s">
        <v>1164</v>
      </c>
      <c r="K51" s="8" t="s">
        <v>1256</v>
      </c>
      <c r="L51" s="8" t="s">
        <v>1136</v>
      </c>
      <c r="M51" s="8" t="s">
        <v>1137</v>
      </c>
      <c r="N51" s="8" t="s">
        <v>1318</v>
      </c>
      <c r="O51" s="8" t="s">
        <v>1399</v>
      </c>
      <c r="P51" s="8" t="s">
        <v>1140</v>
      </c>
      <c r="Q51" s="8" t="s">
        <v>1140</v>
      </c>
      <c r="R51" s="8" t="s">
        <v>1257</v>
      </c>
      <c r="S51" s="8" t="s">
        <v>1416</v>
      </c>
      <c r="T51" s="8" t="s">
        <v>1142</v>
      </c>
      <c r="U51" s="8" t="s">
        <v>1417</v>
      </c>
      <c r="V51" s="8" t="s">
        <v>1418</v>
      </c>
    </row>
    <row r="52" spans="1:22" ht="141.75">
      <c r="A52" s="8" t="s">
        <v>611</v>
      </c>
      <c r="B52" s="8" t="s">
        <v>613</v>
      </c>
      <c r="C52" s="8" t="s">
        <v>1419</v>
      </c>
      <c r="D52" s="8" t="s">
        <v>1315</v>
      </c>
      <c r="E52" s="8" t="s">
        <v>1316</v>
      </c>
      <c r="F52" s="8" t="s">
        <v>1419</v>
      </c>
      <c r="G52" s="8" t="s">
        <v>1317</v>
      </c>
      <c r="H52" s="8" t="s">
        <v>1132</v>
      </c>
      <c r="I52" s="8" t="s">
        <v>1133</v>
      </c>
      <c r="J52" s="8" t="s">
        <v>1164</v>
      </c>
      <c r="K52" s="8" t="s">
        <v>1165</v>
      </c>
      <c r="L52" s="8" t="s">
        <v>1136</v>
      </c>
      <c r="M52" s="8" t="s">
        <v>1137</v>
      </c>
      <c r="N52" s="8" t="s">
        <v>1138</v>
      </c>
      <c r="O52" s="8" t="s">
        <v>1139</v>
      </c>
      <c r="P52" s="8" t="s">
        <v>1140</v>
      </c>
      <c r="Q52" s="8" t="s">
        <v>1140</v>
      </c>
      <c r="R52" s="8" t="s">
        <v>1257</v>
      </c>
      <c r="S52" s="8" t="s">
        <v>1420</v>
      </c>
      <c r="T52" s="8" t="s">
        <v>1142</v>
      </c>
      <c r="U52" s="8" t="s">
        <v>1421</v>
      </c>
      <c r="V52" s="8" t="s">
        <v>1422</v>
      </c>
    </row>
    <row r="53" spans="1:22" ht="126">
      <c r="A53" s="8" t="s">
        <v>620</v>
      </c>
      <c r="B53" s="8" t="s">
        <v>622</v>
      </c>
      <c r="C53" s="8" t="s">
        <v>1423</v>
      </c>
      <c r="D53" s="8" t="s">
        <v>1315</v>
      </c>
      <c r="E53" s="8" t="s">
        <v>1316</v>
      </c>
      <c r="F53" s="8" t="s">
        <v>1423</v>
      </c>
      <c r="G53" s="8" t="s">
        <v>1317</v>
      </c>
      <c r="H53" s="8" t="s">
        <v>1132</v>
      </c>
      <c r="I53" s="8" t="s">
        <v>1133</v>
      </c>
      <c r="J53" s="8" t="s">
        <v>1164</v>
      </c>
      <c r="K53" s="8" t="s">
        <v>1256</v>
      </c>
      <c r="L53" s="8" t="s">
        <v>1136</v>
      </c>
      <c r="M53" s="8" t="s">
        <v>1398</v>
      </c>
      <c r="N53" s="8" t="s">
        <v>1318</v>
      </c>
      <c r="O53" s="8" t="s">
        <v>1399</v>
      </c>
      <c r="P53" s="8" t="s">
        <v>1140</v>
      </c>
      <c r="Q53" s="8" t="s">
        <v>1140</v>
      </c>
      <c r="R53" s="8" t="s">
        <v>1257</v>
      </c>
      <c r="S53" s="8" t="s">
        <v>1424</v>
      </c>
      <c r="T53" s="8" t="s">
        <v>1142</v>
      </c>
      <c r="U53" s="8" t="s">
        <v>1425</v>
      </c>
      <c r="V53" s="8" t="s">
        <v>1426</v>
      </c>
    </row>
    <row r="54" spans="1:22" ht="141.75">
      <c r="A54" s="8" t="s">
        <v>628</v>
      </c>
      <c r="B54" s="8" t="s">
        <v>630</v>
      </c>
      <c r="C54" s="8" t="s">
        <v>1427</v>
      </c>
      <c r="D54" s="8" t="s">
        <v>1315</v>
      </c>
      <c r="E54" s="8" t="s">
        <v>1316</v>
      </c>
      <c r="F54" s="8" t="s">
        <v>1427</v>
      </c>
      <c r="G54" s="8" t="s">
        <v>1317</v>
      </c>
      <c r="H54" s="8" t="s">
        <v>1132</v>
      </c>
      <c r="I54" s="8" t="s">
        <v>1133</v>
      </c>
      <c r="J54" s="8" t="s">
        <v>1164</v>
      </c>
      <c r="K54" s="8" t="s">
        <v>1165</v>
      </c>
      <c r="L54" s="8" t="s">
        <v>1136</v>
      </c>
      <c r="M54" s="8" t="s">
        <v>1398</v>
      </c>
      <c r="N54" s="8" t="s">
        <v>1318</v>
      </c>
      <c r="O54" s="8" t="s">
        <v>1399</v>
      </c>
      <c r="P54" s="8" t="s">
        <v>1140</v>
      </c>
      <c r="Q54" s="8" t="s">
        <v>1140</v>
      </c>
      <c r="R54" s="8" t="s">
        <v>1257</v>
      </c>
      <c r="S54" s="8" t="s">
        <v>1428</v>
      </c>
      <c r="T54" s="8" t="s">
        <v>1142</v>
      </c>
      <c r="U54" s="8" t="s">
        <v>1429</v>
      </c>
      <c r="V54" s="8" t="s">
        <v>1430</v>
      </c>
    </row>
    <row r="55" spans="1:22" ht="110.25">
      <c r="A55" s="8" t="s">
        <v>637</v>
      </c>
      <c r="B55" s="8" t="s">
        <v>639</v>
      </c>
      <c r="C55" s="8" t="s">
        <v>1431</v>
      </c>
      <c r="D55" s="8" t="s">
        <v>1315</v>
      </c>
      <c r="E55" s="8" t="s">
        <v>1316</v>
      </c>
      <c r="F55" s="8" t="s">
        <v>1431</v>
      </c>
      <c r="G55" s="8" t="s">
        <v>1317</v>
      </c>
      <c r="H55" s="8" t="s">
        <v>1132</v>
      </c>
      <c r="I55" s="8" t="s">
        <v>1133</v>
      </c>
      <c r="J55" s="8" t="s">
        <v>1164</v>
      </c>
      <c r="K55" s="8" t="s">
        <v>1165</v>
      </c>
      <c r="L55" s="8" t="s">
        <v>1136</v>
      </c>
      <c r="M55" s="8" t="s">
        <v>1137</v>
      </c>
      <c r="N55" s="8" t="s">
        <v>1318</v>
      </c>
      <c r="O55" s="8" t="s">
        <v>1139</v>
      </c>
      <c r="P55" s="8" t="s">
        <v>1140</v>
      </c>
      <c r="Q55" s="8" t="s">
        <v>1140</v>
      </c>
      <c r="R55" s="8" t="s">
        <v>1257</v>
      </c>
      <c r="S55" s="8" t="s">
        <v>1432</v>
      </c>
      <c r="T55" s="8" t="s">
        <v>1142</v>
      </c>
      <c r="U55" s="8" t="s">
        <v>1433</v>
      </c>
      <c r="V55" s="8" t="s">
        <v>1434</v>
      </c>
    </row>
    <row r="56" spans="1:22" ht="126">
      <c r="A56" s="8" t="s">
        <v>646</v>
      </c>
      <c r="B56" s="8" t="s">
        <v>648</v>
      </c>
      <c r="C56" s="8" t="s">
        <v>1435</v>
      </c>
      <c r="D56" s="8" t="s">
        <v>1315</v>
      </c>
      <c r="E56" s="8" t="s">
        <v>1316</v>
      </c>
      <c r="F56" s="8" t="s">
        <v>1435</v>
      </c>
      <c r="G56" s="8" t="s">
        <v>1317</v>
      </c>
      <c r="H56" s="8" t="s">
        <v>1132</v>
      </c>
      <c r="I56" s="8" t="s">
        <v>1133</v>
      </c>
      <c r="J56" s="8" t="s">
        <v>1146</v>
      </c>
      <c r="K56" s="8" t="s">
        <v>1436</v>
      </c>
      <c r="L56" s="8" t="s">
        <v>1136</v>
      </c>
      <c r="M56" s="8" t="s">
        <v>1437</v>
      </c>
      <c r="N56" s="8" t="s">
        <v>1318</v>
      </c>
      <c r="O56" s="8" t="s">
        <v>1399</v>
      </c>
      <c r="P56" s="8" t="s">
        <v>1140</v>
      </c>
      <c r="Q56" s="8" t="s">
        <v>1140</v>
      </c>
      <c r="R56" s="8" t="s">
        <v>1257</v>
      </c>
      <c r="S56" s="8" t="s">
        <v>1438</v>
      </c>
      <c r="T56" s="8" t="s">
        <v>1142</v>
      </c>
      <c r="U56" s="8" t="s">
        <v>1439</v>
      </c>
      <c r="V56" s="8" t="s">
        <v>1440</v>
      </c>
    </row>
    <row r="57" spans="1:22" ht="141.75">
      <c r="A57" s="8" t="s">
        <v>654</v>
      </c>
      <c r="B57" s="8" t="s">
        <v>656</v>
      </c>
      <c r="C57" s="8" t="s">
        <v>1441</v>
      </c>
      <c r="D57" s="8" t="s">
        <v>1315</v>
      </c>
      <c r="E57" s="8" t="s">
        <v>1316</v>
      </c>
      <c r="F57" s="8" t="s">
        <v>1441</v>
      </c>
      <c r="G57" s="8" t="s">
        <v>1317</v>
      </c>
      <c r="H57" s="8" t="s">
        <v>1132</v>
      </c>
      <c r="I57" s="8" t="s">
        <v>1133</v>
      </c>
      <c r="J57" s="8" t="s">
        <v>1146</v>
      </c>
      <c r="K57" s="8" t="s">
        <v>1442</v>
      </c>
      <c r="L57" s="8" t="s">
        <v>1136</v>
      </c>
      <c r="M57" s="8" t="s">
        <v>1137</v>
      </c>
      <c r="N57" s="8" t="s">
        <v>1318</v>
      </c>
      <c r="O57" s="8" t="s">
        <v>1399</v>
      </c>
      <c r="P57" s="8" t="s">
        <v>1140</v>
      </c>
      <c r="Q57" s="8" t="s">
        <v>1140</v>
      </c>
      <c r="R57" s="8" t="s">
        <v>1257</v>
      </c>
      <c r="S57" s="8" t="s">
        <v>1443</v>
      </c>
      <c r="T57" s="8" t="s">
        <v>1142</v>
      </c>
      <c r="U57" s="8" t="s">
        <v>1444</v>
      </c>
      <c r="V57" s="8" t="s">
        <v>1445</v>
      </c>
    </row>
    <row r="58" spans="1:22" ht="126">
      <c r="A58" s="8" t="s">
        <v>662</v>
      </c>
      <c r="B58" s="8" t="s">
        <v>664</v>
      </c>
      <c r="C58" s="8" t="s">
        <v>1446</v>
      </c>
      <c r="D58" s="8" t="s">
        <v>1129</v>
      </c>
      <c r="E58" s="8" t="s">
        <v>1162</v>
      </c>
      <c r="F58" s="8" t="s">
        <v>1446</v>
      </c>
      <c r="G58" s="8" t="s">
        <v>1131</v>
      </c>
      <c r="H58" s="8" t="s">
        <v>1132</v>
      </c>
      <c r="I58" s="8" t="s">
        <v>1133</v>
      </c>
      <c r="J58" s="8" t="s">
        <v>1164</v>
      </c>
      <c r="K58" s="8" t="s">
        <v>1256</v>
      </c>
      <c r="L58" s="8" t="s">
        <v>1136</v>
      </c>
      <c r="M58" s="8" t="s">
        <v>1137</v>
      </c>
      <c r="N58" s="8" t="s">
        <v>1138</v>
      </c>
      <c r="O58" s="8" t="s">
        <v>1139</v>
      </c>
      <c r="P58" s="8" t="s">
        <v>1140</v>
      </c>
      <c r="Q58" s="8" t="s">
        <v>1140</v>
      </c>
      <c r="R58" s="8" t="s">
        <v>1257</v>
      </c>
      <c r="S58" s="8" t="s">
        <v>1447</v>
      </c>
      <c r="T58" s="8" t="s">
        <v>1142</v>
      </c>
      <c r="U58" s="8" t="s">
        <v>1448</v>
      </c>
      <c r="V58" s="8" t="s">
        <v>1449</v>
      </c>
    </row>
    <row r="59" spans="1:22" ht="110.25">
      <c r="A59" s="8" t="s">
        <v>671</v>
      </c>
      <c r="B59" s="8" t="s">
        <v>673</v>
      </c>
      <c r="C59" s="8" t="s">
        <v>1450</v>
      </c>
      <c r="D59" s="8" t="s">
        <v>1315</v>
      </c>
      <c r="E59" s="8" t="s">
        <v>1316</v>
      </c>
      <c r="F59" s="8" t="s">
        <v>1450</v>
      </c>
      <c r="G59" s="8" t="s">
        <v>1317</v>
      </c>
      <c r="H59" s="8" t="s">
        <v>1132</v>
      </c>
      <c r="I59" s="8" t="s">
        <v>1133</v>
      </c>
      <c r="J59" s="8" t="s">
        <v>1164</v>
      </c>
      <c r="K59" s="8" t="s">
        <v>1256</v>
      </c>
      <c r="L59" s="8" t="s">
        <v>1136</v>
      </c>
      <c r="M59" s="8" t="s">
        <v>1137</v>
      </c>
      <c r="N59" s="8" t="s">
        <v>1318</v>
      </c>
      <c r="O59" s="8" t="s">
        <v>1278</v>
      </c>
      <c r="P59" s="8" t="s">
        <v>1140</v>
      </c>
      <c r="Q59" s="8" t="s">
        <v>1140</v>
      </c>
      <c r="R59" s="8" t="s">
        <v>1451</v>
      </c>
      <c r="S59" s="8" t="s">
        <v>1451</v>
      </c>
      <c r="T59" s="8" t="s">
        <v>1142</v>
      </c>
      <c r="U59" s="8" t="s">
        <v>1452</v>
      </c>
      <c r="V59" s="8" t="s">
        <v>1453</v>
      </c>
    </row>
    <row r="60" spans="1:22" ht="110.25">
      <c r="A60" s="8" t="s">
        <v>680</v>
      </c>
      <c r="B60" s="8" t="s">
        <v>682</v>
      </c>
      <c r="C60" s="8" t="s">
        <v>1454</v>
      </c>
      <c r="D60" s="8" t="s">
        <v>1315</v>
      </c>
      <c r="E60" s="8" t="s">
        <v>1316</v>
      </c>
      <c r="F60" s="8" t="s">
        <v>1454</v>
      </c>
      <c r="G60" s="8" t="s">
        <v>1317</v>
      </c>
      <c r="H60" s="8" t="s">
        <v>1132</v>
      </c>
      <c r="I60" s="8" t="s">
        <v>1133</v>
      </c>
      <c r="J60" s="8" t="s">
        <v>1164</v>
      </c>
      <c r="K60" s="8" t="s">
        <v>1165</v>
      </c>
      <c r="L60" s="8" t="s">
        <v>1136</v>
      </c>
      <c r="M60" s="8" t="s">
        <v>1398</v>
      </c>
      <c r="N60" s="8" t="s">
        <v>1318</v>
      </c>
      <c r="O60" s="8" t="s">
        <v>1139</v>
      </c>
      <c r="P60" s="8" t="s">
        <v>1140</v>
      </c>
      <c r="Q60" s="8" t="s">
        <v>1140</v>
      </c>
      <c r="R60" s="8" t="s">
        <v>1257</v>
      </c>
      <c r="S60" s="8" t="s">
        <v>1455</v>
      </c>
      <c r="T60" s="8" t="s">
        <v>1142</v>
      </c>
      <c r="U60" s="8" t="s">
        <v>1456</v>
      </c>
      <c r="V60" s="8" t="s">
        <v>1457</v>
      </c>
    </row>
    <row r="61" spans="1:22" ht="126">
      <c r="A61" s="8" t="s">
        <v>689</v>
      </c>
      <c r="B61" s="8" t="s">
        <v>691</v>
      </c>
      <c r="C61" s="8" t="s">
        <v>1458</v>
      </c>
      <c r="D61" s="8" t="s">
        <v>1315</v>
      </c>
      <c r="E61" s="8" t="s">
        <v>1316</v>
      </c>
      <c r="F61" s="8" t="s">
        <v>1458</v>
      </c>
      <c r="G61" s="8" t="s">
        <v>1317</v>
      </c>
      <c r="H61" s="8" t="s">
        <v>1132</v>
      </c>
      <c r="I61" s="8" t="s">
        <v>1133</v>
      </c>
      <c r="J61" s="8" t="s">
        <v>1164</v>
      </c>
      <c r="K61" s="8" t="s">
        <v>1165</v>
      </c>
      <c r="L61" s="8" t="s">
        <v>1136</v>
      </c>
      <c r="M61" s="8" t="s">
        <v>1137</v>
      </c>
      <c r="N61" s="8" t="s">
        <v>1318</v>
      </c>
      <c r="O61" s="8" t="s">
        <v>1139</v>
      </c>
      <c r="P61" s="8" t="s">
        <v>1140</v>
      </c>
      <c r="Q61" s="8" t="s">
        <v>1140</v>
      </c>
      <c r="R61" s="8" t="s">
        <v>1257</v>
      </c>
      <c r="S61" s="8" t="s">
        <v>1459</v>
      </c>
      <c r="T61" s="8" t="s">
        <v>1142</v>
      </c>
      <c r="U61" s="8" t="s">
        <v>1460</v>
      </c>
      <c r="V61" s="8" t="s">
        <v>1461</v>
      </c>
    </row>
    <row r="62" spans="1:22" ht="110.25">
      <c r="A62" s="8" t="s">
        <v>698</v>
      </c>
      <c r="B62" s="8" t="s">
        <v>700</v>
      </c>
      <c r="C62" s="8" t="s">
        <v>1462</v>
      </c>
      <c r="D62" s="8" t="s">
        <v>1315</v>
      </c>
      <c r="E62" s="8" t="s">
        <v>1316</v>
      </c>
      <c r="F62" s="8" t="s">
        <v>1462</v>
      </c>
      <c r="G62" s="8" t="s">
        <v>1317</v>
      </c>
      <c r="H62" s="8" t="s">
        <v>1132</v>
      </c>
      <c r="I62" s="8" t="s">
        <v>1133</v>
      </c>
      <c r="J62" s="8" t="s">
        <v>1164</v>
      </c>
      <c r="K62" s="8" t="s">
        <v>1165</v>
      </c>
      <c r="L62" s="8" t="s">
        <v>1136</v>
      </c>
      <c r="M62" s="8" t="s">
        <v>1137</v>
      </c>
      <c r="N62" s="8" t="s">
        <v>1318</v>
      </c>
      <c r="O62" s="8" t="s">
        <v>1139</v>
      </c>
      <c r="P62" s="8" t="s">
        <v>1140</v>
      </c>
      <c r="Q62" s="8" t="s">
        <v>1140</v>
      </c>
      <c r="R62" s="8" t="s">
        <v>1257</v>
      </c>
      <c r="S62" s="8" t="s">
        <v>1463</v>
      </c>
      <c r="T62" s="8" t="s">
        <v>1142</v>
      </c>
      <c r="U62" s="8" t="s">
        <v>1464</v>
      </c>
      <c r="V62" s="8" t="s">
        <v>1465</v>
      </c>
    </row>
    <row r="63" spans="1:22" ht="126">
      <c r="A63" s="8" t="s">
        <v>708</v>
      </c>
      <c r="B63" s="8" t="s">
        <v>710</v>
      </c>
      <c r="C63" s="8" t="s">
        <v>1466</v>
      </c>
      <c r="D63" s="8" t="s">
        <v>1315</v>
      </c>
      <c r="E63" s="8" t="s">
        <v>1316</v>
      </c>
      <c r="F63" s="8" t="s">
        <v>1466</v>
      </c>
      <c r="G63" s="8" t="s">
        <v>1317</v>
      </c>
      <c r="H63" s="8" t="s">
        <v>1132</v>
      </c>
      <c r="I63" s="8" t="s">
        <v>1133</v>
      </c>
      <c r="J63" s="8" t="s">
        <v>1164</v>
      </c>
      <c r="K63" s="8" t="s">
        <v>1256</v>
      </c>
      <c r="L63" s="8" t="s">
        <v>1136</v>
      </c>
      <c r="M63" s="8" t="s">
        <v>1398</v>
      </c>
      <c r="N63" s="8" t="s">
        <v>1318</v>
      </c>
      <c r="O63" s="8" t="s">
        <v>1139</v>
      </c>
      <c r="P63" s="8" t="s">
        <v>1140</v>
      </c>
      <c r="Q63" s="8" t="s">
        <v>1140</v>
      </c>
      <c r="R63" s="8" t="s">
        <v>1257</v>
      </c>
      <c r="S63" s="8" t="s">
        <v>1467</v>
      </c>
      <c r="T63" s="8" t="s">
        <v>1142</v>
      </c>
      <c r="U63" s="8" t="s">
        <v>1468</v>
      </c>
      <c r="V63" s="8" t="s">
        <v>1469</v>
      </c>
    </row>
    <row r="64" spans="1:22" ht="141.75">
      <c r="A64" s="8" t="s">
        <v>717</v>
      </c>
      <c r="B64" s="8" t="s">
        <v>719</v>
      </c>
      <c r="C64" s="8" t="s">
        <v>1470</v>
      </c>
      <c r="D64" s="8" t="s">
        <v>1315</v>
      </c>
      <c r="E64" s="8" t="s">
        <v>1316</v>
      </c>
      <c r="F64" s="8" t="s">
        <v>1470</v>
      </c>
      <c r="G64" s="8" t="s">
        <v>1317</v>
      </c>
      <c r="H64" s="8" t="s">
        <v>1132</v>
      </c>
      <c r="I64" s="8" t="s">
        <v>1133</v>
      </c>
      <c r="J64" s="8" t="s">
        <v>1164</v>
      </c>
      <c r="K64" s="8" t="s">
        <v>1256</v>
      </c>
      <c r="L64" s="8" t="s">
        <v>1136</v>
      </c>
      <c r="M64" s="8" t="s">
        <v>1471</v>
      </c>
      <c r="N64" s="8" t="s">
        <v>1209</v>
      </c>
      <c r="O64" s="8" t="s">
        <v>1139</v>
      </c>
      <c r="P64" s="8" t="s">
        <v>1140</v>
      </c>
      <c r="Q64" s="8" t="s">
        <v>1140</v>
      </c>
      <c r="R64" s="8" t="s">
        <v>1257</v>
      </c>
      <c r="S64" s="8" t="s">
        <v>1472</v>
      </c>
      <c r="T64" s="8" t="s">
        <v>1142</v>
      </c>
      <c r="U64" s="8" t="s">
        <v>1473</v>
      </c>
      <c r="V64" s="8" t="s">
        <v>1474</v>
      </c>
    </row>
    <row r="65" spans="1:22" ht="126">
      <c r="A65" s="8" t="s">
        <v>725</v>
      </c>
      <c r="B65" s="8" t="s">
        <v>727</v>
      </c>
      <c r="C65" s="8" t="s">
        <v>1475</v>
      </c>
      <c r="D65" s="8" t="s">
        <v>1315</v>
      </c>
      <c r="E65" s="8" t="s">
        <v>1316</v>
      </c>
      <c r="F65" s="8" t="s">
        <v>1475</v>
      </c>
      <c r="G65" s="8" t="s">
        <v>1317</v>
      </c>
      <c r="H65" s="8" t="s">
        <v>1132</v>
      </c>
      <c r="I65" s="8" t="s">
        <v>1133</v>
      </c>
      <c r="J65" s="8" t="s">
        <v>1164</v>
      </c>
      <c r="K65" s="8" t="s">
        <v>1256</v>
      </c>
      <c r="L65" s="8" t="s">
        <v>1136</v>
      </c>
      <c r="M65" s="8" t="s">
        <v>1137</v>
      </c>
      <c r="N65" s="8" t="s">
        <v>1318</v>
      </c>
      <c r="O65" s="8" t="s">
        <v>1476</v>
      </c>
      <c r="P65" s="8" t="s">
        <v>1140</v>
      </c>
      <c r="Q65" s="8" t="s">
        <v>1140</v>
      </c>
      <c r="R65" s="8" t="s">
        <v>1257</v>
      </c>
      <c r="S65" s="8" t="s">
        <v>1477</v>
      </c>
      <c r="T65" s="8" t="s">
        <v>1142</v>
      </c>
      <c r="U65" s="8" t="s">
        <v>1478</v>
      </c>
      <c r="V65" s="8" t="s">
        <v>1479</v>
      </c>
    </row>
    <row r="66" spans="1:22" ht="126">
      <c r="A66" s="8" t="s">
        <v>733</v>
      </c>
      <c r="B66" s="8" t="s">
        <v>735</v>
      </c>
      <c r="C66" s="8" t="s">
        <v>1480</v>
      </c>
      <c r="D66" s="8" t="s">
        <v>1315</v>
      </c>
      <c r="E66" s="8" t="s">
        <v>1316</v>
      </c>
      <c r="F66" s="8" t="s">
        <v>1480</v>
      </c>
      <c r="G66" s="8" t="s">
        <v>1317</v>
      </c>
      <c r="H66" s="8" t="s">
        <v>1132</v>
      </c>
      <c r="I66" s="8" t="s">
        <v>1133</v>
      </c>
      <c r="J66" s="8" t="s">
        <v>1164</v>
      </c>
      <c r="K66" s="8" t="s">
        <v>1165</v>
      </c>
      <c r="L66" s="8" t="s">
        <v>1136</v>
      </c>
      <c r="M66" s="8" t="s">
        <v>1137</v>
      </c>
      <c r="N66" s="8" t="s">
        <v>1318</v>
      </c>
      <c r="O66" s="8" t="s">
        <v>1192</v>
      </c>
      <c r="P66" s="8" t="s">
        <v>1140</v>
      </c>
      <c r="Q66" s="8" t="s">
        <v>1140</v>
      </c>
      <c r="R66" s="8" t="s">
        <v>1481</v>
      </c>
      <c r="S66" s="8" t="s">
        <v>1481</v>
      </c>
      <c r="T66" s="8" t="s">
        <v>1142</v>
      </c>
      <c r="U66" s="8" t="s">
        <v>1482</v>
      </c>
      <c r="V66" s="8" t="s">
        <v>1483</v>
      </c>
    </row>
    <row r="67" spans="1:22" ht="189">
      <c r="A67" s="8" t="s">
        <v>741</v>
      </c>
      <c r="B67" s="8" t="s">
        <v>743</v>
      </c>
      <c r="C67" s="8" t="s">
        <v>1484</v>
      </c>
      <c r="D67" s="8" t="s">
        <v>1315</v>
      </c>
      <c r="E67" s="8" t="s">
        <v>1130</v>
      </c>
      <c r="F67" s="8" t="s">
        <v>1485</v>
      </c>
      <c r="G67" s="8" t="s">
        <v>1317</v>
      </c>
      <c r="H67" s="8" t="s">
        <v>1132</v>
      </c>
      <c r="I67" s="8" t="s">
        <v>1133</v>
      </c>
      <c r="J67" s="8" t="s">
        <v>1146</v>
      </c>
      <c r="K67" s="8" t="s">
        <v>1436</v>
      </c>
      <c r="L67" s="8" t="s">
        <v>1136</v>
      </c>
      <c r="M67" s="8" t="s">
        <v>1137</v>
      </c>
      <c r="N67" s="8" t="s">
        <v>1318</v>
      </c>
      <c r="O67" s="8" t="s">
        <v>1139</v>
      </c>
      <c r="P67" s="8" t="s">
        <v>1140</v>
      </c>
      <c r="Q67" s="8" t="s">
        <v>1140</v>
      </c>
      <c r="R67" s="8" t="s">
        <v>1257</v>
      </c>
      <c r="S67" s="8" t="s">
        <v>1486</v>
      </c>
      <c r="T67" s="8" t="s">
        <v>1142</v>
      </c>
      <c r="U67" s="8" t="s">
        <v>1487</v>
      </c>
      <c r="V67" s="8" t="s">
        <v>1488</v>
      </c>
    </row>
    <row r="68" spans="1:22" ht="141.75">
      <c r="A68" s="8" t="s">
        <v>750</v>
      </c>
      <c r="B68" s="8" t="s">
        <v>752</v>
      </c>
      <c r="C68" s="8" t="s">
        <v>1489</v>
      </c>
      <c r="D68" s="8" t="s">
        <v>1331</v>
      </c>
      <c r="E68" s="8" t="s">
        <v>1396</v>
      </c>
      <c r="F68" s="8" t="s">
        <v>1489</v>
      </c>
      <c r="G68" s="8" t="s">
        <v>1332</v>
      </c>
      <c r="H68" s="8" t="s">
        <v>1132</v>
      </c>
      <c r="I68" s="8" t="s">
        <v>1133</v>
      </c>
      <c r="J68" s="8" t="s">
        <v>1397</v>
      </c>
      <c r="K68" s="8" t="s">
        <v>1256</v>
      </c>
      <c r="L68" s="8" t="s">
        <v>1136</v>
      </c>
      <c r="M68" s="8" t="s">
        <v>1398</v>
      </c>
      <c r="N68" s="8" t="s">
        <v>1333</v>
      </c>
      <c r="O68" s="8" t="s">
        <v>1139</v>
      </c>
      <c r="P68" s="8" t="s">
        <v>1140</v>
      </c>
      <c r="Q68" s="8" t="s">
        <v>1140</v>
      </c>
      <c r="R68" s="8" t="s">
        <v>1257</v>
      </c>
      <c r="S68" s="8" t="s">
        <v>1490</v>
      </c>
      <c r="T68" s="8" t="s">
        <v>1142</v>
      </c>
      <c r="U68" s="8" t="s">
        <v>1491</v>
      </c>
      <c r="V68" s="8" t="s">
        <v>1492</v>
      </c>
    </row>
    <row r="69" spans="1:22" ht="126">
      <c r="A69" s="8" t="s">
        <v>759</v>
      </c>
      <c r="B69" s="8" t="s">
        <v>761</v>
      </c>
      <c r="C69" s="8" t="s">
        <v>1493</v>
      </c>
      <c r="D69" s="8" t="s">
        <v>1331</v>
      </c>
      <c r="E69" s="8" t="s">
        <v>1396</v>
      </c>
      <c r="F69" s="8" t="s">
        <v>1493</v>
      </c>
      <c r="G69" s="8" t="s">
        <v>1332</v>
      </c>
      <c r="H69" s="8" t="s">
        <v>1132</v>
      </c>
      <c r="I69" s="8" t="s">
        <v>1133</v>
      </c>
      <c r="J69" s="8" t="s">
        <v>1397</v>
      </c>
      <c r="K69" s="8" t="s">
        <v>1256</v>
      </c>
      <c r="L69" s="8" t="s">
        <v>1136</v>
      </c>
      <c r="M69" s="8" t="s">
        <v>1398</v>
      </c>
      <c r="N69" s="8" t="s">
        <v>1333</v>
      </c>
      <c r="O69" s="8" t="s">
        <v>1139</v>
      </c>
      <c r="P69" s="8" t="s">
        <v>1140</v>
      </c>
      <c r="Q69" s="8" t="s">
        <v>1140</v>
      </c>
      <c r="R69" s="8" t="s">
        <v>1257</v>
      </c>
      <c r="S69" s="8" t="s">
        <v>1494</v>
      </c>
      <c r="T69" s="8" t="s">
        <v>1142</v>
      </c>
      <c r="U69" s="8" t="s">
        <v>1495</v>
      </c>
      <c r="V69" s="8" t="s">
        <v>1496</v>
      </c>
    </row>
    <row r="70" spans="1:22" ht="141.75">
      <c r="A70" s="8" t="s">
        <v>768</v>
      </c>
      <c r="B70" s="8" t="s">
        <v>770</v>
      </c>
      <c r="C70" s="8" t="s">
        <v>1497</v>
      </c>
      <c r="D70" s="8" t="s">
        <v>1331</v>
      </c>
      <c r="E70" s="8" t="s">
        <v>1130</v>
      </c>
      <c r="F70" s="8" t="s">
        <v>1497</v>
      </c>
      <c r="G70" s="8" t="s">
        <v>1332</v>
      </c>
      <c r="H70" s="8" t="s">
        <v>1132</v>
      </c>
      <c r="I70" s="8" t="s">
        <v>1133</v>
      </c>
      <c r="J70" s="8" t="s">
        <v>1498</v>
      </c>
      <c r="K70" s="8" t="s">
        <v>1436</v>
      </c>
      <c r="L70" s="8" t="s">
        <v>1136</v>
      </c>
      <c r="M70" s="8" t="s">
        <v>1398</v>
      </c>
      <c r="N70" s="8" t="s">
        <v>1333</v>
      </c>
      <c r="O70" s="8" t="s">
        <v>1139</v>
      </c>
      <c r="P70" s="8" t="s">
        <v>1140</v>
      </c>
      <c r="Q70" s="8" t="s">
        <v>1140</v>
      </c>
      <c r="R70" s="8" t="s">
        <v>1499</v>
      </c>
      <c r="S70" s="8" t="s">
        <v>1499</v>
      </c>
      <c r="T70" s="8" t="s">
        <v>1142</v>
      </c>
      <c r="U70" s="8" t="s">
        <v>1500</v>
      </c>
      <c r="V70" s="8" t="s">
        <v>1501</v>
      </c>
    </row>
    <row r="71" spans="1:22" ht="110.25">
      <c r="A71" s="8" t="s">
        <v>777</v>
      </c>
      <c r="B71" s="8" t="s">
        <v>779</v>
      </c>
      <c r="C71" s="8" t="s">
        <v>1502</v>
      </c>
      <c r="D71" s="8" t="s">
        <v>1331</v>
      </c>
      <c r="E71" s="8" t="s">
        <v>1183</v>
      </c>
      <c r="F71" s="8" t="s">
        <v>1502</v>
      </c>
      <c r="G71" s="8" t="s">
        <v>1332</v>
      </c>
      <c r="H71" s="8" t="s">
        <v>1132</v>
      </c>
      <c r="I71" s="8" t="s">
        <v>1133</v>
      </c>
      <c r="J71" s="8" t="s">
        <v>1397</v>
      </c>
      <c r="K71" s="8" t="s">
        <v>1256</v>
      </c>
      <c r="L71" s="8" t="s">
        <v>1136</v>
      </c>
      <c r="M71" s="8" t="s">
        <v>1137</v>
      </c>
      <c r="N71" s="8" t="s">
        <v>1333</v>
      </c>
      <c r="O71" s="8" t="s">
        <v>1139</v>
      </c>
      <c r="P71" s="8" t="s">
        <v>1140</v>
      </c>
      <c r="Q71" s="8" t="s">
        <v>1140</v>
      </c>
      <c r="R71" s="8" t="s">
        <v>1257</v>
      </c>
      <c r="S71" s="8" t="s">
        <v>1503</v>
      </c>
      <c r="T71" s="8" t="s">
        <v>1142</v>
      </c>
      <c r="U71" s="8" t="s">
        <v>1504</v>
      </c>
      <c r="V71" s="8" t="s">
        <v>1505</v>
      </c>
    </row>
    <row r="72" spans="1:22" ht="126">
      <c r="A72" s="8" t="s">
        <v>786</v>
      </c>
      <c r="B72" s="8" t="s">
        <v>788</v>
      </c>
      <c r="C72" s="8" t="s">
        <v>1506</v>
      </c>
      <c r="D72" s="8" t="s">
        <v>1331</v>
      </c>
      <c r="E72" s="8" t="s">
        <v>1183</v>
      </c>
      <c r="F72" s="8" t="s">
        <v>1506</v>
      </c>
      <c r="G72" s="8" t="s">
        <v>1332</v>
      </c>
      <c r="H72" s="8" t="s">
        <v>1132</v>
      </c>
      <c r="I72" s="8" t="s">
        <v>1133</v>
      </c>
      <c r="J72" s="8" t="s">
        <v>1397</v>
      </c>
      <c r="K72" s="8" t="s">
        <v>1256</v>
      </c>
      <c r="L72" s="8" t="s">
        <v>1136</v>
      </c>
      <c r="M72" s="8" t="s">
        <v>1398</v>
      </c>
      <c r="N72" s="8" t="s">
        <v>1333</v>
      </c>
      <c r="O72" s="8" t="s">
        <v>1139</v>
      </c>
      <c r="P72" s="8" t="s">
        <v>1140</v>
      </c>
      <c r="Q72" s="8" t="s">
        <v>1140</v>
      </c>
      <c r="R72" s="8" t="s">
        <v>1257</v>
      </c>
      <c r="S72" s="8" t="s">
        <v>1507</v>
      </c>
      <c r="T72" s="8" t="s">
        <v>1142</v>
      </c>
      <c r="U72" s="8" t="s">
        <v>1508</v>
      </c>
      <c r="V72" s="8" t="s">
        <v>1509</v>
      </c>
    </row>
    <row r="73" spans="1:22" ht="126">
      <c r="A73" s="8" t="s">
        <v>794</v>
      </c>
      <c r="B73" s="8" t="s">
        <v>796</v>
      </c>
      <c r="C73" s="8" t="s">
        <v>1510</v>
      </c>
      <c r="D73" s="8" t="s">
        <v>1331</v>
      </c>
      <c r="E73" s="8" t="s">
        <v>1183</v>
      </c>
      <c r="F73" s="8" t="s">
        <v>1510</v>
      </c>
      <c r="G73" s="8" t="s">
        <v>1332</v>
      </c>
      <c r="H73" s="8" t="s">
        <v>1132</v>
      </c>
      <c r="I73" s="8" t="s">
        <v>1133</v>
      </c>
      <c r="J73" s="8" t="s">
        <v>1397</v>
      </c>
      <c r="K73" s="8" t="s">
        <v>1256</v>
      </c>
      <c r="L73" s="8" t="s">
        <v>1136</v>
      </c>
      <c r="M73" s="8" t="s">
        <v>1398</v>
      </c>
      <c r="N73" s="8" t="s">
        <v>1333</v>
      </c>
      <c r="O73" s="8" t="s">
        <v>1139</v>
      </c>
      <c r="P73" s="8" t="s">
        <v>1140</v>
      </c>
      <c r="Q73" s="8" t="s">
        <v>1140</v>
      </c>
      <c r="R73" s="8" t="s">
        <v>1257</v>
      </c>
      <c r="S73" s="8" t="s">
        <v>1511</v>
      </c>
      <c r="T73" s="8" t="s">
        <v>1142</v>
      </c>
      <c r="U73" s="8" t="s">
        <v>1512</v>
      </c>
      <c r="V73" s="8" t="s">
        <v>1513</v>
      </c>
    </row>
    <row r="74" spans="1:22" ht="126">
      <c r="A74" s="8" t="s">
        <v>802</v>
      </c>
      <c r="B74" s="8" t="s">
        <v>804</v>
      </c>
      <c r="C74" s="8" t="s">
        <v>1514</v>
      </c>
      <c r="D74" s="8" t="s">
        <v>1331</v>
      </c>
      <c r="E74" s="8" t="s">
        <v>1183</v>
      </c>
      <c r="F74" s="8" t="s">
        <v>1514</v>
      </c>
      <c r="G74" s="8" t="s">
        <v>1332</v>
      </c>
      <c r="H74" s="8" t="s">
        <v>1132</v>
      </c>
      <c r="I74" s="8" t="s">
        <v>1133</v>
      </c>
      <c r="J74" s="8" t="s">
        <v>1397</v>
      </c>
      <c r="K74" s="8" t="s">
        <v>1515</v>
      </c>
      <c r="L74" s="8" t="s">
        <v>1136</v>
      </c>
      <c r="M74" s="8" t="s">
        <v>1516</v>
      </c>
      <c r="N74" s="8" t="s">
        <v>1333</v>
      </c>
      <c r="O74" s="8" t="s">
        <v>1139</v>
      </c>
      <c r="P74" s="8" t="s">
        <v>1140</v>
      </c>
      <c r="Q74" s="8" t="s">
        <v>1140</v>
      </c>
      <c r="R74" s="8" t="s">
        <v>1517</v>
      </c>
      <c r="S74" s="8" t="s">
        <v>1517</v>
      </c>
      <c r="T74" s="8" t="s">
        <v>1142</v>
      </c>
      <c r="U74" s="8" t="s">
        <v>1518</v>
      </c>
      <c r="V74" s="8" t="s">
        <v>1519</v>
      </c>
    </row>
    <row r="75" spans="1:22" ht="126">
      <c r="A75" s="8" t="s">
        <v>810</v>
      </c>
      <c r="B75" s="8" t="s">
        <v>812</v>
      </c>
      <c r="C75" s="8" t="s">
        <v>1520</v>
      </c>
      <c r="D75" s="8" t="s">
        <v>1331</v>
      </c>
      <c r="E75" s="8" t="s">
        <v>1183</v>
      </c>
      <c r="F75" s="8" t="s">
        <v>1520</v>
      </c>
      <c r="G75" s="8" t="s">
        <v>1332</v>
      </c>
      <c r="H75" s="8" t="s">
        <v>1132</v>
      </c>
      <c r="I75" s="8" t="s">
        <v>1133</v>
      </c>
      <c r="J75" s="8" t="s">
        <v>1397</v>
      </c>
      <c r="K75" s="8" t="s">
        <v>1256</v>
      </c>
      <c r="L75" s="8" t="s">
        <v>1136</v>
      </c>
      <c r="M75" s="8" t="s">
        <v>1398</v>
      </c>
      <c r="N75" s="8" t="s">
        <v>1333</v>
      </c>
      <c r="O75" s="8" t="s">
        <v>1139</v>
      </c>
      <c r="P75" s="8" t="s">
        <v>1140</v>
      </c>
      <c r="Q75" s="8" t="s">
        <v>1140</v>
      </c>
      <c r="R75" s="8" t="s">
        <v>1521</v>
      </c>
      <c r="S75" s="8" t="s">
        <v>1521</v>
      </c>
      <c r="T75" s="8" t="s">
        <v>1142</v>
      </c>
      <c r="U75" s="8" t="s">
        <v>1522</v>
      </c>
      <c r="V75" s="8" t="s">
        <v>1523</v>
      </c>
    </row>
    <row r="76" spans="1:22" ht="110.25">
      <c r="A76" s="8" t="s">
        <v>819</v>
      </c>
      <c r="B76" s="8" t="s">
        <v>821</v>
      </c>
      <c r="C76" s="8" t="s">
        <v>1524</v>
      </c>
      <c r="D76" s="8" t="s">
        <v>1331</v>
      </c>
      <c r="E76" s="8" t="s">
        <v>1183</v>
      </c>
      <c r="F76" s="8" t="s">
        <v>1524</v>
      </c>
      <c r="G76" s="8" t="s">
        <v>1332</v>
      </c>
      <c r="H76" s="8" t="s">
        <v>1132</v>
      </c>
      <c r="I76" s="8" t="s">
        <v>1133</v>
      </c>
      <c r="J76" s="8" t="s">
        <v>1397</v>
      </c>
      <c r="K76" s="8" t="s">
        <v>1256</v>
      </c>
      <c r="L76" s="8" t="s">
        <v>1136</v>
      </c>
      <c r="M76" s="8" t="s">
        <v>1398</v>
      </c>
      <c r="N76" s="8" t="s">
        <v>1333</v>
      </c>
      <c r="O76" s="8" t="s">
        <v>1139</v>
      </c>
      <c r="P76" s="8" t="s">
        <v>1140</v>
      </c>
      <c r="Q76" s="8" t="s">
        <v>1140</v>
      </c>
      <c r="R76" s="8" t="s">
        <v>1257</v>
      </c>
      <c r="S76" s="8" t="s">
        <v>1525</v>
      </c>
      <c r="T76" s="8" t="s">
        <v>1142</v>
      </c>
      <c r="U76" s="8" t="s">
        <v>1526</v>
      </c>
      <c r="V76" s="8" t="s">
        <v>1527</v>
      </c>
    </row>
    <row r="77" spans="1:22" ht="141.75">
      <c r="A77" s="8" t="s">
        <v>827</v>
      </c>
      <c r="B77" s="8" t="s">
        <v>829</v>
      </c>
      <c r="C77" s="8" t="s">
        <v>1528</v>
      </c>
      <c r="D77" s="8" t="s">
        <v>1331</v>
      </c>
      <c r="E77" s="8" t="s">
        <v>1183</v>
      </c>
      <c r="F77" s="8" t="s">
        <v>1528</v>
      </c>
      <c r="G77" s="8" t="s">
        <v>1332</v>
      </c>
      <c r="H77" s="8" t="s">
        <v>1132</v>
      </c>
      <c r="I77" s="8" t="s">
        <v>1133</v>
      </c>
      <c r="J77" s="8" t="s">
        <v>1397</v>
      </c>
      <c r="K77" s="8" t="s">
        <v>1256</v>
      </c>
      <c r="L77" s="8" t="s">
        <v>1136</v>
      </c>
      <c r="M77" s="8" t="s">
        <v>1398</v>
      </c>
      <c r="N77" s="8" t="s">
        <v>1333</v>
      </c>
      <c r="O77" s="8" t="s">
        <v>1139</v>
      </c>
      <c r="P77" s="8" t="s">
        <v>1140</v>
      </c>
      <c r="Q77" s="8" t="s">
        <v>1140</v>
      </c>
      <c r="R77" s="8" t="s">
        <v>1529</v>
      </c>
      <c r="S77" s="8" t="s">
        <v>1529</v>
      </c>
      <c r="T77" s="8" t="s">
        <v>1142</v>
      </c>
      <c r="U77" s="8" t="s">
        <v>1530</v>
      </c>
      <c r="V77" s="8" t="s">
        <v>1531</v>
      </c>
    </row>
    <row r="78" spans="1:22" ht="110.25">
      <c r="A78" s="8" t="s">
        <v>836</v>
      </c>
      <c r="B78" s="8" t="s">
        <v>838</v>
      </c>
      <c r="C78" s="8" t="s">
        <v>1532</v>
      </c>
      <c r="D78" s="8" t="s">
        <v>1331</v>
      </c>
      <c r="E78" s="8" t="s">
        <v>1183</v>
      </c>
      <c r="F78" s="8" t="s">
        <v>1532</v>
      </c>
      <c r="G78" s="8" t="s">
        <v>1332</v>
      </c>
      <c r="H78" s="8" t="s">
        <v>1132</v>
      </c>
      <c r="I78" s="8" t="s">
        <v>1133</v>
      </c>
      <c r="J78" s="8" t="s">
        <v>1397</v>
      </c>
      <c r="K78" s="8" t="s">
        <v>1256</v>
      </c>
      <c r="L78" s="8" t="s">
        <v>1136</v>
      </c>
      <c r="M78" s="8" t="s">
        <v>1398</v>
      </c>
      <c r="N78" s="8" t="s">
        <v>1333</v>
      </c>
      <c r="O78" s="8" t="s">
        <v>1533</v>
      </c>
      <c r="P78" s="8" t="s">
        <v>1140</v>
      </c>
      <c r="Q78" s="8" t="s">
        <v>1140</v>
      </c>
      <c r="R78" s="8" t="s">
        <v>1534</v>
      </c>
      <c r="S78" s="8" t="s">
        <v>1534</v>
      </c>
      <c r="T78" s="8" t="s">
        <v>1142</v>
      </c>
      <c r="U78" s="8" t="s">
        <v>1535</v>
      </c>
      <c r="V78" s="8" t="s">
        <v>1536</v>
      </c>
    </row>
    <row r="79" spans="1:22" ht="126">
      <c r="A79" s="8" t="s">
        <v>845</v>
      </c>
      <c r="B79" s="8" t="s">
        <v>847</v>
      </c>
      <c r="C79" s="8" t="s">
        <v>1537</v>
      </c>
      <c r="D79" s="8" t="s">
        <v>1331</v>
      </c>
      <c r="E79" s="8" t="s">
        <v>1183</v>
      </c>
      <c r="F79" s="8" t="s">
        <v>1537</v>
      </c>
      <c r="G79" s="8" t="s">
        <v>1332</v>
      </c>
      <c r="H79" s="8" t="s">
        <v>1132</v>
      </c>
      <c r="I79" s="8" t="s">
        <v>1133</v>
      </c>
      <c r="J79" s="8" t="s">
        <v>1397</v>
      </c>
      <c r="K79" s="8" t="s">
        <v>1256</v>
      </c>
      <c r="L79" s="8" t="s">
        <v>1136</v>
      </c>
      <c r="M79" s="8" t="s">
        <v>1137</v>
      </c>
      <c r="N79" s="8" t="s">
        <v>1333</v>
      </c>
      <c r="O79" s="8" t="s">
        <v>1533</v>
      </c>
      <c r="P79" s="8" t="s">
        <v>1140</v>
      </c>
      <c r="Q79" s="8" t="s">
        <v>1140</v>
      </c>
      <c r="R79" s="8" t="s">
        <v>1538</v>
      </c>
      <c r="S79" s="8" t="s">
        <v>1538</v>
      </c>
      <c r="T79" s="8" t="s">
        <v>1142</v>
      </c>
      <c r="U79" s="8" t="s">
        <v>1539</v>
      </c>
      <c r="V79" s="8" t="s">
        <v>1540</v>
      </c>
    </row>
    <row r="80" spans="1:22" ht="141.75">
      <c r="A80" s="8" t="s">
        <v>854</v>
      </c>
      <c r="B80" s="8" t="s">
        <v>856</v>
      </c>
      <c r="C80" s="8" t="s">
        <v>1541</v>
      </c>
      <c r="D80" s="8" t="s">
        <v>1331</v>
      </c>
      <c r="E80" s="8" t="s">
        <v>1183</v>
      </c>
      <c r="F80" s="8" t="s">
        <v>1541</v>
      </c>
      <c r="G80" s="8" t="s">
        <v>1332</v>
      </c>
      <c r="H80" s="8" t="s">
        <v>1132</v>
      </c>
      <c r="I80" s="8" t="s">
        <v>1133</v>
      </c>
      <c r="J80" s="8" t="s">
        <v>1397</v>
      </c>
      <c r="K80" s="8" t="s">
        <v>1256</v>
      </c>
      <c r="L80" s="8" t="s">
        <v>1136</v>
      </c>
      <c r="M80" s="8" t="s">
        <v>1398</v>
      </c>
      <c r="N80" s="8" t="s">
        <v>1333</v>
      </c>
      <c r="O80" s="8" t="s">
        <v>1139</v>
      </c>
      <c r="P80" s="8" t="s">
        <v>1140</v>
      </c>
      <c r="Q80" s="8" t="s">
        <v>1140</v>
      </c>
      <c r="R80" s="8" t="s">
        <v>1257</v>
      </c>
      <c r="S80" s="8" t="s">
        <v>1542</v>
      </c>
      <c r="T80" s="8" t="s">
        <v>1142</v>
      </c>
      <c r="U80" s="8" t="s">
        <v>1543</v>
      </c>
      <c r="V80" s="8" t="s">
        <v>1544</v>
      </c>
    </row>
    <row r="81" spans="1:22" ht="126">
      <c r="A81" s="8" t="s">
        <v>863</v>
      </c>
      <c r="B81" s="8" t="s">
        <v>865</v>
      </c>
      <c r="C81" s="8" t="s">
        <v>1545</v>
      </c>
      <c r="D81" s="8" t="s">
        <v>1331</v>
      </c>
      <c r="E81" s="8" t="s">
        <v>1396</v>
      </c>
      <c r="F81" s="8" t="s">
        <v>1545</v>
      </c>
      <c r="G81" s="8" t="s">
        <v>1332</v>
      </c>
      <c r="H81" s="8" t="s">
        <v>1132</v>
      </c>
      <c r="I81" s="8" t="s">
        <v>1133</v>
      </c>
      <c r="J81" s="8" t="s">
        <v>1397</v>
      </c>
      <c r="K81" s="8" t="s">
        <v>1256</v>
      </c>
      <c r="L81" s="8" t="s">
        <v>1136</v>
      </c>
      <c r="M81" s="8" t="s">
        <v>1398</v>
      </c>
      <c r="N81" s="8" t="s">
        <v>1333</v>
      </c>
      <c r="O81" s="8" t="s">
        <v>1139</v>
      </c>
      <c r="P81" s="8" t="s">
        <v>1140</v>
      </c>
      <c r="Q81" s="8" t="s">
        <v>1140</v>
      </c>
      <c r="R81" s="8" t="s">
        <v>1546</v>
      </c>
      <c r="S81" s="8" t="s">
        <v>1546</v>
      </c>
      <c r="T81" s="8" t="s">
        <v>1335</v>
      </c>
      <c r="U81" s="8" t="s">
        <v>1547</v>
      </c>
      <c r="V81" s="8" t="s">
        <v>1548</v>
      </c>
    </row>
    <row r="82" spans="1:22" ht="141.75">
      <c r="A82" s="8" t="s">
        <v>871</v>
      </c>
      <c r="B82" s="8" t="s">
        <v>873</v>
      </c>
      <c r="C82" s="8" t="s">
        <v>1549</v>
      </c>
      <c r="D82" s="8" t="s">
        <v>1331</v>
      </c>
      <c r="E82" s="8" t="s">
        <v>1183</v>
      </c>
      <c r="F82" s="8" t="s">
        <v>1549</v>
      </c>
      <c r="G82" s="8" t="s">
        <v>1332</v>
      </c>
      <c r="H82" s="8" t="s">
        <v>1132</v>
      </c>
      <c r="I82" s="8" t="s">
        <v>1133</v>
      </c>
      <c r="J82" s="8" t="s">
        <v>1397</v>
      </c>
      <c r="K82" s="8" t="s">
        <v>1256</v>
      </c>
      <c r="L82" s="8" t="s">
        <v>1136</v>
      </c>
      <c r="M82" s="8" t="s">
        <v>1471</v>
      </c>
      <c r="N82" s="8" t="s">
        <v>1333</v>
      </c>
      <c r="O82" s="8" t="s">
        <v>1139</v>
      </c>
      <c r="P82" s="8" t="s">
        <v>1140</v>
      </c>
      <c r="Q82" s="8" t="s">
        <v>1140</v>
      </c>
      <c r="R82" s="8" t="s">
        <v>1257</v>
      </c>
      <c r="S82" s="8" t="s">
        <v>1550</v>
      </c>
      <c r="T82" s="8" t="s">
        <v>1142</v>
      </c>
      <c r="U82" s="8" t="s">
        <v>1551</v>
      </c>
      <c r="V82" s="8" t="s">
        <v>1552</v>
      </c>
    </row>
    <row r="83" spans="1:22" ht="141.75">
      <c r="A83" s="8" t="s">
        <v>879</v>
      </c>
      <c r="B83" s="8" t="s">
        <v>881</v>
      </c>
      <c r="C83" s="8" t="s">
        <v>1553</v>
      </c>
      <c r="D83" s="8" t="s">
        <v>1331</v>
      </c>
      <c r="E83" s="8" t="s">
        <v>1183</v>
      </c>
      <c r="F83" s="8" t="s">
        <v>1553</v>
      </c>
      <c r="G83" s="8" t="s">
        <v>1332</v>
      </c>
      <c r="H83" s="8" t="s">
        <v>1132</v>
      </c>
      <c r="I83" s="8" t="s">
        <v>1133</v>
      </c>
      <c r="J83" s="8" t="s">
        <v>1397</v>
      </c>
      <c r="K83" s="8" t="s">
        <v>1256</v>
      </c>
      <c r="L83" s="8" t="s">
        <v>1136</v>
      </c>
      <c r="M83" s="8" t="s">
        <v>1398</v>
      </c>
      <c r="N83" s="8" t="s">
        <v>1333</v>
      </c>
      <c r="O83" s="8" t="s">
        <v>1139</v>
      </c>
      <c r="P83" s="8" t="s">
        <v>1140</v>
      </c>
      <c r="Q83" s="8" t="s">
        <v>1140</v>
      </c>
      <c r="R83" s="8" t="s">
        <v>1257</v>
      </c>
      <c r="S83" s="8" t="s">
        <v>1554</v>
      </c>
      <c r="T83" s="8" t="s">
        <v>1142</v>
      </c>
      <c r="U83" s="8" t="s">
        <v>1555</v>
      </c>
      <c r="V83" s="8" t="s">
        <v>1556</v>
      </c>
    </row>
    <row r="84" spans="1:22" ht="141.75">
      <c r="A84" s="8" t="s">
        <v>888</v>
      </c>
      <c r="B84" s="8" t="s">
        <v>890</v>
      </c>
      <c r="C84" s="8" t="s">
        <v>1557</v>
      </c>
      <c r="D84" s="8" t="s">
        <v>1331</v>
      </c>
      <c r="E84" s="8" t="s">
        <v>1183</v>
      </c>
      <c r="F84" s="8" t="s">
        <v>1557</v>
      </c>
      <c r="G84" s="8" t="s">
        <v>1332</v>
      </c>
      <c r="H84" s="8" t="s">
        <v>1132</v>
      </c>
      <c r="I84" s="8" t="s">
        <v>1133</v>
      </c>
      <c r="J84" s="8" t="s">
        <v>1397</v>
      </c>
      <c r="K84" s="8" t="s">
        <v>1256</v>
      </c>
      <c r="L84" s="8" t="s">
        <v>1136</v>
      </c>
      <c r="M84" s="8" t="s">
        <v>1398</v>
      </c>
      <c r="N84" s="8" t="s">
        <v>1333</v>
      </c>
      <c r="O84" s="8" t="s">
        <v>1139</v>
      </c>
      <c r="P84" s="8" t="s">
        <v>1140</v>
      </c>
      <c r="Q84" s="8" t="s">
        <v>1140</v>
      </c>
      <c r="R84" s="8" t="s">
        <v>1558</v>
      </c>
      <c r="S84" s="8" t="s">
        <v>1558</v>
      </c>
      <c r="T84" s="8" t="s">
        <v>1142</v>
      </c>
      <c r="U84" s="8" t="s">
        <v>1559</v>
      </c>
      <c r="V84" s="8" t="s">
        <v>1560</v>
      </c>
    </row>
    <row r="85" spans="1:22" ht="126">
      <c r="A85" s="8" t="s">
        <v>896</v>
      </c>
      <c r="B85" s="8" t="s">
        <v>898</v>
      </c>
      <c r="C85" s="8" t="s">
        <v>1561</v>
      </c>
      <c r="D85" s="8" t="s">
        <v>1331</v>
      </c>
      <c r="E85" s="8" t="s">
        <v>1183</v>
      </c>
      <c r="F85" s="8" t="s">
        <v>1561</v>
      </c>
      <c r="G85" s="8" t="s">
        <v>1332</v>
      </c>
      <c r="H85" s="8" t="s">
        <v>1132</v>
      </c>
      <c r="I85" s="8" t="s">
        <v>1133</v>
      </c>
      <c r="J85" s="8" t="s">
        <v>1397</v>
      </c>
      <c r="K85" s="8" t="s">
        <v>1256</v>
      </c>
      <c r="L85" s="8" t="s">
        <v>1136</v>
      </c>
      <c r="M85" s="8" t="s">
        <v>1398</v>
      </c>
      <c r="N85" s="8" t="s">
        <v>1149</v>
      </c>
      <c r="O85" s="8" t="s">
        <v>1139</v>
      </c>
      <c r="P85" s="8" t="s">
        <v>1140</v>
      </c>
      <c r="Q85" s="8" t="s">
        <v>1140</v>
      </c>
      <c r="R85" s="8" t="s">
        <v>1257</v>
      </c>
      <c r="S85" s="8" t="s">
        <v>1562</v>
      </c>
      <c r="T85" s="8" t="s">
        <v>1142</v>
      </c>
      <c r="U85" s="8" t="s">
        <v>1563</v>
      </c>
      <c r="V85" s="8" t="s">
        <v>1564</v>
      </c>
    </row>
    <row r="86" spans="1:22" ht="126">
      <c r="A86" s="8" t="s">
        <v>904</v>
      </c>
      <c r="B86" s="8" t="s">
        <v>906</v>
      </c>
      <c r="C86" s="8" t="s">
        <v>1565</v>
      </c>
      <c r="D86" s="8" t="s">
        <v>1331</v>
      </c>
      <c r="E86" s="8" t="s">
        <v>1183</v>
      </c>
      <c r="F86" s="8" t="s">
        <v>1565</v>
      </c>
      <c r="G86" s="8" t="s">
        <v>1332</v>
      </c>
      <c r="H86" s="8" t="s">
        <v>1132</v>
      </c>
      <c r="I86" s="8" t="s">
        <v>1133</v>
      </c>
      <c r="J86" s="8" t="s">
        <v>1397</v>
      </c>
      <c r="K86" s="8" t="s">
        <v>1256</v>
      </c>
      <c r="L86" s="8" t="s">
        <v>1136</v>
      </c>
      <c r="M86" s="8" t="s">
        <v>1471</v>
      </c>
      <c r="N86" s="8" t="s">
        <v>1333</v>
      </c>
      <c r="O86" s="8" t="s">
        <v>1139</v>
      </c>
      <c r="P86" s="8" t="s">
        <v>1140</v>
      </c>
      <c r="Q86" s="8" t="s">
        <v>1140</v>
      </c>
      <c r="R86" s="8" t="s">
        <v>1257</v>
      </c>
      <c r="S86" s="8" t="s">
        <v>1566</v>
      </c>
      <c r="T86" s="8" t="s">
        <v>1142</v>
      </c>
      <c r="U86" s="8" t="s">
        <v>1567</v>
      </c>
      <c r="V86" s="8" t="s">
        <v>1568</v>
      </c>
    </row>
    <row r="87" spans="1:22" ht="141.75">
      <c r="A87" s="8" t="s">
        <v>913</v>
      </c>
      <c r="B87" s="8" t="s">
        <v>915</v>
      </c>
      <c r="C87" s="8" t="s">
        <v>1569</v>
      </c>
      <c r="D87" s="8" t="s">
        <v>1331</v>
      </c>
      <c r="E87" s="8" t="s">
        <v>1183</v>
      </c>
      <c r="F87" s="8" t="s">
        <v>1569</v>
      </c>
      <c r="G87" s="8" t="s">
        <v>1332</v>
      </c>
      <c r="H87" s="8" t="s">
        <v>1132</v>
      </c>
      <c r="I87" s="8" t="s">
        <v>1133</v>
      </c>
      <c r="J87" s="8" t="s">
        <v>1397</v>
      </c>
      <c r="K87" s="8" t="s">
        <v>1256</v>
      </c>
      <c r="L87" s="8" t="s">
        <v>1136</v>
      </c>
      <c r="M87" s="8" t="s">
        <v>1398</v>
      </c>
      <c r="N87" s="8" t="s">
        <v>1333</v>
      </c>
      <c r="O87" s="8" t="s">
        <v>1139</v>
      </c>
      <c r="P87" s="8" t="s">
        <v>1140</v>
      </c>
      <c r="Q87" s="8" t="s">
        <v>1140</v>
      </c>
      <c r="R87" s="8" t="s">
        <v>1257</v>
      </c>
      <c r="S87" s="8" t="s">
        <v>1570</v>
      </c>
      <c r="T87" s="8" t="s">
        <v>1142</v>
      </c>
      <c r="U87" s="8" t="s">
        <v>1571</v>
      </c>
      <c r="V87" s="8" t="s">
        <v>1572</v>
      </c>
    </row>
    <row r="88" spans="1:22" ht="126">
      <c r="A88" s="8" t="s">
        <v>922</v>
      </c>
      <c r="B88" s="8" t="s">
        <v>924</v>
      </c>
      <c r="C88" s="8" t="s">
        <v>1573</v>
      </c>
      <c r="D88" s="8" t="s">
        <v>1331</v>
      </c>
      <c r="E88" s="8" t="s">
        <v>1183</v>
      </c>
      <c r="F88" s="8" t="s">
        <v>1573</v>
      </c>
      <c r="G88" s="8" t="s">
        <v>1332</v>
      </c>
      <c r="H88" s="8" t="s">
        <v>1132</v>
      </c>
      <c r="I88" s="8" t="s">
        <v>1133</v>
      </c>
      <c r="J88" s="8" t="s">
        <v>1397</v>
      </c>
      <c r="K88" s="8" t="s">
        <v>1256</v>
      </c>
      <c r="L88" s="8" t="s">
        <v>1136</v>
      </c>
      <c r="M88" s="8" t="s">
        <v>1398</v>
      </c>
      <c r="N88" s="8" t="s">
        <v>1333</v>
      </c>
      <c r="O88" s="8" t="s">
        <v>1533</v>
      </c>
      <c r="P88" s="8" t="s">
        <v>1140</v>
      </c>
      <c r="Q88" s="8" t="s">
        <v>1140</v>
      </c>
      <c r="R88" s="8" t="s">
        <v>1257</v>
      </c>
      <c r="S88" s="8" t="s">
        <v>1574</v>
      </c>
      <c r="T88" s="8" t="s">
        <v>1142</v>
      </c>
      <c r="U88" s="8" t="s">
        <v>1575</v>
      </c>
      <c r="V88" s="8" t="s">
        <v>1576</v>
      </c>
    </row>
    <row r="89" spans="1:22" ht="126">
      <c r="A89" s="8" t="s">
        <v>930</v>
      </c>
      <c r="B89" s="8" t="s">
        <v>932</v>
      </c>
      <c r="C89" s="8" t="s">
        <v>1577</v>
      </c>
      <c r="D89" s="8" t="s">
        <v>1331</v>
      </c>
      <c r="E89" s="8" t="s">
        <v>1183</v>
      </c>
      <c r="F89" s="8" t="s">
        <v>1577</v>
      </c>
      <c r="G89" s="8" t="s">
        <v>1332</v>
      </c>
      <c r="H89" s="8" t="s">
        <v>1132</v>
      </c>
      <c r="I89" s="8" t="s">
        <v>1133</v>
      </c>
      <c r="J89" s="8" t="s">
        <v>1397</v>
      </c>
      <c r="K89" s="8" t="s">
        <v>1256</v>
      </c>
      <c r="L89" s="8" t="s">
        <v>1136</v>
      </c>
      <c r="M89" s="8" t="s">
        <v>1398</v>
      </c>
      <c r="N89" s="8" t="s">
        <v>1333</v>
      </c>
      <c r="O89" s="8" t="s">
        <v>1139</v>
      </c>
      <c r="P89" s="8" t="s">
        <v>1140</v>
      </c>
      <c r="Q89" s="8" t="s">
        <v>1140</v>
      </c>
      <c r="R89" s="8" t="s">
        <v>1578</v>
      </c>
      <c r="S89" s="8" t="s">
        <v>1578</v>
      </c>
      <c r="T89" s="8" t="s">
        <v>1142</v>
      </c>
      <c r="U89" s="8" t="s">
        <v>1579</v>
      </c>
      <c r="V89" s="8" t="s">
        <v>1580</v>
      </c>
    </row>
    <row r="90" spans="1:22" ht="141.75">
      <c r="A90" s="8" t="s">
        <v>938</v>
      </c>
      <c r="B90" s="8" t="s">
        <v>940</v>
      </c>
      <c r="C90" s="8" t="s">
        <v>1581</v>
      </c>
      <c r="D90" s="8" t="s">
        <v>1331</v>
      </c>
      <c r="E90" s="8" t="s">
        <v>1130</v>
      </c>
      <c r="F90" s="8" t="s">
        <v>1581</v>
      </c>
      <c r="G90" s="8" t="s">
        <v>1332</v>
      </c>
      <c r="H90" s="8" t="s">
        <v>1132</v>
      </c>
      <c r="I90" s="8" t="s">
        <v>1133</v>
      </c>
      <c r="J90" s="8" t="s">
        <v>1146</v>
      </c>
      <c r="K90" s="8" t="s">
        <v>1147</v>
      </c>
      <c r="L90" s="8" t="s">
        <v>1136</v>
      </c>
      <c r="M90" s="8" t="s">
        <v>1582</v>
      </c>
      <c r="N90" s="8" t="s">
        <v>1333</v>
      </c>
      <c r="O90" s="8" t="s">
        <v>1139</v>
      </c>
      <c r="P90" s="8" t="s">
        <v>1140</v>
      </c>
      <c r="Q90" s="8" t="s">
        <v>1140</v>
      </c>
      <c r="R90" s="8" t="s">
        <v>1257</v>
      </c>
      <c r="S90" s="8" t="s">
        <v>1583</v>
      </c>
      <c r="T90" s="8" t="s">
        <v>1142</v>
      </c>
      <c r="U90" s="8" t="s">
        <v>1584</v>
      </c>
      <c r="V90" s="8" t="s">
        <v>1585</v>
      </c>
    </row>
    <row r="91" spans="1:22" ht="141.75">
      <c r="A91" s="8" t="s">
        <v>947</v>
      </c>
      <c r="B91" s="8" t="s">
        <v>949</v>
      </c>
      <c r="C91" s="8" t="s">
        <v>1586</v>
      </c>
      <c r="D91" s="8" t="s">
        <v>1331</v>
      </c>
      <c r="E91" s="8" t="s">
        <v>1396</v>
      </c>
      <c r="F91" s="8" t="s">
        <v>1586</v>
      </c>
      <c r="G91" s="8" t="s">
        <v>1332</v>
      </c>
      <c r="H91" s="8" t="s">
        <v>1132</v>
      </c>
      <c r="I91" s="8" t="s">
        <v>1133</v>
      </c>
      <c r="J91" s="8" t="s">
        <v>1397</v>
      </c>
      <c r="K91" s="8" t="s">
        <v>1256</v>
      </c>
      <c r="L91" s="8" t="s">
        <v>1136</v>
      </c>
      <c r="M91" s="8" t="s">
        <v>1137</v>
      </c>
      <c r="N91" s="8" t="s">
        <v>1333</v>
      </c>
      <c r="O91" s="8" t="s">
        <v>1139</v>
      </c>
      <c r="P91" s="8" t="s">
        <v>1140</v>
      </c>
      <c r="Q91" s="8" t="s">
        <v>1140</v>
      </c>
      <c r="R91" s="8" t="s">
        <v>1257</v>
      </c>
      <c r="S91" s="8" t="s">
        <v>1587</v>
      </c>
      <c r="T91" s="8" t="s">
        <v>1142</v>
      </c>
      <c r="U91" s="8" t="s">
        <v>1588</v>
      </c>
      <c r="V91" s="8" t="s">
        <v>1589</v>
      </c>
    </row>
    <row r="92" spans="1:22" ht="141.75">
      <c r="A92" s="8" t="s">
        <v>956</v>
      </c>
      <c r="B92" s="8" t="s">
        <v>958</v>
      </c>
      <c r="C92" s="8" t="s">
        <v>1590</v>
      </c>
      <c r="D92" s="8" t="s">
        <v>1331</v>
      </c>
      <c r="E92" s="8" t="s">
        <v>1183</v>
      </c>
      <c r="F92" s="8" t="s">
        <v>1590</v>
      </c>
      <c r="G92" s="8" t="s">
        <v>1332</v>
      </c>
      <c r="H92" s="8" t="s">
        <v>1132</v>
      </c>
      <c r="I92" s="8" t="s">
        <v>1133</v>
      </c>
      <c r="J92" s="8" t="s">
        <v>1397</v>
      </c>
      <c r="K92" s="8" t="s">
        <v>1256</v>
      </c>
      <c r="L92" s="8" t="s">
        <v>1136</v>
      </c>
      <c r="M92" s="8" t="s">
        <v>1398</v>
      </c>
      <c r="N92" s="8" t="s">
        <v>1333</v>
      </c>
      <c r="O92" s="8" t="s">
        <v>1139</v>
      </c>
      <c r="P92" s="8" t="s">
        <v>1140</v>
      </c>
      <c r="Q92" s="8" t="s">
        <v>1140</v>
      </c>
      <c r="R92" s="8" t="s">
        <v>1257</v>
      </c>
      <c r="S92" s="8" t="s">
        <v>1591</v>
      </c>
      <c r="T92" s="8" t="s">
        <v>1142</v>
      </c>
      <c r="U92" s="8" t="s">
        <v>1592</v>
      </c>
      <c r="V92" s="8" t="s">
        <v>1593</v>
      </c>
    </row>
    <row r="93" spans="1:22" ht="126">
      <c r="A93" s="8" t="s">
        <v>965</v>
      </c>
      <c r="B93" s="8" t="s">
        <v>967</v>
      </c>
      <c r="C93" s="8" t="s">
        <v>1594</v>
      </c>
      <c r="D93" s="8" t="s">
        <v>1331</v>
      </c>
      <c r="E93" s="8" t="s">
        <v>1183</v>
      </c>
      <c r="F93" s="8" t="s">
        <v>1594</v>
      </c>
      <c r="G93" s="8" t="s">
        <v>1332</v>
      </c>
      <c r="H93" s="8" t="s">
        <v>1132</v>
      </c>
      <c r="I93" s="8" t="s">
        <v>1133</v>
      </c>
      <c r="J93" s="8" t="s">
        <v>1397</v>
      </c>
      <c r="K93" s="8" t="s">
        <v>1256</v>
      </c>
      <c r="L93" s="8" t="s">
        <v>1136</v>
      </c>
      <c r="M93" s="8" t="s">
        <v>1398</v>
      </c>
      <c r="N93" s="8" t="s">
        <v>1333</v>
      </c>
      <c r="O93" s="8" t="s">
        <v>1139</v>
      </c>
      <c r="P93" s="8" t="s">
        <v>1140</v>
      </c>
      <c r="Q93" s="8" t="s">
        <v>1140</v>
      </c>
      <c r="R93" s="8" t="s">
        <v>1595</v>
      </c>
      <c r="S93" s="8" t="s">
        <v>1595</v>
      </c>
      <c r="T93" s="8" t="s">
        <v>1142</v>
      </c>
      <c r="U93" s="8" t="s">
        <v>1596</v>
      </c>
      <c r="V93" s="8" t="s">
        <v>1597</v>
      </c>
    </row>
    <row r="94" spans="1:22" ht="126">
      <c r="A94" s="8" t="s">
        <v>974</v>
      </c>
      <c r="B94" s="8" t="s">
        <v>976</v>
      </c>
      <c r="C94" s="8" t="s">
        <v>1598</v>
      </c>
      <c r="D94" s="8" t="s">
        <v>1331</v>
      </c>
      <c r="E94" s="8" t="s">
        <v>1183</v>
      </c>
      <c r="F94" s="8" t="s">
        <v>1598</v>
      </c>
      <c r="G94" s="8" t="s">
        <v>1332</v>
      </c>
      <c r="H94" s="8" t="s">
        <v>1132</v>
      </c>
      <c r="I94" s="8" t="s">
        <v>1133</v>
      </c>
      <c r="J94" s="8" t="s">
        <v>1397</v>
      </c>
      <c r="K94" s="8" t="s">
        <v>1256</v>
      </c>
      <c r="L94" s="8" t="s">
        <v>1136</v>
      </c>
      <c r="M94" s="8" t="s">
        <v>1398</v>
      </c>
      <c r="N94" s="8" t="s">
        <v>1333</v>
      </c>
      <c r="O94" s="8" t="s">
        <v>1139</v>
      </c>
      <c r="P94" s="8" t="s">
        <v>1140</v>
      </c>
      <c r="Q94" s="8" t="s">
        <v>1140</v>
      </c>
      <c r="R94" s="8" t="s">
        <v>1257</v>
      </c>
      <c r="S94" s="8" t="s">
        <v>1599</v>
      </c>
      <c r="T94" s="8" t="s">
        <v>1142</v>
      </c>
      <c r="U94" s="8" t="s">
        <v>1600</v>
      </c>
      <c r="V94" s="8" t="s">
        <v>1601</v>
      </c>
    </row>
    <row r="95" spans="1:22" ht="141.75">
      <c r="A95" s="8" t="s">
        <v>983</v>
      </c>
      <c r="B95" s="8" t="s">
        <v>985</v>
      </c>
      <c r="C95" s="8" t="s">
        <v>1602</v>
      </c>
      <c r="D95" s="8" t="s">
        <v>1331</v>
      </c>
      <c r="E95" s="8" t="s">
        <v>1183</v>
      </c>
      <c r="F95" s="8" t="s">
        <v>1602</v>
      </c>
      <c r="G95" s="8" t="s">
        <v>1332</v>
      </c>
      <c r="H95" s="8" t="s">
        <v>1132</v>
      </c>
      <c r="I95" s="8" t="s">
        <v>1133</v>
      </c>
      <c r="J95" s="8" t="s">
        <v>1397</v>
      </c>
      <c r="K95" s="8" t="s">
        <v>1256</v>
      </c>
      <c r="L95" s="8" t="s">
        <v>1136</v>
      </c>
      <c r="M95" s="8" t="s">
        <v>1398</v>
      </c>
      <c r="N95" s="8" t="s">
        <v>1333</v>
      </c>
      <c r="O95" s="8" t="s">
        <v>1139</v>
      </c>
      <c r="P95" s="8" t="s">
        <v>1140</v>
      </c>
      <c r="Q95" s="8" t="s">
        <v>1140</v>
      </c>
      <c r="R95" s="8" t="s">
        <v>1257</v>
      </c>
      <c r="S95" s="8" t="s">
        <v>1603</v>
      </c>
      <c r="T95" s="8" t="s">
        <v>1142</v>
      </c>
      <c r="U95" s="8" t="s">
        <v>1604</v>
      </c>
      <c r="V95" s="8" t="s">
        <v>1605</v>
      </c>
    </row>
    <row r="96" spans="1:22" ht="126">
      <c r="A96" s="8" t="s">
        <v>991</v>
      </c>
      <c r="B96" s="8" t="s">
        <v>993</v>
      </c>
      <c r="C96" s="8" t="s">
        <v>1606</v>
      </c>
      <c r="D96" s="8" t="s">
        <v>1331</v>
      </c>
      <c r="E96" s="8" t="s">
        <v>1396</v>
      </c>
      <c r="F96" s="8" t="s">
        <v>1606</v>
      </c>
      <c r="G96" s="8" t="s">
        <v>1332</v>
      </c>
      <c r="H96" s="8" t="s">
        <v>1132</v>
      </c>
      <c r="I96" s="8" t="s">
        <v>1133</v>
      </c>
      <c r="J96" s="8" t="s">
        <v>1397</v>
      </c>
      <c r="K96" s="8" t="s">
        <v>1256</v>
      </c>
      <c r="L96" s="8" t="s">
        <v>1136</v>
      </c>
      <c r="M96" s="8" t="s">
        <v>1137</v>
      </c>
      <c r="N96" s="8" t="s">
        <v>1333</v>
      </c>
      <c r="O96" s="8" t="s">
        <v>1139</v>
      </c>
      <c r="P96" s="8" t="s">
        <v>1140</v>
      </c>
      <c r="Q96" s="8" t="s">
        <v>1140</v>
      </c>
      <c r="R96" s="8" t="s">
        <v>1257</v>
      </c>
      <c r="S96" s="8" t="s">
        <v>1607</v>
      </c>
      <c r="T96" s="8" t="s">
        <v>1142</v>
      </c>
      <c r="U96" s="8" t="s">
        <v>1608</v>
      </c>
      <c r="V96" s="8" t="s">
        <v>1609</v>
      </c>
    </row>
    <row r="97" spans="1:22" ht="126">
      <c r="A97" s="8" t="s">
        <v>999</v>
      </c>
      <c r="B97" s="8" t="s">
        <v>1001</v>
      </c>
      <c r="C97" s="8" t="s">
        <v>1610</v>
      </c>
      <c r="D97" s="8" t="s">
        <v>1331</v>
      </c>
      <c r="E97" s="8" t="s">
        <v>1183</v>
      </c>
      <c r="F97" s="8" t="s">
        <v>1610</v>
      </c>
      <c r="G97" s="8" t="s">
        <v>1332</v>
      </c>
      <c r="H97" s="8" t="s">
        <v>1132</v>
      </c>
      <c r="I97" s="8" t="s">
        <v>1133</v>
      </c>
      <c r="J97" s="8" t="s">
        <v>1397</v>
      </c>
      <c r="K97" s="8" t="s">
        <v>1256</v>
      </c>
      <c r="L97" s="8" t="s">
        <v>1136</v>
      </c>
      <c r="M97" s="8" t="s">
        <v>1398</v>
      </c>
      <c r="N97" s="8" t="s">
        <v>1333</v>
      </c>
      <c r="O97" s="8" t="s">
        <v>1533</v>
      </c>
      <c r="P97" s="8" t="s">
        <v>1140</v>
      </c>
      <c r="Q97" s="8" t="s">
        <v>1140</v>
      </c>
      <c r="R97" s="8" t="s">
        <v>1257</v>
      </c>
      <c r="S97" s="8" t="s">
        <v>1611</v>
      </c>
      <c r="T97" s="8" t="s">
        <v>1335</v>
      </c>
      <c r="U97" s="8" t="s">
        <v>1612</v>
      </c>
      <c r="V97" s="8" t="s">
        <v>1613</v>
      </c>
    </row>
  </sheetData>
  <mergeCells count="1">
    <mergeCell ref="A1:V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A97"/>
  <sheetViews>
    <sheetView topLeftCell="A33" workbookViewId="0">
      <selection activeCell="D35" sqref="D35"/>
    </sheetView>
  </sheetViews>
  <sheetFormatPr defaultRowHeight="15.75"/>
  <cols>
    <col min="1" max="1" width="11" style="2" customWidth="1"/>
    <col min="2" max="2" width="48" style="2" customWidth="1"/>
    <col min="3" max="3" width="13" style="2" customWidth="1"/>
    <col min="4" max="4" width="26" style="2" customWidth="1"/>
    <col min="5" max="5" width="13" style="2" customWidth="1"/>
    <col min="6" max="6" width="26" style="2" customWidth="1"/>
    <col min="7" max="7" width="13" style="2" customWidth="1"/>
    <col min="8" max="8" width="28" style="2" customWidth="1"/>
    <col min="9" max="9" width="13" style="2" customWidth="1"/>
    <col min="10" max="10" width="28" style="2" customWidth="1"/>
    <col min="11" max="11" width="13" style="2" customWidth="1"/>
    <col min="12" max="12" width="28" style="2" customWidth="1"/>
    <col min="13" max="13" width="13" style="2" customWidth="1"/>
    <col min="14" max="14" width="28" style="2" customWidth="1"/>
    <col min="15" max="15" width="30" style="2" customWidth="1"/>
    <col min="16" max="16" width="18" style="2" customWidth="1"/>
    <col min="17" max="17" width="12" style="2" customWidth="1"/>
    <col min="18" max="18" width="60" style="2" customWidth="1"/>
    <col min="19" max="19" width="20" style="2" customWidth="1"/>
    <col min="20" max="20" width="26" style="2" customWidth="1"/>
    <col min="21" max="21" width="28" style="2" customWidth="1"/>
    <col min="22" max="23" width="16" style="2" customWidth="1"/>
    <col min="24" max="24" width="22" style="2" customWidth="1"/>
    <col min="25" max="25" width="62" style="2" customWidth="1"/>
    <col min="26" max="26" width="32" style="2" customWidth="1"/>
    <col min="27" max="27" width="14" style="2" customWidth="1"/>
    <col min="28" max="16384" width="9" style="2"/>
  </cols>
  <sheetData>
    <row r="1" spans="1:27" s="7" customFormat="1" ht="20.25">
      <c r="A1" s="16" t="s">
        <v>1027</v>
      </c>
      <c r="B1" s="16"/>
      <c r="C1" s="16"/>
      <c r="D1" s="16"/>
      <c r="E1" s="16"/>
      <c r="F1" s="16"/>
      <c r="G1" s="16"/>
      <c r="H1" s="16"/>
      <c r="I1" s="16"/>
      <c r="J1" s="16"/>
      <c r="K1" s="16"/>
      <c r="L1" s="16"/>
      <c r="M1" s="16"/>
      <c r="N1" s="16"/>
      <c r="O1" s="16"/>
      <c r="P1" s="16"/>
      <c r="Q1" s="16"/>
      <c r="R1" s="16"/>
      <c r="S1" s="16"/>
      <c r="T1" s="16"/>
      <c r="U1" s="16"/>
      <c r="V1" s="16"/>
      <c r="W1" s="16"/>
      <c r="X1" s="16"/>
      <c r="Y1" s="16"/>
      <c r="Z1" s="16"/>
      <c r="AA1" s="12"/>
    </row>
    <row r="3" spans="1:27" s="6" customFormat="1" ht="37.5">
      <c r="A3" s="5" t="s">
        <v>165</v>
      </c>
      <c r="B3" s="5" t="s">
        <v>168</v>
      </c>
      <c r="C3" s="5" t="s">
        <v>1028</v>
      </c>
      <c r="D3" s="5" t="s">
        <v>1029</v>
      </c>
      <c r="E3" s="5" t="s">
        <v>1030</v>
      </c>
      <c r="F3" s="5" t="s">
        <v>1031</v>
      </c>
      <c r="G3" s="5" t="s">
        <v>1032</v>
      </c>
      <c r="H3" s="5" t="s">
        <v>1033</v>
      </c>
      <c r="I3" s="5" t="s">
        <v>1034</v>
      </c>
      <c r="J3" s="5" t="s">
        <v>1035</v>
      </c>
      <c r="K3" s="5" t="s">
        <v>1036</v>
      </c>
      <c r="L3" s="5" t="s">
        <v>1037</v>
      </c>
      <c r="M3" s="5" t="s">
        <v>1038</v>
      </c>
      <c r="N3" s="5" t="s">
        <v>1039</v>
      </c>
      <c r="O3" s="5" t="s">
        <v>1040</v>
      </c>
      <c r="P3" s="5" t="s">
        <v>1041</v>
      </c>
      <c r="Q3" s="5" t="s">
        <v>32</v>
      </c>
      <c r="R3" s="5" t="s">
        <v>1042</v>
      </c>
      <c r="S3" s="5" t="s">
        <v>1043</v>
      </c>
      <c r="T3" s="5" t="s">
        <v>1044</v>
      </c>
      <c r="U3" s="5" t="s">
        <v>1045</v>
      </c>
      <c r="V3" s="5" t="s">
        <v>1046</v>
      </c>
      <c r="W3" s="5" t="s">
        <v>1047</v>
      </c>
      <c r="X3" s="5" t="s">
        <v>35</v>
      </c>
      <c r="Y3" s="5" t="s">
        <v>1048</v>
      </c>
      <c r="Z3" s="5" t="s">
        <v>1049</v>
      </c>
      <c r="AA3" s="5" t="s">
        <v>1050</v>
      </c>
    </row>
    <row r="4" spans="1:27" ht="189">
      <c r="A4" s="8" t="s">
        <v>181</v>
      </c>
      <c r="B4" s="8" t="s">
        <v>183</v>
      </c>
      <c r="C4" s="13" t="s">
        <v>41</v>
      </c>
      <c r="D4" s="13" t="s">
        <v>1614</v>
      </c>
      <c r="E4" s="13" t="s">
        <v>57</v>
      </c>
      <c r="F4" s="13" t="s">
        <v>42</v>
      </c>
      <c r="G4" s="13" t="s">
        <v>125</v>
      </c>
      <c r="H4" s="13" t="s">
        <v>73</v>
      </c>
      <c r="I4" s="13" t="s">
        <v>86</v>
      </c>
      <c r="J4" s="13" t="s">
        <v>74</v>
      </c>
      <c r="K4" s="13" t="s">
        <v>60</v>
      </c>
      <c r="L4" s="13" t="s">
        <v>97</v>
      </c>
      <c r="M4" s="13" t="s">
        <v>107</v>
      </c>
      <c r="N4" s="13" t="s">
        <v>98</v>
      </c>
      <c r="O4" s="13" t="s">
        <v>1615</v>
      </c>
      <c r="P4" s="13" t="s">
        <v>49</v>
      </c>
      <c r="Q4" s="13" t="s">
        <v>99</v>
      </c>
      <c r="R4" s="13" t="s">
        <v>1616</v>
      </c>
      <c r="S4" s="13" t="s">
        <v>63</v>
      </c>
      <c r="T4" s="13" t="s">
        <v>53</v>
      </c>
      <c r="U4" s="13" t="s">
        <v>1617</v>
      </c>
      <c r="V4" s="13">
        <v>4</v>
      </c>
      <c r="W4" s="13">
        <v>5</v>
      </c>
      <c r="X4" s="13" t="s">
        <v>50</v>
      </c>
      <c r="Y4" s="13" t="s">
        <v>1618</v>
      </c>
      <c r="Z4" s="13" t="s">
        <v>1619</v>
      </c>
      <c r="AA4" s="13" t="str">
        <f t="shared" ref="AA4:AA67" si="0">IF(OR(V4="",W4=""),"",IF(V4&lt;=W4,"OK","CHECK"))</f>
        <v>OK</v>
      </c>
    </row>
    <row r="5" spans="1:27" ht="173.25">
      <c r="A5" s="8" t="s">
        <v>194</v>
      </c>
      <c r="B5" s="8" t="s">
        <v>196</v>
      </c>
      <c r="C5" s="13" t="s">
        <v>41</v>
      </c>
      <c r="D5" s="13" t="s">
        <v>1614</v>
      </c>
      <c r="E5" s="13" t="s">
        <v>57</v>
      </c>
      <c r="F5" s="13" t="s">
        <v>42</v>
      </c>
      <c r="G5" s="13" t="s">
        <v>85</v>
      </c>
      <c r="H5" s="13" t="s">
        <v>73</v>
      </c>
      <c r="I5" s="13" t="s">
        <v>59</v>
      </c>
      <c r="J5" s="13" t="s">
        <v>1620</v>
      </c>
      <c r="K5" s="13" t="s">
        <v>75</v>
      </c>
      <c r="L5" s="13" t="s">
        <v>97</v>
      </c>
      <c r="M5" s="13" t="s">
        <v>98</v>
      </c>
      <c r="N5" s="13" t="s">
        <v>107</v>
      </c>
      <c r="O5" s="13" t="s">
        <v>1621</v>
      </c>
      <c r="P5" s="13" t="s">
        <v>49</v>
      </c>
      <c r="Q5" s="13" t="s">
        <v>99</v>
      </c>
      <c r="R5" s="13" t="s">
        <v>1622</v>
      </c>
      <c r="S5" s="13" t="s">
        <v>63</v>
      </c>
      <c r="T5" s="13" t="s">
        <v>53</v>
      </c>
      <c r="U5" s="13" t="s">
        <v>1617</v>
      </c>
      <c r="V5" s="13">
        <v>4</v>
      </c>
      <c r="W5" s="13">
        <v>5</v>
      </c>
      <c r="X5" s="13" t="s">
        <v>65</v>
      </c>
      <c r="Y5" s="13" t="s">
        <v>1623</v>
      </c>
      <c r="Z5" s="13" t="s">
        <v>1624</v>
      </c>
      <c r="AA5" s="13" t="str">
        <f t="shared" si="0"/>
        <v>OK</v>
      </c>
    </row>
    <row r="6" spans="1:27" ht="173.25">
      <c r="A6" s="8" t="s">
        <v>202</v>
      </c>
      <c r="B6" s="8" t="s">
        <v>204</v>
      </c>
      <c r="C6" s="13" t="s">
        <v>41</v>
      </c>
      <c r="D6" s="13" t="s">
        <v>1614</v>
      </c>
      <c r="E6" s="13" t="s">
        <v>57</v>
      </c>
      <c r="F6" s="13" t="s">
        <v>42</v>
      </c>
      <c r="G6" s="13" t="s">
        <v>85</v>
      </c>
      <c r="H6" s="13" t="s">
        <v>95</v>
      </c>
      <c r="I6" s="13" t="s">
        <v>59</v>
      </c>
      <c r="J6" s="13" t="s">
        <v>1620</v>
      </c>
      <c r="K6" s="13" t="s">
        <v>75</v>
      </c>
      <c r="L6" s="13" t="s">
        <v>97</v>
      </c>
      <c r="M6" s="13" t="s">
        <v>98</v>
      </c>
      <c r="N6" s="13" t="s">
        <v>107</v>
      </c>
      <c r="O6" s="13" t="s">
        <v>1625</v>
      </c>
      <c r="P6" s="13" t="s">
        <v>49</v>
      </c>
      <c r="Q6" s="13" t="s">
        <v>99</v>
      </c>
      <c r="R6" s="13" t="s">
        <v>1626</v>
      </c>
      <c r="S6" s="13" t="s">
        <v>63</v>
      </c>
      <c r="T6" s="13" t="s">
        <v>53</v>
      </c>
      <c r="U6" s="13" t="s">
        <v>1617</v>
      </c>
      <c r="V6" s="13">
        <v>4</v>
      </c>
      <c r="W6" s="13">
        <v>5</v>
      </c>
      <c r="X6" s="13" t="s">
        <v>65</v>
      </c>
      <c r="Y6" s="13" t="s">
        <v>1627</v>
      </c>
      <c r="Z6" s="13" t="s">
        <v>1628</v>
      </c>
      <c r="AA6" s="13" t="str">
        <f t="shared" si="0"/>
        <v>OK</v>
      </c>
    </row>
    <row r="7" spans="1:27" ht="173.25">
      <c r="A7" s="8" t="s">
        <v>211</v>
      </c>
      <c r="B7" s="8" t="s">
        <v>213</v>
      </c>
      <c r="C7" s="13" t="s">
        <v>41</v>
      </c>
      <c r="D7" s="13" t="s">
        <v>1614</v>
      </c>
      <c r="E7" s="13" t="s">
        <v>57</v>
      </c>
      <c r="F7" s="13" t="s">
        <v>42</v>
      </c>
      <c r="G7" s="13" t="s">
        <v>95</v>
      </c>
      <c r="H7" s="13" t="s">
        <v>1629</v>
      </c>
      <c r="I7" s="13" t="s">
        <v>59</v>
      </c>
      <c r="J7" s="13" t="s">
        <v>1620</v>
      </c>
      <c r="K7" s="13" t="s">
        <v>120</v>
      </c>
      <c r="L7" s="13" t="s">
        <v>1630</v>
      </c>
      <c r="M7" s="13" t="s">
        <v>88</v>
      </c>
      <c r="N7" s="13" t="s">
        <v>1614</v>
      </c>
      <c r="O7" s="13" t="s">
        <v>1631</v>
      </c>
      <c r="P7" s="13" t="s">
        <v>49</v>
      </c>
      <c r="Q7" s="13" t="s">
        <v>77</v>
      </c>
      <c r="R7" s="13" t="s">
        <v>1632</v>
      </c>
      <c r="S7" s="13" t="s">
        <v>63</v>
      </c>
      <c r="T7" s="13" t="s">
        <v>53</v>
      </c>
      <c r="U7" s="13" t="s">
        <v>1617</v>
      </c>
      <c r="V7" s="13">
        <v>2</v>
      </c>
      <c r="W7" s="13">
        <v>3</v>
      </c>
      <c r="X7" s="13" t="s">
        <v>50</v>
      </c>
      <c r="Y7" s="13" t="s">
        <v>1633</v>
      </c>
      <c r="Z7" s="13" t="s">
        <v>1634</v>
      </c>
      <c r="AA7" s="13" t="str">
        <f t="shared" si="0"/>
        <v>OK</v>
      </c>
    </row>
    <row r="8" spans="1:27" ht="141.75">
      <c r="A8" s="8" t="s">
        <v>221</v>
      </c>
      <c r="B8" s="8" t="s">
        <v>223</v>
      </c>
      <c r="C8" s="13" t="s">
        <v>41</v>
      </c>
      <c r="D8" s="13" t="s">
        <v>1614</v>
      </c>
      <c r="E8" s="13" t="s">
        <v>57</v>
      </c>
      <c r="F8" s="13" t="s">
        <v>42</v>
      </c>
      <c r="G8" s="13" t="s">
        <v>104</v>
      </c>
      <c r="H8" s="13" t="s">
        <v>95</v>
      </c>
      <c r="I8" s="13" t="s">
        <v>59</v>
      </c>
      <c r="J8" s="13" t="s">
        <v>1620</v>
      </c>
      <c r="K8" s="13" t="s">
        <v>75</v>
      </c>
      <c r="L8" s="13" t="s">
        <v>97</v>
      </c>
      <c r="M8" s="13" t="s">
        <v>98</v>
      </c>
      <c r="N8" s="13" t="s">
        <v>1614</v>
      </c>
      <c r="O8" s="13" t="s">
        <v>1635</v>
      </c>
      <c r="P8" s="13" t="s">
        <v>49</v>
      </c>
      <c r="Q8" s="13" t="s">
        <v>89</v>
      </c>
      <c r="R8" s="13" t="s">
        <v>1636</v>
      </c>
      <c r="S8" s="13" t="s">
        <v>63</v>
      </c>
      <c r="T8" s="13" t="s">
        <v>53</v>
      </c>
      <c r="U8" s="13" t="s">
        <v>1617</v>
      </c>
      <c r="V8" s="13">
        <v>3</v>
      </c>
      <c r="W8" s="13">
        <v>4</v>
      </c>
      <c r="X8" s="13" t="s">
        <v>50</v>
      </c>
      <c r="Y8" s="13" t="s">
        <v>1637</v>
      </c>
      <c r="Z8" s="13" t="s">
        <v>1638</v>
      </c>
      <c r="AA8" s="13" t="str">
        <f t="shared" si="0"/>
        <v>OK</v>
      </c>
    </row>
    <row r="9" spans="1:27" ht="173.25">
      <c r="A9" s="8" t="s">
        <v>230</v>
      </c>
      <c r="B9" s="8" t="s">
        <v>232</v>
      </c>
      <c r="C9" s="13" t="s">
        <v>41</v>
      </c>
      <c r="D9" s="13" t="s">
        <v>1614</v>
      </c>
      <c r="E9" s="13" t="s">
        <v>57</v>
      </c>
      <c r="F9" s="13" t="s">
        <v>42</v>
      </c>
      <c r="G9" s="13" t="s">
        <v>85</v>
      </c>
      <c r="H9" s="13" t="s">
        <v>95</v>
      </c>
      <c r="I9" s="13" t="s">
        <v>59</v>
      </c>
      <c r="J9" s="13" t="s">
        <v>1620</v>
      </c>
      <c r="K9" s="13" t="s">
        <v>60</v>
      </c>
      <c r="L9" s="13" t="s">
        <v>1639</v>
      </c>
      <c r="M9" s="13" t="s">
        <v>98</v>
      </c>
      <c r="N9" s="13" t="s">
        <v>107</v>
      </c>
      <c r="O9" s="13" t="s">
        <v>1640</v>
      </c>
      <c r="P9" s="13" t="s">
        <v>49</v>
      </c>
      <c r="Q9" s="13" t="s">
        <v>99</v>
      </c>
      <c r="R9" s="13" t="s">
        <v>1641</v>
      </c>
      <c r="S9" s="13" t="s">
        <v>63</v>
      </c>
      <c r="T9" s="13" t="s">
        <v>53</v>
      </c>
      <c r="U9" s="13" t="s">
        <v>1617</v>
      </c>
      <c r="V9" s="13">
        <v>4</v>
      </c>
      <c r="W9" s="13">
        <v>5</v>
      </c>
      <c r="X9" s="13" t="s">
        <v>65</v>
      </c>
      <c r="Y9" s="13" t="s">
        <v>1642</v>
      </c>
      <c r="Z9" s="13" t="s">
        <v>1643</v>
      </c>
      <c r="AA9" s="13" t="str">
        <f t="shared" si="0"/>
        <v>OK</v>
      </c>
    </row>
    <row r="10" spans="1:27" ht="157.5">
      <c r="A10" s="8" t="s">
        <v>240</v>
      </c>
      <c r="B10" s="8" t="s">
        <v>242</v>
      </c>
      <c r="C10" s="13" t="s">
        <v>41</v>
      </c>
      <c r="D10" s="13" t="s">
        <v>1614</v>
      </c>
      <c r="E10" s="13" t="s">
        <v>57</v>
      </c>
      <c r="F10" s="13" t="s">
        <v>42</v>
      </c>
      <c r="G10" s="13" t="s">
        <v>73</v>
      </c>
      <c r="H10" s="13" t="s">
        <v>1644</v>
      </c>
      <c r="I10" s="13" t="s">
        <v>59</v>
      </c>
      <c r="J10" s="13" t="s">
        <v>1620</v>
      </c>
      <c r="K10" s="13" t="s">
        <v>126</v>
      </c>
      <c r="L10" s="13" t="s">
        <v>97</v>
      </c>
      <c r="M10" s="13" t="s">
        <v>88</v>
      </c>
      <c r="N10" s="13" t="s">
        <v>107</v>
      </c>
      <c r="O10" s="13" t="s">
        <v>1645</v>
      </c>
      <c r="P10" s="13" t="s">
        <v>49</v>
      </c>
      <c r="Q10" s="13" t="s">
        <v>77</v>
      </c>
      <c r="R10" s="13" t="s">
        <v>1646</v>
      </c>
      <c r="S10" s="13" t="s">
        <v>63</v>
      </c>
      <c r="T10" s="13" t="s">
        <v>53</v>
      </c>
      <c r="U10" s="13" t="s">
        <v>1617</v>
      </c>
      <c r="V10" s="13">
        <v>2</v>
      </c>
      <c r="W10" s="13">
        <v>3</v>
      </c>
      <c r="X10" s="13" t="s">
        <v>65</v>
      </c>
      <c r="Y10" s="13" t="s">
        <v>1647</v>
      </c>
      <c r="Z10" s="13" t="s">
        <v>1648</v>
      </c>
      <c r="AA10" s="13" t="str">
        <f t="shared" si="0"/>
        <v>OK</v>
      </c>
    </row>
    <row r="11" spans="1:27" ht="157.5">
      <c r="A11" s="8" t="s">
        <v>250</v>
      </c>
      <c r="B11" s="8" t="s">
        <v>252</v>
      </c>
      <c r="C11" s="13" t="s">
        <v>41</v>
      </c>
      <c r="D11" s="13" t="s">
        <v>1614</v>
      </c>
      <c r="E11" s="13" t="s">
        <v>57</v>
      </c>
      <c r="F11" s="13" t="s">
        <v>42</v>
      </c>
      <c r="G11" s="13" t="s">
        <v>104</v>
      </c>
      <c r="H11" s="13" t="s">
        <v>95</v>
      </c>
      <c r="I11" s="13" t="s">
        <v>59</v>
      </c>
      <c r="J11" s="13" t="s">
        <v>1620</v>
      </c>
      <c r="K11" s="13" t="s">
        <v>97</v>
      </c>
      <c r="L11" s="13" t="s">
        <v>1614</v>
      </c>
      <c r="M11" s="13" t="s">
        <v>88</v>
      </c>
      <c r="N11" s="13" t="s">
        <v>1614</v>
      </c>
      <c r="O11" s="13" t="s">
        <v>1649</v>
      </c>
      <c r="P11" s="13" t="s">
        <v>49</v>
      </c>
      <c r="Q11" s="13" t="s">
        <v>77</v>
      </c>
      <c r="R11" s="13" t="s">
        <v>1650</v>
      </c>
      <c r="S11" s="13" t="s">
        <v>63</v>
      </c>
      <c r="T11" s="13" t="s">
        <v>53</v>
      </c>
      <c r="U11" s="13" t="s">
        <v>1617</v>
      </c>
      <c r="V11" s="13">
        <v>2</v>
      </c>
      <c r="W11" s="13">
        <v>3</v>
      </c>
      <c r="X11" s="13" t="s">
        <v>50</v>
      </c>
      <c r="Y11" s="13" t="s">
        <v>1651</v>
      </c>
      <c r="Z11" s="13" t="s">
        <v>1652</v>
      </c>
      <c r="AA11" s="13" t="str">
        <f t="shared" si="0"/>
        <v>OK</v>
      </c>
    </row>
    <row r="12" spans="1:27" ht="173.25">
      <c r="A12" s="8" t="s">
        <v>259</v>
      </c>
      <c r="B12" s="8" t="s">
        <v>261</v>
      </c>
      <c r="C12" s="13" t="s">
        <v>41</v>
      </c>
      <c r="D12" s="13" t="s">
        <v>1614</v>
      </c>
      <c r="E12" s="13" t="s">
        <v>57</v>
      </c>
      <c r="F12" s="13" t="s">
        <v>42</v>
      </c>
      <c r="G12" s="13" t="s">
        <v>85</v>
      </c>
      <c r="H12" s="13" t="s">
        <v>104</v>
      </c>
      <c r="I12" s="13" t="s">
        <v>59</v>
      </c>
      <c r="J12" s="13" t="s">
        <v>1620</v>
      </c>
      <c r="K12" s="13" t="s">
        <v>60</v>
      </c>
      <c r="L12" s="13" t="s">
        <v>97</v>
      </c>
      <c r="M12" s="13" t="s">
        <v>98</v>
      </c>
      <c r="N12" s="13" t="s">
        <v>107</v>
      </c>
      <c r="O12" s="13" t="s">
        <v>1653</v>
      </c>
      <c r="P12" s="13" t="s">
        <v>49</v>
      </c>
      <c r="Q12" s="13" t="s">
        <v>99</v>
      </c>
      <c r="R12" s="13" t="s">
        <v>1654</v>
      </c>
      <c r="S12" s="13" t="s">
        <v>63</v>
      </c>
      <c r="T12" s="13" t="s">
        <v>53</v>
      </c>
      <c r="U12" s="13" t="s">
        <v>1617</v>
      </c>
      <c r="V12" s="13">
        <v>4</v>
      </c>
      <c r="W12" s="13">
        <v>5</v>
      </c>
      <c r="X12" s="13" t="s">
        <v>65</v>
      </c>
      <c r="Y12" s="13" t="s">
        <v>1655</v>
      </c>
      <c r="Z12" s="13" t="s">
        <v>1656</v>
      </c>
      <c r="AA12" s="13" t="str">
        <f t="shared" si="0"/>
        <v>OK</v>
      </c>
    </row>
    <row r="13" spans="1:27" ht="173.25">
      <c r="A13" s="8" t="s">
        <v>268</v>
      </c>
      <c r="B13" s="8" t="s">
        <v>270</v>
      </c>
      <c r="C13" s="13" t="s">
        <v>41</v>
      </c>
      <c r="D13" s="13" t="s">
        <v>1614</v>
      </c>
      <c r="E13" s="13" t="s">
        <v>57</v>
      </c>
      <c r="F13" s="13" t="s">
        <v>42</v>
      </c>
      <c r="G13" s="13" t="s">
        <v>73</v>
      </c>
      <c r="H13" s="13" t="s">
        <v>1657</v>
      </c>
      <c r="I13" s="13" t="s">
        <v>59</v>
      </c>
      <c r="J13" s="13" t="s">
        <v>1620</v>
      </c>
      <c r="K13" s="13" t="s">
        <v>120</v>
      </c>
      <c r="L13" s="13" t="s">
        <v>1639</v>
      </c>
      <c r="M13" s="13" t="s">
        <v>98</v>
      </c>
      <c r="N13" s="13" t="s">
        <v>1614</v>
      </c>
      <c r="O13" s="13" t="s">
        <v>1615</v>
      </c>
      <c r="P13" s="13" t="s">
        <v>49</v>
      </c>
      <c r="Q13" s="13" t="s">
        <v>99</v>
      </c>
      <c r="R13" s="13" t="s">
        <v>1658</v>
      </c>
      <c r="S13" s="13" t="s">
        <v>63</v>
      </c>
      <c r="T13" s="13" t="s">
        <v>53</v>
      </c>
      <c r="U13" s="13" t="s">
        <v>1617</v>
      </c>
      <c r="V13" s="13">
        <v>4</v>
      </c>
      <c r="W13" s="13">
        <v>5</v>
      </c>
      <c r="X13" s="13" t="s">
        <v>65</v>
      </c>
      <c r="Y13" s="13" t="s">
        <v>1659</v>
      </c>
      <c r="Z13" s="13" t="s">
        <v>1660</v>
      </c>
      <c r="AA13" s="13" t="str">
        <f t="shared" si="0"/>
        <v>OK</v>
      </c>
    </row>
    <row r="14" spans="1:27" ht="157.5">
      <c r="A14" s="8" t="s">
        <v>277</v>
      </c>
      <c r="B14" s="8" t="s">
        <v>279</v>
      </c>
      <c r="C14" s="13" t="s">
        <v>41</v>
      </c>
      <c r="D14" s="13" t="s">
        <v>1614</v>
      </c>
      <c r="E14" s="13" t="s">
        <v>57</v>
      </c>
      <c r="F14" s="13" t="s">
        <v>42</v>
      </c>
      <c r="G14" s="13" t="s">
        <v>104</v>
      </c>
      <c r="H14" s="13" t="s">
        <v>95</v>
      </c>
      <c r="I14" s="13" t="s">
        <v>59</v>
      </c>
      <c r="J14" s="13" t="s">
        <v>1620</v>
      </c>
      <c r="K14" s="13" t="s">
        <v>97</v>
      </c>
      <c r="L14" s="13" t="s">
        <v>1614</v>
      </c>
      <c r="M14" s="13" t="s">
        <v>88</v>
      </c>
      <c r="N14" s="13" t="s">
        <v>1614</v>
      </c>
      <c r="O14" s="13" t="s">
        <v>1661</v>
      </c>
      <c r="P14" s="13" t="s">
        <v>49</v>
      </c>
      <c r="Q14" s="13" t="s">
        <v>77</v>
      </c>
      <c r="R14" s="13" t="s">
        <v>1662</v>
      </c>
      <c r="S14" s="13" t="s">
        <v>63</v>
      </c>
      <c r="T14" s="13" t="s">
        <v>53</v>
      </c>
      <c r="U14" s="13" t="s">
        <v>1617</v>
      </c>
      <c r="V14" s="13">
        <v>2</v>
      </c>
      <c r="W14" s="13">
        <v>3</v>
      </c>
      <c r="X14" s="13" t="s">
        <v>50</v>
      </c>
      <c r="Y14" s="13" t="s">
        <v>1663</v>
      </c>
      <c r="Z14" s="13" t="s">
        <v>1664</v>
      </c>
      <c r="AA14" s="13" t="str">
        <f t="shared" si="0"/>
        <v>OK</v>
      </c>
    </row>
    <row r="15" spans="1:27" ht="173.25">
      <c r="A15" s="8" t="s">
        <v>285</v>
      </c>
      <c r="B15" s="8" t="s">
        <v>287</v>
      </c>
      <c r="C15" s="13" t="s">
        <v>41</v>
      </c>
      <c r="D15" s="13" t="s">
        <v>1614</v>
      </c>
      <c r="E15" s="13" t="s">
        <v>57</v>
      </c>
      <c r="F15" s="13" t="s">
        <v>42</v>
      </c>
      <c r="G15" s="13" t="s">
        <v>85</v>
      </c>
      <c r="H15" s="13" t="s">
        <v>104</v>
      </c>
      <c r="I15" s="13" t="s">
        <v>59</v>
      </c>
      <c r="J15" s="13" t="s">
        <v>1620</v>
      </c>
      <c r="K15" s="13" t="s">
        <v>106</v>
      </c>
      <c r="L15" s="13" t="s">
        <v>1614</v>
      </c>
      <c r="M15" s="13" t="s">
        <v>98</v>
      </c>
      <c r="N15" s="13" t="s">
        <v>107</v>
      </c>
      <c r="O15" s="13" t="s">
        <v>1640</v>
      </c>
      <c r="P15" s="13" t="s">
        <v>49</v>
      </c>
      <c r="Q15" s="13" t="s">
        <v>99</v>
      </c>
      <c r="R15" s="13" t="s">
        <v>1665</v>
      </c>
      <c r="S15" s="13" t="s">
        <v>63</v>
      </c>
      <c r="T15" s="13" t="s">
        <v>53</v>
      </c>
      <c r="U15" s="13" t="s">
        <v>1617</v>
      </c>
      <c r="V15" s="13">
        <v>4</v>
      </c>
      <c r="W15" s="13">
        <v>5</v>
      </c>
      <c r="X15" s="13" t="s">
        <v>65</v>
      </c>
      <c r="Y15" s="13" t="s">
        <v>1666</v>
      </c>
      <c r="Z15" s="13" t="s">
        <v>1667</v>
      </c>
      <c r="AA15" s="13" t="str">
        <f t="shared" si="0"/>
        <v>OK</v>
      </c>
    </row>
    <row r="16" spans="1:27" ht="173.25">
      <c r="A16" s="8" t="s">
        <v>294</v>
      </c>
      <c r="B16" s="8" t="s">
        <v>296</v>
      </c>
      <c r="C16" s="13" t="s">
        <v>41</v>
      </c>
      <c r="D16" s="13" t="s">
        <v>1614</v>
      </c>
      <c r="E16" s="13" t="s">
        <v>57</v>
      </c>
      <c r="F16" s="13" t="s">
        <v>42</v>
      </c>
      <c r="G16" s="13" t="s">
        <v>85</v>
      </c>
      <c r="H16" s="13" t="s">
        <v>104</v>
      </c>
      <c r="I16" s="13" t="s">
        <v>59</v>
      </c>
      <c r="J16" s="13" t="s">
        <v>1620</v>
      </c>
      <c r="K16" s="13" t="s">
        <v>145</v>
      </c>
      <c r="L16" s="13" t="s">
        <v>97</v>
      </c>
      <c r="M16" s="13" t="s">
        <v>127</v>
      </c>
      <c r="N16" s="13" t="s">
        <v>98</v>
      </c>
      <c r="O16" s="13" t="s">
        <v>1625</v>
      </c>
      <c r="P16" s="13" t="s">
        <v>49</v>
      </c>
      <c r="Q16" s="13" t="s">
        <v>108</v>
      </c>
      <c r="R16" s="13" t="s">
        <v>1668</v>
      </c>
      <c r="S16" s="13" t="s">
        <v>63</v>
      </c>
      <c r="T16" s="13" t="s">
        <v>53</v>
      </c>
      <c r="U16" s="13" t="s">
        <v>1617</v>
      </c>
      <c r="V16" s="13">
        <v>5</v>
      </c>
      <c r="W16" s="13">
        <v>6</v>
      </c>
      <c r="X16" s="13" t="s">
        <v>65</v>
      </c>
      <c r="Y16" s="13" t="s">
        <v>1669</v>
      </c>
      <c r="Z16" s="13" t="s">
        <v>1670</v>
      </c>
      <c r="AA16" s="13" t="str">
        <f t="shared" si="0"/>
        <v>OK</v>
      </c>
    </row>
    <row r="17" spans="1:27" ht="31.5">
      <c r="A17" s="8" t="s">
        <v>304</v>
      </c>
      <c r="B17" s="8" t="s">
        <v>306</v>
      </c>
      <c r="C17" s="13" t="s">
        <v>68</v>
      </c>
      <c r="D17" s="13" t="s">
        <v>1614</v>
      </c>
      <c r="E17" s="13" t="s">
        <v>68</v>
      </c>
      <c r="F17" s="13" t="s">
        <v>1614</v>
      </c>
      <c r="G17" s="13" t="s">
        <v>68</v>
      </c>
      <c r="H17" s="13" t="s">
        <v>1614</v>
      </c>
      <c r="I17" s="13" t="s">
        <v>68</v>
      </c>
      <c r="J17" s="13" t="s">
        <v>1614</v>
      </c>
      <c r="K17" s="13" t="s">
        <v>68</v>
      </c>
      <c r="L17" s="13" t="s">
        <v>1614</v>
      </c>
      <c r="M17" s="13" t="s">
        <v>68</v>
      </c>
      <c r="N17" s="13" t="s">
        <v>1614</v>
      </c>
      <c r="O17" s="13" t="s">
        <v>68</v>
      </c>
      <c r="P17" s="13" t="s">
        <v>64</v>
      </c>
      <c r="Q17" s="13" t="s">
        <v>68</v>
      </c>
      <c r="R17" s="13" t="s">
        <v>1671</v>
      </c>
      <c r="S17" s="13" t="s">
        <v>68</v>
      </c>
      <c r="T17" s="13" t="s">
        <v>68</v>
      </c>
      <c r="U17" s="13" t="s">
        <v>68</v>
      </c>
      <c r="V17" s="13" t="s">
        <v>68</v>
      </c>
      <c r="W17" s="13" t="s">
        <v>68</v>
      </c>
      <c r="X17" s="13" t="s">
        <v>68</v>
      </c>
      <c r="Y17" s="13" t="s">
        <v>68</v>
      </c>
      <c r="Z17" s="13" t="s">
        <v>1672</v>
      </c>
      <c r="AA17" s="13" t="str">
        <f t="shared" si="0"/>
        <v>OK</v>
      </c>
    </row>
    <row r="18" spans="1:27" ht="63">
      <c r="A18" s="8" t="s">
        <v>315</v>
      </c>
      <c r="B18" s="8" t="s">
        <v>317</v>
      </c>
      <c r="C18" s="13" t="s">
        <v>78</v>
      </c>
      <c r="D18" s="13" t="s">
        <v>1614</v>
      </c>
      <c r="E18" s="13" t="s">
        <v>78</v>
      </c>
      <c r="F18" s="13" t="s">
        <v>1614</v>
      </c>
      <c r="G18" s="13" t="s">
        <v>78</v>
      </c>
      <c r="H18" s="13" t="s">
        <v>1614</v>
      </c>
      <c r="I18" s="13" t="s">
        <v>78</v>
      </c>
      <c r="J18" s="13" t="s">
        <v>1614</v>
      </c>
      <c r="K18" s="13" t="s">
        <v>78</v>
      </c>
      <c r="L18" s="13" t="s">
        <v>1614</v>
      </c>
      <c r="M18" s="13" t="s">
        <v>78</v>
      </c>
      <c r="N18" s="13" t="s">
        <v>1614</v>
      </c>
      <c r="O18" s="13" t="s">
        <v>78</v>
      </c>
      <c r="P18" s="13" t="s">
        <v>78</v>
      </c>
      <c r="Q18" s="13" t="s">
        <v>78</v>
      </c>
      <c r="R18" s="13" t="s">
        <v>1673</v>
      </c>
      <c r="S18" s="13" t="s">
        <v>63</v>
      </c>
      <c r="T18" s="13" t="s">
        <v>53</v>
      </c>
      <c r="U18" s="13" t="s">
        <v>1674</v>
      </c>
      <c r="V18" s="13" t="s">
        <v>78</v>
      </c>
      <c r="W18" s="13" t="s">
        <v>78</v>
      </c>
      <c r="X18" s="13" t="s">
        <v>78</v>
      </c>
      <c r="Y18" s="13" t="s">
        <v>1675</v>
      </c>
      <c r="Z18" s="13" t="s">
        <v>1676</v>
      </c>
      <c r="AA18" s="13" t="str">
        <f t="shared" si="0"/>
        <v>OK</v>
      </c>
    </row>
    <row r="19" spans="1:27" ht="189">
      <c r="A19" s="8" t="s">
        <v>324</v>
      </c>
      <c r="B19" s="8" t="s">
        <v>326</v>
      </c>
      <c r="C19" s="13" t="s">
        <v>41</v>
      </c>
      <c r="D19" s="13" t="s">
        <v>1614</v>
      </c>
      <c r="E19" s="13" t="s">
        <v>57</v>
      </c>
      <c r="F19" s="13" t="s">
        <v>42</v>
      </c>
      <c r="G19" s="13" t="s">
        <v>104</v>
      </c>
      <c r="H19" s="13" t="s">
        <v>1677</v>
      </c>
      <c r="I19" s="13" t="s">
        <v>59</v>
      </c>
      <c r="J19" s="13" t="s">
        <v>1620</v>
      </c>
      <c r="K19" s="13" t="s">
        <v>97</v>
      </c>
      <c r="L19" s="13" t="s">
        <v>1614</v>
      </c>
      <c r="M19" s="13" t="s">
        <v>98</v>
      </c>
      <c r="N19" s="13" t="s">
        <v>107</v>
      </c>
      <c r="O19" s="13" t="s">
        <v>1615</v>
      </c>
      <c r="P19" s="13" t="s">
        <v>49</v>
      </c>
      <c r="Q19" s="13" t="s">
        <v>99</v>
      </c>
      <c r="R19" s="13" t="s">
        <v>1678</v>
      </c>
      <c r="S19" s="13" t="s">
        <v>63</v>
      </c>
      <c r="T19" s="13" t="s">
        <v>53</v>
      </c>
      <c r="U19" s="13" t="s">
        <v>1617</v>
      </c>
      <c r="V19" s="13">
        <v>4</v>
      </c>
      <c r="W19" s="13">
        <v>5</v>
      </c>
      <c r="X19" s="13" t="s">
        <v>50</v>
      </c>
      <c r="Y19" s="13" t="s">
        <v>1679</v>
      </c>
      <c r="Z19" s="13" t="s">
        <v>1680</v>
      </c>
      <c r="AA19" s="13" t="str">
        <f t="shared" si="0"/>
        <v>OK</v>
      </c>
    </row>
    <row r="20" spans="1:27" ht="157.5">
      <c r="A20" s="8" t="s">
        <v>332</v>
      </c>
      <c r="B20" s="8" t="s">
        <v>334</v>
      </c>
      <c r="C20" s="13" t="s">
        <v>41</v>
      </c>
      <c r="D20" s="13" t="s">
        <v>1614</v>
      </c>
      <c r="E20" s="13" t="s">
        <v>57</v>
      </c>
      <c r="F20" s="13" t="s">
        <v>42</v>
      </c>
      <c r="G20" s="13" t="s">
        <v>104</v>
      </c>
      <c r="H20" s="13" t="s">
        <v>85</v>
      </c>
      <c r="I20" s="13" t="s">
        <v>59</v>
      </c>
      <c r="J20" s="13" t="s">
        <v>1620</v>
      </c>
      <c r="K20" s="13" t="s">
        <v>120</v>
      </c>
      <c r="L20" s="13" t="s">
        <v>1681</v>
      </c>
      <c r="M20" s="13" t="s">
        <v>98</v>
      </c>
      <c r="N20" s="13" t="s">
        <v>1614</v>
      </c>
      <c r="O20" s="13" t="s">
        <v>1682</v>
      </c>
      <c r="P20" s="13" t="s">
        <v>49</v>
      </c>
      <c r="Q20" s="13" t="s">
        <v>89</v>
      </c>
      <c r="R20" s="13" t="s">
        <v>1683</v>
      </c>
      <c r="S20" s="13" t="s">
        <v>63</v>
      </c>
      <c r="T20" s="13" t="s">
        <v>53</v>
      </c>
      <c r="U20" s="13" t="s">
        <v>1617</v>
      </c>
      <c r="V20" s="13">
        <v>3</v>
      </c>
      <c r="W20" s="13">
        <v>4</v>
      </c>
      <c r="X20" s="13" t="s">
        <v>50</v>
      </c>
      <c r="Y20" s="13" t="s">
        <v>1684</v>
      </c>
      <c r="Z20" s="13" t="s">
        <v>1685</v>
      </c>
      <c r="AA20" s="13" t="str">
        <f t="shared" si="0"/>
        <v>OK</v>
      </c>
    </row>
    <row r="21" spans="1:27" ht="189">
      <c r="A21" s="8" t="s">
        <v>340</v>
      </c>
      <c r="B21" s="8" t="s">
        <v>342</v>
      </c>
      <c r="C21" s="13" t="s">
        <v>41</v>
      </c>
      <c r="D21" s="13" t="s">
        <v>1614</v>
      </c>
      <c r="E21" s="13" t="s">
        <v>57</v>
      </c>
      <c r="F21" s="13" t="s">
        <v>42</v>
      </c>
      <c r="G21" s="13" t="s">
        <v>104</v>
      </c>
      <c r="H21" s="13" t="s">
        <v>95</v>
      </c>
      <c r="I21" s="13" t="s">
        <v>59</v>
      </c>
      <c r="J21" s="13" t="s">
        <v>1620</v>
      </c>
      <c r="K21" s="13" t="s">
        <v>97</v>
      </c>
      <c r="L21" s="13" t="s">
        <v>1614</v>
      </c>
      <c r="M21" s="13" t="s">
        <v>98</v>
      </c>
      <c r="N21" s="13" t="s">
        <v>107</v>
      </c>
      <c r="O21" s="13" t="s">
        <v>1640</v>
      </c>
      <c r="P21" s="13" t="s">
        <v>49</v>
      </c>
      <c r="Q21" s="13" t="s">
        <v>99</v>
      </c>
      <c r="R21" s="13" t="s">
        <v>1686</v>
      </c>
      <c r="S21" s="13" t="s">
        <v>63</v>
      </c>
      <c r="T21" s="13" t="s">
        <v>53</v>
      </c>
      <c r="U21" s="13" t="s">
        <v>1617</v>
      </c>
      <c r="V21" s="13">
        <v>4</v>
      </c>
      <c r="W21" s="13">
        <v>5</v>
      </c>
      <c r="X21" s="13" t="s">
        <v>50</v>
      </c>
      <c r="Y21" s="13" t="s">
        <v>1687</v>
      </c>
      <c r="Z21" s="13" t="s">
        <v>1688</v>
      </c>
      <c r="AA21" s="13" t="str">
        <f t="shared" si="0"/>
        <v>OK</v>
      </c>
    </row>
    <row r="22" spans="1:27" ht="189">
      <c r="A22" s="8" t="s">
        <v>348</v>
      </c>
      <c r="B22" s="8" t="s">
        <v>350</v>
      </c>
      <c r="C22" s="13" t="s">
        <v>41</v>
      </c>
      <c r="D22" s="13" t="s">
        <v>1614</v>
      </c>
      <c r="E22" s="13" t="s">
        <v>57</v>
      </c>
      <c r="F22" s="13" t="s">
        <v>42</v>
      </c>
      <c r="G22" s="13" t="s">
        <v>104</v>
      </c>
      <c r="H22" s="13" t="s">
        <v>1614</v>
      </c>
      <c r="I22" s="13" t="s">
        <v>59</v>
      </c>
      <c r="J22" s="13" t="s">
        <v>1620</v>
      </c>
      <c r="K22" s="13" t="s">
        <v>97</v>
      </c>
      <c r="L22" s="13" t="s">
        <v>1614</v>
      </c>
      <c r="M22" s="13" t="s">
        <v>98</v>
      </c>
      <c r="N22" s="13" t="s">
        <v>107</v>
      </c>
      <c r="O22" s="13" t="s">
        <v>1649</v>
      </c>
      <c r="P22" s="13" t="s">
        <v>49</v>
      </c>
      <c r="Q22" s="13" t="s">
        <v>99</v>
      </c>
      <c r="R22" s="13" t="s">
        <v>1689</v>
      </c>
      <c r="S22" s="13" t="s">
        <v>63</v>
      </c>
      <c r="T22" s="13" t="s">
        <v>53</v>
      </c>
      <c r="U22" s="13" t="s">
        <v>1617</v>
      </c>
      <c r="V22" s="13">
        <v>4</v>
      </c>
      <c r="W22" s="13">
        <v>5</v>
      </c>
      <c r="X22" s="13" t="s">
        <v>50</v>
      </c>
      <c r="Y22" s="13" t="s">
        <v>1690</v>
      </c>
      <c r="Z22" s="13" t="s">
        <v>1691</v>
      </c>
      <c r="AA22" s="13" t="str">
        <f t="shared" si="0"/>
        <v>OK</v>
      </c>
    </row>
    <row r="23" spans="1:27" ht="173.25">
      <c r="A23" s="8" t="s">
        <v>356</v>
      </c>
      <c r="B23" s="8" t="s">
        <v>358</v>
      </c>
      <c r="C23" s="13" t="s">
        <v>41</v>
      </c>
      <c r="D23" s="13" t="s">
        <v>1614</v>
      </c>
      <c r="E23" s="13" t="s">
        <v>57</v>
      </c>
      <c r="F23" s="13" t="s">
        <v>42</v>
      </c>
      <c r="G23" s="13" t="s">
        <v>73</v>
      </c>
      <c r="H23" s="13" t="s">
        <v>1644</v>
      </c>
      <c r="I23" s="13" t="s">
        <v>59</v>
      </c>
      <c r="J23" s="13" t="s">
        <v>1620</v>
      </c>
      <c r="K23" s="13" t="s">
        <v>97</v>
      </c>
      <c r="L23" s="13" t="s">
        <v>1614</v>
      </c>
      <c r="M23" s="13" t="s">
        <v>88</v>
      </c>
      <c r="N23" s="13" t="s">
        <v>1614</v>
      </c>
      <c r="O23" s="13" t="s">
        <v>1692</v>
      </c>
      <c r="P23" s="13" t="s">
        <v>49</v>
      </c>
      <c r="Q23" s="13" t="s">
        <v>77</v>
      </c>
      <c r="R23" s="13" t="s">
        <v>1693</v>
      </c>
      <c r="S23" s="13" t="s">
        <v>63</v>
      </c>
      <c r="T23" s="13" t="s">
        <v>53</v>
      </c>
      <c r="U23" s="13" t="s">
        <v>1617</v>
      </c>
      <c r="V23" s="13">
        <v>2</v>
      </c>
      <c r="W23" s="13">
        <v>3</v>
      </c>
      <c r="X23" s="13" t="s">
        <v>65</v>
      </c>
      <c r="Y23" s="13" t="s">
        <v>1694</v>
      </c>
      <c r="Z23" s="13" t="s">
        <v>1695</v>
      </c>
      <c r="AA23" s="13" t="str">
        <f t="shared" si="0"/>
        <v>OK</v>
      </c>
    </row>
    <row r="24" spans="1:27" ht="157.5">
      <c r="A24" s="8" t="s">
        <v>364</v>
      </c>
      <c r="B24" s="8" t="s">
        <v>366</v>
      </c>
      <c r="C24" s="13" t="s">
        <v>41</v>
      </c>
      <c r="D24" s="13" t="s">
        <v>1614</v>
      </c>
      <c r="E24" s="13" t="s">
        <v>57</v>
      </c>
      <c r="F24" s="13" t="s">
        <v>42</v>
      </c>
      <c r="G24" s="13" t="s">
        <v>104</v>
      </c>
      <c r="H24" s="13" t="s">
        <v>85</v>
      </c>
      <c r="I24" s="13" t="s">
        <v>59</v>
      </c>
      <c r="J24" s="13" t="s">
        <v>1620</v>
      </c>
      <c r="K24" s="13" t="s">
        <v>97</v>
      </c>
      <c r="L24" s="13" t="s">
        <v>1614</v>
      </c>
      <c r="M24" s="13" t="s">
        <v>98</v>
      </c>
      <c r="N24" s="13" t="s">
        <v>88</v>
      </c>
      <c r="O24" s="13" t="s">
        <v>1625</v>
      </c>
      <c r="P24" s="13" t="s">
        <v>49</v>
      </c>
      <c r="Q24" s="13" t="s">
        <v>89</v>
      </c>
      <c r="R24" s="13" t="s">
        <v>1696</v>
      </c>
      <c r="S24" s="13" t="s">
        <v>63</v>
      </c>
      <c r="T24" s="13" t="s">
        <v>53</v>
      </c>
      <c r="U24" s="13" t="s">
        <v>1617</v>
      </c>
      <c r="V24" s="13">
        <v>3</v>
      </c>
      <c r="W24" s="13">
        <v>4</v>
      </c>
      <c r="X24" s="13" t="s">
        <v>50</v>
      </c>
      <c r="Y24" s="13" t="s">
        <v>1697</v>
      </c>
      <c r="Z24" s="13" t="s">
        <v>1698</v>
      </c>
      <c r="AA24" s="13" t="str">
        <f t="shared" si="0"/>
        <v>OK</v>
      </c>
    </row>
    <row r="25" spans="1:27" ht="189">
      <c r="A25" s="8" t="s">
        <v>372</v>
      </c>
      <c r="B25" s="8" t="s">
        <v>374</v>
      </c>
      <c r="C25" s="13" t="s">
        <v>41</v>
      </c>
      <c r="D25" s="13" t="s">
        <v>1614</v>
      </c>
      <c r="E25" s="13" t="s">
        <v>57</v>
      </c>
      <c r="F25" s="13" t="s">
        <v>42</v>
      </c>
      <c r="G25" s="13" t="s">
        <v>85</v>
      </c>
      <c r="H25" s="13" t="s">
        <v>1699</v>
      </c>
      <c r="I25" s="13" t="s">
        <v>59</v>
      </c>
      <c r="J25" s="13" t="s">
        <v>1620</v>
      </c>
      <c r="K25" s="13" t="s">
        <v>126</v>
      </c>
      <c r="L25" s="13" t="s">
        <v>1630</v>
      </c>
      <c r="M25" s="13" t="s">
        <v>98</v>
      </c>
      <c r="N25" s="13" t="s">
        <v>107</v>
      </c>
      <c r="O25" s="13" t="s">
        <v>1700</v>
      </c>
      <c r="P25" s="13" t="s">
        <v>49</v>
      </c>
      <c r="Q25" s="13" t="s">
        <v>99</v>
      </c>
      <c r="R25" s="13" t="s">
        <v>1701</v>
      </c>
      <c r="S25" s="13" t="s">
        <v>63</v>
      </c>
      <c r="T25" s="13" t="s">
        <v>53</v>
      </c>
      <c r="U25" s="13" t="s">
        <v>1617</v>
      </c>
      <c r="V25" s="13">
        <v>4</v>
      </c>
      <c r="W25" s="13">
        <v>5</v>
      </c>
      <c r="X25" s="13" t="s">
        <v>65</v>
      </c>
      <c r="Y25" s="13" t="s">
        <v>1702</v>
      </c>
      <c r="Z25" s="13" t="s">
        <v>1703</v>
      </c>
      <c r="AA25" s="13" t="str">
        <f t="shared" si="0"/>
        <v>OK</v>
      </c>
    </row>
    <row r="26" spans="1:27" ht="189">
      <c r="A26" s="8" t="s">
        <v>380</v>
      </c>
      <c r="B26" s="8" t="s">
        <v>382</v>
      </c>
      <c r="C26" s="13" t="s">
        <v>41</v>
      </c>
      <c r="D26" s="13" t="s">
        <v>1614</v>
      </c>
      <c r="E26" s="13" t="s">
        <v>57</v>
      </c>
      <c r="F26" s="13" t="s">
        <v>42</v>
      </c>
      <c r="G26" s="13" t="s">
        <v>43</v>
      </c>
      <c r="H26" s="13" t="s">
        <v>118</v>
      </c>
      <c r="I26" s="13" t="s">
        <v>44</v>
      </c>
      <c r="J26" s="13" t="s">
        <v>86</v>
      </c>
      <c r="K26" s="13" t="s">
        <v>113</v>
      </c>
      <c r="L26" s="13" t="s">
        <v>97</v>
      </c>
      <c r="M26" s="13" t="s">
        <v>98</v>
      </c>
      <c r="N26" s="13" t="s">
        <v>107</v>
      </c>
      <c r="O26" s="13" t="s">
        <v>1704</v>
      </c>
      <c r="P26" s="13" t="s">
        <v>49</v>
      </c>
      <c r="Q26" s="13" t="s">
        <v>99</v>
      </c>
      <c r="R26" s="13" t="s">
        <v>1705</v>
      </c>
      <c r="S26" s="13" t="s">
        <v>63</v>
      </c>
      <c r="T26" s="13" t="s">
        <v>53</v>
      </c>
      <c r="U26" s="13" t="s">
        <v>1617</v>
      </c>
      <c r="V26" s="13">
        <v>4</v>
      </c>
      <c r="W26" s="13">
        <v>5</v>
      </c>
      <c r="X26" s="13" t="s">
        <v>50</v>
      </c>
      <c r="Y26" s="13" t="s">
        <v>1706</v>
      </c>
      <c r="Z26" s="13" t="s">
        <v>1707</v>
      </c>
      <c r="AA26" s="13" t="str">
        <f t="shared" si="0"/>
        <v>OK</v>
      </c>
    </row>
    <row r="27" spans="1:27" ht="189">
      <c r="A27" s="8" t="s">
        <v>389</v>
      </c>
      <c r="B27" s="8" t="s">
        <v>391</v>
      </c>
      <c r="C27" s="13" t="s">
        <v>41</v>
      </c>
      <c r="D27" s="13" t="s">
        <v>1614</v>
      </c>
      <c r="E27" s="13" t="s">
        <v>57</v>
      </c>
      <c r="F27" s="13" t="s">
        <v>42</v>
      </c>
      <c r="G27" s="13" t="s">
        <v>95</v>
      </c>
      <c r="H27" s="13" t="s">
        <v>85</v>
      </c>
      <c r="I27" s="13" t="s">
        <v>59</v>
      </c>
      <c r="J27" s="13" t="s">
        <v>1620</v>
      </c>
      <c r="K27" s="13" t="s">
        <v>97</v>
      </c>
      <c r="L27" s="13" t="s">
        <v>1614</v>
      </c>
      <c r="M27" s="13" t="s">
        <v>107</v>
      </c>
      <c r="N27" s="13" t="s">
        <v>98</v>
      </c>
      <c r="O27" s="13" t="s">
        <v>1640</v>
      </c>
      <c r="P27" s="13" t="s">
        <v>49</v>
      </c>
      <c r="Q27" s="13" t="s">
        <v>99</v>
      </c>
      <c r="R27" s="13" t="s">
        <v>1708</v>
      </c>
      <c r="S27" s="13" t="s">
        <v>63</v>
      </c>
      <c r="T27" s="13" t="s">
        <v>53</v>
      </c>
      <c r="U27" s="13" t="s">
        <v>1617</v>
      </c>
      <c r="V27" s="13">
        <v>4</v>
      </c>
      <c r="W27" s="13">
        <v>5</v>
      </c>
      <c r="X27" s="13" t="s">
        <v>50</v>
      </c>
      <c r="Y27" s="13" t="s">
        <v>1709</v>
      </c>
      <c r="Z27" s="13" t="s">
        <v>1710</v>
      </c>
      <c r="AA27" s="13" t="str">
        <f t="shared" si="0"/>
        <v>OK</v>
      </c>
    </row>
    <row r="28" spans="1:27" ht="189">
      <c r="A28" s="8" t="s">
        <v>397</v>
      </c>
      <c r="B28" s="8" t="s">
        <v>399</v>
      </c>
      <c r="C28" s="13" t="s">
        <v>41</v>
      </c>
      <c r="D28" s="13" t="s">
        <v>1614</v>
      </c>
      <c r="E28" s="13" t="s">
        <v>57</v>
      </c>
      <c r="F28" s="13" t="s">
        <v>42</v>
      </c>
      <c r="G28" s="13" t="s">
        <v>85</v>
      </c>
      <c r="H28" s="13" t="s">
        <v>104</v>
      </c>
      <c r="I28" s="13" t="s">
        <v>59</v>
      </c>
      <c r="J28" s="13" t="s">
        <v>1620</v>
      </c>
      <c r="K28" s="13" t="s">
        <v>120</v>
      </c>
      <c r="L28" s="13" t="s">
        <v>97</v>
      </c>
      <c r="M28" s="13" t="s">
        <v>88</v>
      </c>
      <c r="N28" s="13" t="s">
        <v>1614</v>
      </c>
      <c r="O28" s="13" t="s">
        <v>1625</v>
      </c>
      <c r="P28" s="13" t="s">
        <v>49</v>
      </c>
      <c r="Q28" s="13" t="s">
        <v>77</v>
      </c>
      <c r="R28" s="13" t="s">
        <v>1711</v>
      </c>
      <c r="S28" s="13" t="s">
        <v>63</v>
      </c>
      <c r="T28" s="13" t="s">
        <v>53</v>
      </c>
      <c r="U28" s="13" t="s">
        <v>1617</v>
      </c>
      <c r="V28" s="13">
        <v>2</v>
      </c>
      <c r="W28" s="13">
        <v>3</v>
      </c>
      <c r="X28" s="13" t="s">
        <v>65</v>
      </c>
      <c r="Y28" s="13" t="s">
        <v>1712</v>
      </c>
      <c r="Z28" s="13" t="s">
        <v>1713</v>
      </c>
      <c r="AA28" s="13" t="str">
        <f t="shared" si="0"/>
        <v>OK</v>
      </c>
    </row>
    <row r="29" spans="1:27" ht="173.25">
      <c r="A29" s="8" t="s">
        <v>405</v>
      </c>
      <c r="B29" s="8" t="s">
        <v>407</v>
      </c>
      <c r="C29" s="13" t="s">
        <v>56</v>
      </c>
      <c r="D29" s="13" t="s">
        <v>1614</v>
      </c>
      <c r="E29" s="13" t="s">
        <v>57</v>
      </c>
      <c r="F29" s="13" t="s">
        <v>42</v>
      </c>
      <c r="G29" s="13" t="s">
        <v>104</v>
      </c>
      <c r="H29" s="13" t="s">
        <v>1614</v>
      </c>
      <c r="I29" s="13" t="s">
        <v>59</v>
      </c>
      <c r="J29" s="13" t="s">
        <v>1620</v>
      </c>
      <c r="K29" s="13" t="s">
        <v>113</v>
      </c>
      <c r="L29" s="13" t="s">
        <v>1614</v>
      </c>
      <c r="M29" s="13" t="s">
        <v>61</v>
      </c>
      <c r="N29" s="13" t="s">
        <v>1614</v>
      </c>
      <c r="O29" s="13" t="s">
        <v>53</v>
      </c>
      <c r="P29" s="13" t="s">
        <v>49</v>
      </c>
      <c r="Q29" s="13" t="s">
        <v>47</v>
      </c>
      <c r="R29" s="13" t="s">
        <v>1714</v>
      </c>
      <c r="S29" s="13" t="s">
        <v>63</v>
      </c>
      <c r="T29" s="13" t="s">
        <v>53</v>
      </c>
      <c r="U29" s="13" t="s">
        <v>1617</v>
      </c>
      <c r="V29" s="13">
        <v>1</v>
      </c>
      <c r="W29" s="13">
        <v>2</v>
      </c>
      <c r="X29" s="13" t="s">
        <v>50</v>
      </c>
      <c r="Y29" s="13" t="s">
        <v>1715</v>
      </c>
      <c r="Z29" s="13" t="s">
        <v>1716</v>
      </c>
      <c r="AA29" s="13" t="str">
        <f t="shared" si="0"/>
        <v>OK</v>
      </c>
    </row>
    <row r="30" spans="1:27" ht="189">
      <c r="A30" s="8" t="s">
        <v>414</v>
      </c>
      <c r="B30" s="8" t="s">
        <v>416</v>
      </c>
      <c r="C30" s="13" t="s">
        <v>56</v>
      </c>
      <c r="D30" s="13" t="s">
        <v>1614</v>
      </c>
      <c r="E30" s="13" t="s">
        <v>57</v>
      </c>
      <c r="F30" s="13" t="s">
        <v>42</v>
      </c>
      <c r="G30" s="13" t="s">
        <v>73</v>
      </c>
      <c r="H30" s="13" t="s">
        <v>1657</v>
      </c>
      <c r="I30" s="13" t="s">
        <v>59</v>
      </c>
      <c r="J30" s="13" t="s">
        <v>1620</v>
      </c>
      <c r="K30" s="13" t="s">
        <v>113</v>
      </c>
      <c r="L30" s="13" t="s">
        <v>1614</v>
      </c>
      <c r="M30" s="13" t="s">
        <v>98</v>
      </c>
      <c r="N30" s="13" t="s">
        <v>107</v>
      </c>
      <c r="O30" s="13" t="s">
        <v>1717</v>
      </c>
      <c r="P30" s="13" t="s">
        <v>49</v>
      </c>
      <c r="Q30" s="13" t="s">
        <v>99</v>
      </c>
      <c r="R30" s="13" t="s">
        <v>1718</v>
      </c>
      <c r="S30" s="13" t="s">
        <v>63</v>
      </c>
      <c r="T30" s="13" t="s">
        <v>53</v>
      </c>
      <c r="U30" s="13" t="s">
        <v>1617</v>
      </c>
      <c r="V30" s="13">
        <v>4</v>
      </c>
      <c r="W30" s="13">
        <v>5</v>
      </c>
      <c r="X30" s="13" t="s">
        <v>65</v>
      </c>
      <c r="Y30" s="13" t="s">
        <v>1719</v>
      </c>
      <c r="Z30" s="13" t="s">
        <v>1720</v>
      </c>
      <c r="AA30" s="13" t="str">
        <f t="shared" si="0"/>
        <v>OK</v>
      </c>
    </row>
    <row r="31" spans="1:27" ht="189">
      <c r="A31" s="8" t="s">
        <v>423</v>
      </c>
      <c r="B31" s="8" t="s">
        <v>425</v>
      </c>
      <c r="C31" s="13" t="s">
        <v>56</v>
      </c>
      <c r="D31" s="13" t="s">
        <v>1614</v>
      </c>
      <c r="E31" s="13" t="s">
        <v>57</v>
      </c>
      <c r="F31" s="13" t="s">
        <v>42</v>
      </c>
      <c r="G31" s="13" t="s">
        <v>104</v>
      </c>
      <c r="H31" s="13" t="s">
        <v>43</v>
      </c>
      <c r="I31" s="13" t="s">
        <v>59</v>
      </c>
      <c r="J31" s="13" t="s">
        <v>1620</v>
      </c>
      <c r="K31" s="13" t="s">
        <v>113</v>
      </c>
      <c r="L31" s="13" t="s">
        <v>45</v>
      </c>
      <c r="M31" s="13" t="s">
        <v>98</v>
      </c>
      <c r="N31" s="13" t="s">
        <v>107</v>
      </c>
      <c r="O31" s="13" t="s">
        <v>1721</v>
      </c>
      <c r="P31" s="13" t="s">
        <v>49</v>
      </c>
      <c r="Q31" s="13" t="s">
        <v>99</v>
      </c>
      <c r="R31" s="13" t="s">
        <v>1722</v>
      </c>
      <c r="S31" s="13" t="s">
        <v>63</v>
      </c>
      <c r="T31" s="13" t="s">
        <v>53</v>
      </c>
      <c r="U31" s="13" t="s">
        <v>1617</v>
      </c>
      <c r="V31" s="13">
        <v>4</v>
      </c>
      <c r="W31" s="13">
        <v>5</v>
      </c>
      <c r="X31" s="13" t="s">
        <v>50</v>
      </c>
      <c r="Y31" s="13" t="s">
        <v>1723</v>
      </c>
      <c r="Z31" s="13" t="s">
        <v>1724</v>
      </c>
      <c r="AA31" s="13" t="str">
        <f t="shared" si="0"/>
        <v>OK</v>
      </c>
    </row>
    <row r="32" spans="1:27" ht="157.5">
      <c r="A32" s="8" t="s">
        <v>432</v>
      </c>
      <c r="B32" s="8" t="s">
        <v>434</v>
      </c>
      <c r="C32" s="13" t="s">
        <v>56</v>
      </c>
      <c r="D32" s="13" t="s">
        <v>71</v>
      </c>
      <c r="E32" s="13" t="s">
        <v>42</v>
      </c>
      <c r="F32" s="13" t="s">
        <v>1614</v>
      </c>
      <c r="G32" s="13" t="s">
        <v>58</v>
      </c>
      <c r="H32" s="13" t="s">
        <v>73</v>
      </c>
      <c r="I32" s="13" t="s">
        <v>59</v>
      </c>
      <c r="J32" s="13" t="s">
        <v>74</v>
      </c>
      <c r="K32" s="13" t="s">
        <v>113</v>
      </c>
      <c r="L32" s="13" t="s">
        <v>1614</v>
      </c>
      <c r="M32" s="13" t="s">
        <v>46</v>
      </c>
      <c r="N32" s="13" t="s">
        <v>1614</v>
      </c>
      <c r="O32" s="13" t="s">
        <v>53</v>
      </c>
      <c r="P32" s="13" t="s">
        <v>49</v>
      </c>
      <c r="Q32" s="13" t="s">
        <v>47</v>
      </c>
      <c r="R32" s="13" t="s">
        <v>1725</v>
      </c>
      <c r="S32" s="13" t="s">
        <v>63</v>
      </c>
      <c r="T32" s="13" t="s">
        <v>53</v>
      </c>
      <c r="U32" s="13" t="s">
        <v>1617</v>
      </c>
      <c r="V32" s="13">
        <v>1</v>
      </c>
      <c r="W32" s="13">
        <v>2</v>
      </c>
      <c r="X32" s="13" t="s">
        <v>50</v>
      </c>
      <c r="Y32" s="13" t="s">
        <v>1726</v>
      </c>
      <c r="Z32" s="13" t="s">
        <v>1727</v>
      </c>
      <c r="AA32" s="13" t="str">
        <f t="shared" si="0"/>
        <v>OK</v>
      </c>
    </row>
    <row r="33" spans="1:27" ht="189">
      <c r="A33" s="8" t="s">
        <v>442</v>
      </c>
      <c r="B33" s="8" t="s">
        <v>444</v>
      </c>
      <c r="C33" s="13" t="s">
        <v>56</v>
      </c>
      <c r="D33" s="13" t="s">
        <v>1614</v>
      </c>
      <c r="E33" s="13" t="s">
        <v>57</v>
      </c>
      <c r="F33" s="13" t="s">
        <v>42</v>
      </c>
      <c r="G33" s="13" t="s">
        <v>104</v>
      </c>
      <c r="H33" s="13" t="s">
        <v>85</v>
      </c>
      <c r="I33" s="13" t="s">
        <v>59</v>
      </c>
      <c r="J33" s="13" t="s">
        <v>1620</v>
      </c>
      <c r="K33" s="13" t="s">
        <v>113</v>
      </c>
      <c r="L33" s="13" t="s">
        <v>45</v>
      </c>
      <c r="M33" s="13" t="s">
        <v>98</v>
      </c>
      <c r="N33" s="13" t="s">
        <v>107</v>
      </c>
      <c r="O33" s="13" t="s">
        <v>1717</v>
      </c>
      <c r="P33" s="13" t="s">
        <v>49</v>
      </c>
      <c r="Q33" s="13" t="s">
        <v>99</v>
      </c>
      <c r="R33" s="13" t="s">
        <v>1728</v>
      </c>
      <c r="S33" s="13" t="s">
        <v>63</v>
      </c>
      <c r="T33" s="13" t="s">
        <v>53</v>
      </c>
      <c r="U33" s="13" t="s">
        <v>1617</v>
      </c>
      <c r="V33" s="13">
        <v>4</v>
      </c>
      <c r="W33" s="13">
        <v>5</v>
      </c>
      <c r="X33" s="13" t="s">
        <v>50</v>
      </c>
      <c r="Y33" s="13" t="s">
        <v>1729</v>
      </c>
      <c r="Z33" s="13" t="s">
        <v>1730</v>
      </c>
      <c r="AA33" s="13" t="str">
        <f t="shared" si="0"/>
        <v>OK</v>
      </c>
    </row>
    <row r="34" spans="1:27" ht="47.25">
      <c r="A34" s="8" t="s">
        <v>451</v>
      </c>
      <c r="B34" s="8" t="s">
        <v>453</v>
      </c>
      <c r="C34" s="13" t="s">
        <v>78</v>
      </c>
      <c r="D34" s="13" t="s">
        <v>1614</v>
      </c>
      <c r="E34" s="13" t="s">
        <v>78</v>
      </c>
      <c r="F34" s="13" t="s">
        <v>1614</v>
      </c>
      <c r="G34" s="13" t="s">
        <v>78</v>
      </c>
      <c r="H34" s="13" t="s">
        <v>1614</v>
      </c>
      <c r="I34" s="13" t="s">
        <v>78</v>
      </c>
      <c r="J34" s="13" t="s">
        <v>1614</v>
      </c>
      <c r="K34" s="13" t="s">
        <v>78</v>
      </c>
      <c r="L34" s="13" t="s">
        <v>1614</v>
      </c>
      <c r="M34" s="13" t="s">
        <v>78</v>
      </c>
      <c r="N34" s="13" t="s">
        <v>1614</v>
      </c>
      <c r="O34" s="13" t="s">
        <v>78</v>
      </c>
      <c r="P34" s="13" t="s">
        <v>78</v>
      </c>
      <c r="Q34" s="13" t="s">
        <v>78</v>
      </c>
      <c r="R34" s="13" t="s">
        <v>1731</v>
      </c>
      <c r="S34" s="13" t="s">
        <v>78</v>
      </c>
      <c r="T34" s="13" t="s">
        <v>78</v>
      </c>
      <c r="U34" s="13" t="s">
        <v>1732</v>
      </c>
      <c r="V34" s="13" t="s">
        <v>78</v>
      </c>
      <c r="W34" s="13" t="s">
        <v>78</v>
      </c>
      <c r="X34" s="13" t="s">
        <v>78</v>
      </c>
      <c r="Y34" s="13" t="s">
        <v>1733</v>
      </c>
      <c r="Z34" s="13" t="s">
        <v>1734</v>
      </c>
      <c r="AA34" s="13" t="str">
        <f t="shared" si="0"/>
        <v>OK</v>
      </c>
    </row>
    <row r="35" spans="1:27" ht="173.25">
      <c r="A35" s="8" t="s">
        <v>462</v>
      </c>
      <c r="B35" s="8" t="s">
        <v>464</v>
      </c>
      <c r="C35" s="13" t="s">
        <v>56</v>
      </c>
      <c r="D35" s="13" t="s">
        <v>83</v>
      </c>
      <c r="E35" s="13" t="s">
        <v>57</v>
      </c>
      <c r="F35" s="13" t="s">
        <v>42</v>
      </c>
      <c r="G35" s="13" t="s">
        <v>73</v>
      </c>
      <c r="H35" s="13" t="s">
        <v>1657</v>
      </c>
      <c r="I35" s="13" t="s">
        <v>59</v>
      </c>
      <c r="J35" s="13" t="s">
        <v>1620</v>
      </c>
      <c r="K35" s="13" t="s">
        <v>113</v>
      </c>
      <c r="L35" s="13" t="s">
        <v>45</v>
      </c>
      <c r="M35" s="13" t="s">
        <v>98</v>
      </c>
      <c r="N35" s="13" t="s">
        <v>107</v>
      </c>
      <c r="O35" s="13" t="s">
        <v>1735</v>
      </c>
      <c r="P35" s="13" t="s">
        <v>49</v>
      </c>
      <c r="Q35" s="13" t="s">
        <v>99</v>
      </c>
      <c r="R35" s="13" t="s">
        <v>1736</v>
      </c>
      <c r="S35" s="13" t="s">
        <v>63</v>
      </c>
      <c r="T35" s="13" t="s">
        <v>53</v>
      </c>
      <c r="U35" s="13" t="s">
        <v>1617</v>
      </c>
      <c r="V35" s="13">
        <v>4</v>
      </c>
      <c r="W35" s="13">
        <v>5</v>
      </c>
      <c r="X35" s="13" t="s">
        <v>65</v>
      </c>
      <c r="Y35" s="13" t="s">
        <v>1737</v>
      </c>
      <c r="Z35" s="13" t="s">
        <v>1738</v>
      </c>
      <c r="AA35" s="13" t="str">
        <f t="shared" si="0"/>
        <v>OK</v>
      </c>
    </row>
    <row r="36" spans="1:27" ht="47.25">
      <c r="A36" s="8" t="s">
        <v>470</v>
      </c>
      <c r="B36" s="8" t="s">
        <v>472</v>
      </c>
      <c r="C36" s="13" t="s">
        <v>78</v>
      </c>
      <c r="D36" s="13" t="s">
        <v>1614</v>
      </c>
      <c r="E36" s="13" t="s">
        <v>78</v>
      </c>
      <c r="F36" s="13" t="s">
        <v>1614</v>
      </c>
      <c r="G36" s="13" t="s">
        <v>78</v>
      </c>
      <c r="H36" s="13" t="s">
        <v>1614</v>
      </c>
      <c r="I36" s="13" t="s">
        <v>78</v>
      </c>
      <c r="J36" s="13" t="s">
        <v>1614</v>
      </c>
      <c r="K36" s="13" t="s">
        <v>78</v>
      </c>
      <c r="L36" s="13" t="s">
        <v>1614</v>
      </c>
      <c r="M36" s="13" t="s">
        <v>78</v>
      </c>
      <c r="N36" s="13" t="s">
        <v>1614</v>
      </c>
      <c r="O36" s="13" t="s">
        <v>78</v>
      </c>
      <c r="P36" s="13" t="s">
        <v>78</v>
      </c>
      <c r="Q36" s="13" t="s">
        <v>78</v>
      </c>
      <c r="R36" s="13" t="s">
        <v>1739</v>
      </c>
      <c r="S36" s="13" t="s">
        <v>78</v>
      </c>
      <c r="T36" s="13" t="s">
        <v>78</v>
      </c>
      <c r="U36" s="13" t="s">
        <v>1740</v>
      </c>
      <c r="V36" s="13" t="s">
        <v>78</v>
      </c>
      <c r="W36" s="13" t="s">
        <v>78</v>
      </c>
      <c r="X36" s="13" t="s">
        <v>78</v>
      </c>
      <c r="Y36" s="13" t="s">
        <v>1741</v>
      </c>
      <c r="Z36" s="13" t="s">
        <v>1742</v>
      </c>
      <c r="AA36" s="13" t="str">
        <f t="shared" si="0"/>
        <v>OK</v>
      </c>
    </row>
    <row r="37" spans="1:27" ht="173.25">
      <c r="A37" s="8" t="s">
        <v>480</v>
      </c>
      <c r="B37" s="8" t="s">
        <v>482</v>
      </c>
      <c r="C37" s="13" t="s">
        <v>56</v>
      </c>
      <c r="D37" s="13" t="s">
        <v>1614</v>
      </c>
      <c r="E37" s="13" t="s">
        <v>57</v>
      </c>
      <c r="F37" s="13" t="s">
        <v>42</v>
      </c>
      <c r="G37" s="13" t="s">
        <v>58</v>
      </c>
      <c r="H37" s="13" t="s">
        <v>1657</v>
      </c>
      <c r="I37" s="13" t="s">
        <v>59</v>
      </c>
      <c r="J37" s="13" t="s">
        <v>1620</v>
      </c>
      <c r="K37" s="13" t="s">
        <v>113</v>
      </c>
      <c r="L37" s="13" t="s">
        <v>1743</v>
      </c>
      <c r="M37" s="13" t="s">
        <v>98</v>
      </c>
      <c r="N37" s="13" t="s">
        <v>107</v>
      </c>
      <c r="O37" s="13" t="s">
        <v>1744</v>
      </c>
      <c r="P37" s="13" t="s">
        <v>49</v>
      </c>
      <c r="Q37" s="13" t="s">
        <v>99</v>
      </c>
      <c r="R37" s="13" t="s">
        <v>1745</v>
      </c>
      <c r="S37" s="13" t="s">
        <v>63</v>
      </c>
      <c r="T37" s="13" t="s">
        <v>53</v>
      </c>
      <c r="U37" s="13" t="s">
        <v>1617</v>
      </c>
      <c r="V37" s="13">
        <v>4</v>
      </c>
      <c r="W37" s="13">
        <v>5</v>
      </c>
      <c r="X37" s="13" t="s">
        <v>65</v>
      </c>
      <c r="Y37" s="13" t="s">
        <v>1746</v>
      </c>
      <c r="Z37" s="13" t="s">
        <v>1747</v>
      </c>
      <c r="AA37" s="13" t="str">
        <f t="shared" si="0"/>
        <v>OK</v>
      </c>
    </row>
    <row r="38" spans="1:27" ht="173.25">
      <c r="A38" s="8" t="s">
        <v>489</v>
      </c>
      <c r="B38" s="8" t="s">
        <v>491</v>
      </c>
      <c r="C38" s="13" t="s">
        <v>56</v>
      </c>
      <c r="D38" s="13" t="s">
        <v>1614</v>
      </c>
      <c r="E38" s="13" t="s">
        <v>57</v>
      </c>
      <c r="F38" s="13" t="s">
        <v>42</v>
      </c>
      <c r="G38" s="13" t="s">
        <v>73</v>
      </c>
      <c r="H38" s="13" t="s">
        <v>1748</v>
      </c>
      <c r="I38" s="13" t="s">
        <v>59</v>
      </c>
      <c r="J38" s="13" t="s">
        <v>1620</v>
      </c>
      <c r="K38" s="13" t="s">
        <v>113</v>
      </c>
      <c r="L38" s="13" t="s">
        <v>75</v>
      </c>
      <c r="M38" s="13" t="s">
        <v>107</v>
      </c>
      <c r="N38" s="13" t="s">
        <v>98</v>
      </c>
      <c r="O38" s="13" t="s">
        <v>1749</v>
      </c>
      <c r="P38" s="13" t="s">
        <v>49</v>
      </c>
      <c r="Q38" s="13" t="s">
        <v>99</v>
      </c>
      <c r="R38" s="13" t="s">
        <v>1750</v>
      </c>
      <c r="S38" s="13" t="s">
        <v>63</v>
      </c>
      <c r="T38" s="13" t="s">
        <v>53</v>
      </c>
      <c r="U38" s="13" t="s">
        <v>1617</v>
      </c>
      <c r="V38" s="13">
        <v>4</v>
      </c>
      <c r="W38" s="13">
        <v>5</v>
      </c>
      <c r="X38" s="13" t="s">
        <v>65</v>
      </c>
      <c r="Y38" s="13" t="s">
        <v>1751</v>
      </c>
      <c r="Z38" s="13" t="s">
        <v>1752</v>
      </c>
      <c r="AA38" s="13" t="str">
        <f t="shared" si="0"/>
        <v>OK</v>
      </c>
    </row>
    <row r="39" spans="1:27" ht="173.25">
      <c r="A39" s="8" t="s">
        <v>497</v>
      </c>
      <c r="B39" s="8" t="s">
        <v>499</v>
      </c>
      <c r="C39" s="13" t="s">
        <v>56</v>
      </c>
      <c r="D39" s="13" t="s">
        <v>1614</v>
      </c>
      <c r="E39" s="13" t="s">
        <v>57</v>
      </c>
      <c r="F39" s="13" t="s">
        <v>42</v>
      </c>
      <c r="G39" s="13" t="s">
        <v>58</v>
      </c>
      <c r="H39" s="13" t="s">
        <v>1699</v>
      </c>
      <c r="I39" s="13" t="s">
        <v>59</v>
      </c>
      <c r="J39" s="13" t="s">
        <v>1620</v>
      </c>
      <c r="K39" s="13" t="s">
        <v>113</v>
      </c>
      <c r="L39" s="13" t="s">
        <v>75</v>
      </c>
      <c r="M39" s="13" t="s">
        <v>98</v>
      </c>
      <c r="N39" s="13" t="s">
        <v>107</v>
      </c>
      <c r="O39" s="13" t="s">
        <v>1753</v>
      </c>
      <c r="P39" s="13" t="s">
        <v>49</v>
      </c>
      <c r="Q39" s="13" t="s">
        <v>99</v>
      </c>
      <c r="R39" s="13" t="s">
        <v>1754</v>
      </c>
      <c r="S39" s="13" t="s">
        <v>63</v>
      </c>
      <c r="T39" s="13" t="s">
        <v>53</v>
      </c>
      <c r="U39" s="13" t="s">
        <v>1617</v>
      </c>
      <c r="V39" s="13">
        <v>4</v>
      </c>
      <c r="W39" s="13">
        <v>5</v>
      </c>
      <c r="X39" s="13" t="s">
        <v>50</v>
      </c>
      <c r="Y39" s="13" t="s">
        <v>1755</v>
      </c>
      <c r="Z39" s="13" t="s">
        <v>1756</v>
      </c>
      <c r="AA39" s="13" t="str">
        <f t="shared" si="0"/>
        <v>OK</v>
      </c>
    </row>
    <row r="40" spans="1:27" ht="189">
      <c r="A40" s="8" t="s">
        <v>505</v>
      </c>
      <c r="B40" s="8" t="s">
        <v>507</v>
      </c>
      <c r="C40" s="13" t="s">
        <v>56</v>
      </c>
      <c r="D40" s="13" t="s">
        <v>1614</v>
      </c>
      <c r="E40" s="13" t="s">
        <v>57</v>
      </c>
      <c r="F40" s="13" t="s">
        <v>42</v>
      </c>
      <c r="G40" s="13" t="s">
        <v>104</v>
      </c>
      <c r="H40" s="13" t="s">
        <v>43</v>
      </c>
      <c r="I40" s="13" t="s">
        <v>59</v>
      </c>
      <c r="J40" s="13" t="s">
        <v>1620</v>
      </c>
      <c r="K40" s="13" t="s">
        <v>113</v>
      </c>
      <c r="L40" s="13" t="s">
        <v>1757</v>
      </c>
      <c r="M40" s="13" t="s">
        <v>98</v>
      </c>
      <c r="N40" s="13" t="s">
        <v>107</v>
      </c>
      <c r="O40" s="13" t="s">
        <v>1758</v>
      </c>
      <c r="P40" s="13" t="s">
        <v>49</v>
      </c>
      <c r="Q40" s="13" t="s">
        <v>99</v>
      </c>
      <c r="R40" s="13" t="s">
        <v>1759</v>
      </c>
      <c r="S40" s="13" t="s">
        <v>63</v>
      </c>
      <c r="T40" s="13" t="s">
        <v>53</v>
      </c>
      <c r="U40" s="13" t="s">
        <v>1617</v>
      </c>
      <c r="V40" s="13">
        <v>4</v>
      </c>
      <c r="W40" s="13">
        <v>5</v>
      </c>
      <c r="X40" s="13" t="s">
        <v>50</v>
      </c>
      <c r="Y40" s="13" t="s">
        <v>1760</v>
      </c>
      <c r="Z40" s="13" t="s">
        <v>1761</v>
      </c>
      <c r="AA40" s="13" t="str">
        <f t="shared" si="0"/>
        <v>OK</v>
      </c>
    </row>
    <row r="41" spans="1:27" ht="173.25">
      <c r="A41" s="8" t="s">
        <v>514</v>
      </c>
      <c r="B41" s="8" t="s">
        <v>516</v>
      </c>
      <c r="C41" s="13" t="s">
        <v>56</v>
      </c>
      <c r="D41" s="13" t="s">
        <v>1614</v>
      </c>
      <c r="E41" s="13" t="s">
        <v>57</v>
      </c>
      <c r="F41" s="13" t="s">
        <v>42</v>
      </c>
      <c r="G41" s="13" t="s">
        <v>85</v>
      </c>
      <c r="H41" s="13" t="s">
        <v>1748</v>
      </c>
      <c r="I41" s="13" t="s">
        <v>59</v>
      </c>
      <c r="J41" s="13" t="s">
        <v>1620</v>
      </c>
      <c r="K41" s="13" t="s">
        <v>113</v>
      </c>
      <c r="L41" s="13" t="s">
        <v>145</v>
      </c>
      <c r="M41" s="13" t="s">
        <v>98</v>
      </c>
      <c r="N41" s="13" t="s">
        <v>107</v>
      </c>
      <c r="O41" s="13" t="s">
        <v>1762</v>
      </c>
      <c r="P41" s="13" t="s">
        <v>49</v>
      </c>
      <c r="Q41" s="13" t="s">
        <v>99</v>
      </c>
      <c r="R41" s="13" t="s">
        <v>1763</v>
      </c>
      <c r="S41" s="13" t="s">
        <v>63</v>
      </c>
      <c r="T41" s="13" t="s">
        <v>53</v>
      </c>
      <c r="U41" s="13" t="s">
        <v>1617</v>
      </c>
      <c r="V41" s="13">
        <v>4</v>
      </c>
      <c r="W41" s="13">
        <v>5</v>
      </c>
      <c r="X41" s="13" t="s">
        <v>65</v>
      </c>
      <c r="Y41" s="13" t="s">
        <v>1764</v>
      </c>
      <c r="Z41" s="13" t="s">
        <v>1765</v>
      </c>
      <c r="AA41" s="13" t="str">
        <f t="shared" si="0"/>
        <v>OK</v>
      </c>
    </row>
    <row r="42" spans="1:27" ht="189">
      <c r="A42" s="8" t="s">
        <v>523</v>
      </c>
      <c r="B42" s="8" t="s">
        <v>525</v>
      </c>
      <c r="C42" s="13" t="s">
        <v>56</v>
      </c>
      <c r="D42" s="13" t="s">
        <v>1614</v>
      </c>
      <c r="E42" s="13" t="s">
        <v>57</v>
      </c>
      <c r="F42" s="13" t="s">
        <v>42</v>
      </c>
      <c r="G42" s="13" t="s">
        <v>85</v>
      </c>
      <c r="H42" s="13" t="s">
        <v>1766</v>
      </c>
      <c r="I42" s="13" t="s">
        <v>59</v>
      </c>
      <c r="J42" s="13" t="s">
        <v>1620</v>
      </c>
      <c r="K42" s="13" t="s">
        <v>113</v>
      </c>
      <c r="L42" s="13" t="s">
        <v>1743</v>
      </c>
      <c r="M42" s="13" t="s">
        <v>98</v>
      </c>
      <c r="N42" s="13" t="s">
        <v>107</v>
      </c>
      <c r="O42" s="13" t="s">
        <v>1767</v>
      </c>
      <c r="P42" s="13" t="s">
        <v>49</v>
      </c>
      <c r="Q42" s="13" t="s">
        <v>99</v>
      </c>
      <c r="R42" s="13" t="s">
        <v>1768</v>
      </c>
      <c r="S42" s="13" t="s">
        <v>63</v>
      </c>
      <c r="T42" s="13" t="s">
        <v>53</v>
      </c>
      <c r="U42" s="13" t="s">
        <v>1617</v>
      </c>
      <c r="V42" s="13">
        <v>4</v>
      </c>
      <c r="W42" s="13">
        <v>5</v>
      </c>
      <c r="X42" s="13" t="s">
        <v>65</v>
      </c>
      <c r="Y42" s="13" t="s">
        <v>1769</v>
      </c>
      <c r="Z42" s="13" t="s">
        <v>1770</v>
      </c>
      <c r="AA42" s="13" t="str">
        <f t="shared" si="0"/>
        <v>OK</v>
      </c>
    </row>
    <row r="43" spans="1:27" ht="47.25">
      <c r="A43" s="8" t="s">
        <v>532</v>
      </c>
      <c r="B43" s="8" t="s">
        <v>534</v>
      </c>
      <c r="C43" s="13" t="s">
        <v>78</v>
      </c>
      <c r="D43" s="13" t="s">
        <v>1614</v>
      </c>
      <c r="E43" s="13" t="s">
        <v>78</v>
      </c>
      <c r="F43" s="13" t="s">
        <v>1614</v>
      </c>
      <c r="G43" s="13" t="s">
        <v>78</v>
      </c>
      <c r="H43" s="13" t="s">
        <v>1614</v>
      </c>
      <c r="I43" s="13" t="s">
        <v>78</v>
      </c>
      <c r="J43" s="13" t="s">
        <v>1614</v>
      </c>
      <c r="K43" s="13" t="s">
        <v>78</v>
      </c>
      <c r="L43" s="13" t="s">
        <v>1614</v>
      </c>
      <c r="M43" s="13" t="s">
        <v>78</v>
      </c>
      <c r="N43" s="13" t="s">
        <v>1614</v>
      </c>
      <c r="O43" s="13" t="s">
        <v>78</v>
      </c>
      <c r="P43" s="13" t="s">
        <v>78</v>
      </c>
      <c r="Q43" s="13" t="s">
        <v>78</v>
      </c>
      <c r="R43" s="13" t="s">
        <v>1771</v>
      </c>
      <c r="S43" s="13" t="s">
        <v>78</v>
      </c>
      <c r="T43" s="13" t="s">
        <v>78</v>
      </c>
      <c r="U43" s="13" t="s">
        <v>1772</v>
      </c>
      <c r="V43" s="13" t="s">
        <v>78</v>
      </c>
      <c r="W43" s="13" t="s">
        <v>78</v>
      </c>
      <c r="X43" s="13" t="s">
        <v>78</v>
      </c>
      <c r="Y43" s="13" t="s">
        <v>1773</v>
      </c>
      <c r="Z43" s="13" t="s">
        <v>1774</v>
      </c>
      <c r="AA43" s="13" t="str">
        <f t="shared" si="0"/>
        <v>OK</v>
      </c>
    </row>
    <row r="44" spans="1:27" ht="173.25">
      <c r="A44" s="8" t="s">
        <v>541</v>
      </c>
      <c r="B44" s="8" t="s">
        <v>543</v>
      </c>
      <c r="C44" s="13" t="s">
        <v>56</v>
      </c>
      <c r="D44" s="13" t="s">
        <v>1614</v>
      </c>
      <c r="E44" s="13" t="s">
        <v>57</v>
      </c>
      <c r="F44" s="13" t="s">
        <v>42</v>
      </c>
      <c r="G44" s="13" t="s">
        <v>43</v>
      </c>
      <c r="H44" s="13" t="s">
        <v>104</v>
      </c>
      <c r="I44" s="13" t="s">
        <v>59</v>
      </c>
      <c r="J44" s="13" t="s">
        <v>1620</v>
      </c>
      <c r="K44" s="13" t="s">
        <v>113</v>
      </c>
      <c r="L44" s="13" t="s">
        <v>75</v>
      </c>
      <c r="M44" s="13" t="s">
        <v>98</v>
      </c>
      <c r="N44" s="13" t="s">
        <v>107</v>
      </c>
      <c r="O44" s="13" t="s">
        <v>1775</v>
      </c>
      <c r="P44" s="13" t="s">
        <v>49</v>
      </c>
      <c r="Q44" s="13" t="s">
        <v>99</v>
      </c>
      <c r="R44" s="13" t="s">
        <v>1776</v>
      </c>
      <c r="S44" s="13" t="s">
        <v>63</v>
      </c>
      <c r="T44" s="13" t="s">
        <v>53</v>
      </c>
      <c r="U44" s="13" t="s">
        <v>1617</v>
      </c>
      <c r="V44" s="13">
        <v>4</v>
      </c>
      <c r="W44" s="13">
        <v>5</v>
      </c>
      <c r="X44" s="13" t="s">
        <v>50</v>
      </c>
      <c r="Y44" s="13" t="s">
        <v>1777</v>
      </c>
      <c r="Z44" s="13" t="s">
        <v>1778</v>
      </c>
      <c r="AA44" s="13" t="str">
        <f t="shared" si="0"/>
        <v>OK</v>
      </c>
    </row>
    <row r="45" spans="1:27" ht="78.75">
      <c r="A45" s="8" t="s">
        <v>550</v>
      </c>
      <c r="B45" s="8" t="s">
        <v>552</v>
      </c>
      <c r="C45" s="13" t="s">
        <v>71</v>
      </c>
      <c r="D45" s="13" t="s">
        <v>1614</v>
      </c>
      <c r="E45" s="13" t="s">
        <v>72</v>
      </c>
      <c r="F45" s="13" t="s">
        <v>1614</v>
      </c>
      <c r="G45" s="13" t="s">
        <v>140</v>
      </c>
      <c r="H45" s="13" t="s">
        <v>130</v>
      </c>
      <c r="I45" s="13" t="s">
        <v>44</v>
      </c>
      <c r="J45" s="13" t="s">
        <v>1779</v>
      </c>
      <c r="K45" s="13" t="s">
        <v>78</v>
      </c>
      <c r="L45" s="13" t="s">
        <v>1614</v>
      </c>
      <c r="M45" s="13" t="s">
        <v>114</v>
      </c>
      <c r="N45" s="13" t="s">
        <v>1614</v>
      </c>
      <c r="O45" s="13" t="s">
        <v>53</v>
      </c>
      <c r="P45" s="13" t="s">
        <v>64</v>
      </c>
      <c r="Q45" s="13" t="s">
        <v>68</v>
      </c>
      <c r="R45" s="13" t="s">
        <v>1780</v>
      </c>
      <c r="S45" s="13" t="s">
        <v>63</v>
      </c>
      <c r="T45" s="13" t="s">
        <v>53</v>
      </c>
      <c r="U45" s="13" t="s">
        <v>1617</v>
      </c>
      <c r="V45" s="13" t="s">
        <v>68</v>
      </c>
      <c r="W45" s="13" t="s">
        <v>68</v>
      </c>
      <c r="X45" s="13" t="s">
        <v>68</v>
      </c>
      <c r="Y45" s="13" t="s">
        <v>1781</v>
      </c>
      <c r="Z45" s="13" t="s">
        <v>1782</v>
      </c>
      <c r="AA45" s="13" t="str">
        <f t="shared" si="0"/>
        <v>OK</v>
      </c>
    </row>
    <row r="46" spans="1:27" ht="78.75">
      <c r="A46" s="8" t="s">
        <v>560</v>
      </c>
      <c r="B46" s="8" t="s">
        <v>562</v>
      </c>
      <c r="C46" s="13" t="s">
        <v>71</v>
      </c>
      <c r="D46" s="13" t="s">
        <v>1614</v>
      </c>
      <c r="E46" s="13" t="s">
        <v>72</v>
      </c>
      <c r="F46" s="13" t="s">
        <v>1614</v>
      </c>
      <c r="G46" s="13" t="s">
        <v>140</v>
      </c>
      <c r="H46" s="13" t="s">
        <v>1614</v>
      </c>
      <c r="I46" s="13" t="s">
        <v>44</v>
      </c>
      <c r="J46" s="13" t="s">
        <v>74</v>
      </c>
      <c r="K46" s="13" t="s">
        <v>78</v>
      </c>
      <c r="L46" s="13" t="s">
        <v>1614</v>
      </c>
      <c r="M46" s="13" t="s">
        <v>121</v>
      </c>
      <c r="N46" s="13" t="s">
        <v>1614</v>
      </c>
      <c r="O46" s="13" t="s">
        <v>160</v>
      </c>
      <c r="P46" s="13" t="s">
        <v>64</v>
      </c>
      <c r="Q46" s="13" t="s">
        <v>68</v>
      </c>
      <c r="R46" s="13" t="s">
        <v>1783</v>
      </c>
      <c r="S46" s="13" t="s">
        <v>63</v>
      </c>
      <c r="T46" s="13" t="s">
        <v>53</v>
      </c>
      <c r="U46" s="13" t="s">
        <v>1617</v>
      </c>
      <c r="V46" s="13" t="s">
        <v>68</v>
      </c>
      <c r="W46" s="13" t="s">
        <v>68</v>
      </c>
      <c r="X46" s="13" t="s">
        <v>68</v>
      </c>
      <c r="Y46" s="13" t="s">
        <v>1781</v>
      </c>
      <c r="Z46" s="13" t="s">
        <v>1784</v>
      </c>
      <c r="AA46" s="13" t="str">
        <f t="shared" si="0"/>
        <v>OK</v>
      </c>
    </row>
    <row r="47" spans="1:27" ht="173.25">
      <c r="A47" s="8" t="s">
        <v>569</v>
      </c>
      <c r="B47" s="8" t="s">
        <v>571</v>
      </c>
      <c r="C47" s="13" t="s">
        <v>71</v>
      </c>
      <c r="D47" s="13" t="s">
        <v>1614</v>
      </c>
      <c r="E47" s="13" t="s">
        <v>72</v>
      </c>
      <c r="F47" s="13" t="s">
        <v>42</v>
      </c>
      <c r="G47" s="13" t="s">
        <v>130</v>
      </c>
      <c r="H47" s="13" t="s">
        <v>58</v>
      </c>
      <c r="I47" s="13" t="s">
        <v>44</v>
      </c>
      <c r="J47" s="13" t="s">
        <v>1785</v>
      </c>
      <c r="K47" s="13" t="s">
        <v>45</v>
      </c>
      <c r="L47" s="13" t="s">
        <v>1614</v>
      </c>
      <c r="M47" s="13" t="s">
        <v>127</v>
      </c>
      <c r="N47" s="13" t="s">
        <v>1786</v>
      </c>
      <c r="O47" s="13" t="s">
        <v>1787</v>
      </c>
      <c r="P47" s="13" t="s">
        <v>49</v>
      </c>
      <c r="Q47" s="13" t="s">
        <v>108</v>
      </c>
      <c r="R47" s="13" t="s">
        <v>1788</v>
      </c>
      <c r="S47" s="13" t="s">
        <v>63</v>
      </c>
      <c r="T47" s="13" t="s">
        <v>53</v>
      </c>
      <c r="U47" s="13" t="s">
        <v>1617</v>
      </c>
      <c r="V47" s="13">
        <v>5</v>
      </c>
      <c r="W47" s="13">
        <v>6</v>
      </c>
      <c r="X47" s="13" t="s">
        <v>50</v>
      </c>
      <c r="Y47" s="13" t="s">
        <v>1789</v>
      </c>
      <c r="Z47" s="13" t="s">
        <v>1790</v>
      </c>
      <c r="AA47" s="13" t="str">
        <f t="shared" si="0"/>
        <v>OK</v>
      </c>
    </row>
    <row r="48" spans="1:27" ht="189">
      <c r="A48" s="8" t="s">
        <v>578</v>
      </c>
      <c r="B48" s="8" t="s">
        <v>580</v>
      </c>
      <c r="C48" s="13" t="s">
        <v>71</v>
      </c>
      <c r="D48" s="13" t="s">
        <v>1614</v>
      </c>
      <c r="E48" s="13" t="s">
        <v>72</v>
      </c>
      <c r="F48" s="13" t="s">
        <v>42</v>
      </c>
      <c r="G48" s="13" t="s">
        <v>111</v>
      </c>
      <c r="H48" s="13" t="s">
        <v>73</v>
      </c>
      <c r="I48" s="13" t="s">
        <v>74</v>
      </c>
      <c r="J48" s="13" t="s">
        <v>96</v>
      </c>
      <c r="K48" s="13" t="s">
        <v>75</v>
      </c>
      <c r="L48" s="13" t="s">
        <v>1614</v>
      </c>
      <c r="M48" s="13" t="s">
        <v>132</v>
      </c>
      <c r="N48" s="13" t="s">
        <v>1614</v>
      </c>
      <c r="O48" s="13" t="s">
        <v>53</v>
      </c>
      <c r="P48" s="13" t="s">
        <v>49</v>
      </c>
      <c r="Q48" s="13" t="s">
        <v>115</v>
      </c>
      <c r="R48" s="13" t="s">
        <v>1791</v>
      </c>
      <c r="S48" s="13" t="s">
        <v>63</v>
      </c>
      <c r="T48" s="13" t="s">
        <v>53</v>
      </c>
      <c r="U48" s="13" t="s">
        <v>1617</v>
      </c>
      <c r="V48" s="13">
        <v>7</v>
      </c>
      <c r="W48" s="13">
        <v>8</v>
      </c>
      <c r="X48" s="13" t="s">
        <v>65</v>
      </c>
      <c r="Y48" s="13" t="s">
        <v>1792</v>
      </c>
      <c r="Z48" s="13" t="s">
        <v>1793</v>
      </c>
      <c r="AA48" s="13" t="str">
        <f t="shared" si="0"/>
        <v>OK</v>
      </c>
    </row>
    <row r="49" spans="1:27" ht="173.25">
      <c r="A49" s="8" t="s">
        <v>586</v>
      </c>
      <c r="B49" s="8" t="s">
        <v>588</v>
      </c>
      <c r="C49" s="13" t="s">
        <v>71</v>
      </c>
      <c r="D49" s="13" t="s">
        <v>83</v>
      </c>
      <c r="E49" s="13" t="s">
        <v>94</v>
      </c>
      <c r="F49" s="13" t="s">
        <v>1614</v>
      </c>
      <c r="G49" s="13" t="s">
        <v>58</v>
      </c>
      <c r="H49" s="13" t="s">
        <v>1614</v>
      </c>
      <c r="I49" s="13" t="s">
        <v>86</v>
      </c>
      <c r="J49" s="13" t="s">
        <v>1794</v>
      </c>
      <c r="K49" s="13" t="s">
        <v>78</v>
      </c>
      <c r="L49" s="13" t="s">
        <v>1614</v>
      </c>
      <c r="M49" s="13" t="s">
        <v>46</v>
      </c>
      <c r="N49" s="13" t="s">
        <v>1614</v>
      </c>
      <c r="O49" s="13" t="s">
        <v>53</v>
      </c>
      <c r="P49" s="13" t="s">
        <v>49</v>
      </c>
      <c r="Q49" s="13" t="s">
        <v>47</v>
      </c>
      <c r="R49" s="13" t="s">
        <v>1795</v>
      </c>
      <c r="S49" s="13" t="s">
        <v>63</v>
      </c>
      <c r="T49" s="13" t="s">
        <v>53</v>
      </c>
      <c r="U49" s="13" t="s">
        <v>1617</v>
      </c>
      <c r="V49" s="13">
        <v>1</v>
      </c>
      <c r="W49" s="13">
        <v>2</v>
      </c>
      <c r="X49" s="13" t="s">
        <v>50</v>
      </c>
      <c r="Y49" s="13" t="s">
        <v>1796</v>
      </c>
      <c r="Z49" s="13" t="s">
        <v>1410</v>
      </c>
      <c r="AA49" s="13" t="str">
        <f t="shared" si="0"/>
        <v>OK</v>
      </c>
    </row>
    <row r="50" spans="1:27" ht="173.25">
      <c r="A50" s="8" t="s">
        <v>595</v>
      </c>
      <c r="B50" s="8" t="s">
        <v>597</v>
      </c>
      <c r="C50" s="13" t="s">
        <v>71</v>
      </c>
      <c r="D50" s="13" t="s">
        <v>1614</v>
      </c>
      <c r="E50" s="13" t="s">
        <v>42</v>
      </c>
      <c r="F50" s="13" t="s">
        <v>1614</v>
      </c>
      <c r="G50" s="13" t="s">
        <v>85</v>
      </c>
      <c r="H50" s="13" t="s">
        <v>1614</v>
      </c>
      <c r="I50" s="13" t="s">
        <v>59</v>
      </c>
      <c r="J50" s="13" t="s">
        <v>1797</v>
      </c>
      <c r="K50" s="13" t="s">
        <v>78</v>
      </c>
      <c r="L50" s="13" t="s">
        <v>1614</v>
      </c>
      <c r="M50" s="13" t="s">
        <v>61</v>
      </c>
      <c r="N50" s="13" t="s">
        <v>1614</v>
      </c>
      <c r="O50" s="13" t="s">
        <v>53</v>
      </c>
      <c r="P50" s="13" t="s">
        <v>49</v>
      </c>
      <c r="Q50" s="13" t="s">
        <v>62</v>
      </c>
      <c r="R50" s="13" t="s">
        <v>1798</v>
      </c>
      <c r="S50" s="13" t="s">
        <v>63</v>
      </c>
      <c r="T50" s="13" t="s">
        <v>53</v>
      </c>
      <c r="U50" s="13" t="s">
        <v>1617</v>
      </c>
      <c r="V50" s="13">
        <v>2</v>
      </c>
      <c r="W50" s="13">
        <v>3</v>
      </c>
      <c r="X50" s="13" t="s">
        <v>65</v>
      </c>
      <c r="Y50" s="13" t="s">
        <v>1799</v>
      </c>
      <c r="Z50" s="13" t="s">
        <v>1800</v>
      </c>
      <c r="AA50" s="13" t="str">
        <f t="shared" si="0"/>
        <v>OK</v>
      </c>
    </row>
    <row r="51" spans="1:27" ht="189">
      <c r="A51" s="8" t="s">
        <v>603</v>
      </c>
      <c r="B51" s="8" t="s">
        <v>605</v>
      </c>
      <c r="C51" s="13" t="s">
        <v>71</v>
      </c>
      <c r="D51" s="13" t="s">
        <v>1614</v>
      </c>
      <c r="E51" s="13" t="s">
        <v>57</v>
      </c>
      <c r="F51" s="13" t="s">
        <v>42</v>
      </c>
      <c r="G51" s="13" t="s">
        <v>58</v>
      </c>
      <c r="H51" s="13" t="s">
        <v>111</v>
      </c>
      <c r="I51" s="13" t="s">
        <v>59</v>
      </c>
      <c r="J51" s="13" t="s">
        <v>1801</v>
      </c>
      <c r="K51" s="13" t="s">
        <v>45</v>
      </c>
      <c r="L51" s="13" t="s">
        <v>1614</v>
      </c>
      <c r="M51" s="13" t="s">
        <v>114</v>
      </c>
      <c r="N51" s="13" t="s">
        <v>98</v>
      </c>
      <c r="O51" s="13" t="s">
        <v>92</v>
      </c>
      <c r="P51" s="13" t="s">
        <v>49</v>
      </c>
      <c r="Q51" s="13" t="s">
        <v>99</v>
      </c>
      <c r="R51" s="13" t="s">
        <v>1802</v>
      </c>
      <c r="S51" s="13" t="s">
        <v>63</v>
      </c>
      <c r="T51" s="13" t="s">
        <v>53</v>
      </c>
      <c r="U51" s="13" t="s">
        <v>1617</v>
      </c>
      <c r="V51" s="13">
        <v>4</v>
      </c>
      <c r="W51" s="13">
        <v>5</v>
      </c>
      <c r="X51" s="13" t="s">
        <v>50</v>
      </c>
      <c r="Y51" s="13" t="s">
        <v>1803</v>
      </c>
      <c r="Z51" s="13" t="s">
        <v>1804</v>
      </c>
      <c r="AA51" s="13" t="str">
        <f t="shared" si="0"/>
        <v>OK</v>
      </c>
    </row>
    <row r="52" spans="1:27" ht="78.75">
      <c r="A52" s="8" t="s">
        <v>611</v>
      </c>
      <c r="B52" s="8" t="s">
        <v>613</v>
      </c>
      <c r="C52" s="13" t="s">
        <v>71</v>
      </c>
      <c r="D52" s="13" t="s">
        <v>1614</v>
      </c>
      <c r="E52" s="13" t="s">
        <v>72</v>
      </c>
      <c r="F52" s="13" t="s">
        <v>1614</v>
      </c>
      <c r="G52" s="13" t="s">
        <v>140</v>
      </c>
      <c r="H52" s="13" t="s">
        <v>43</v>
      </c>
      <c r="I52" s="13" t="s">
        <v>44</v>
      </c>
      <c r="J52" s="13" t="s">
        <v>1614</v>
      </c>
      <c r="K52" s="13" t="s">
        <v>78</v>
      </c>
      <c r="L52" s="13" t="s">
        <v>1614</v>
      </c>
      <c r="M52" s="13" t="s">
        <v>114</v>
      </c>
      <c r="N52" s="13" t="s">
        <v>1614</v>
      </c>
      <c r="O52" s="13" t="s">
        <v>53</v>
      </c>
      <c r="P52" s="13" t="s">
        <v>64</v>
      </c>
      <c r="Q52" s="13" t="s">
        <v>68</v>
      </c>
      <c r="R52" s="13" t="s">
        <v>1805</v>
      </c>
      <c r="S52" s="13" t="s">
        <v>63</v>
      </c>
      <c r="T52" s="13" t="s">
        <v>53</v>
      </c>
      <c r="U52" s="13" t="s">
        <v>1617</v>
      </c>
      <c r="V52" s="13" t="s">
        <v>68</v>
      </c>
      <c r="W52" s="13" t="s">
        <v>68</v>
      </c>
      <c r="X52" s="13" t="s">
        <v>68</v>
      </c>
      <c r="Y52" s="13" t="s">
        <v>1781</v>
      </c>
      <c r="Z52" s="13" t="s">
        <v>1806</v>
      </c>
      <c r="AA52" s="13" t="str">
        <f t="shared" si="0"/>
        <v>OK</v>
      </c>
    </row>
    <row r="53" spans="1:27" ht="173.25">
      <c r="A53" s="8" t="s">
        <v>620</v>
      </c>
      <c r="B53" s="8" t="s">
        <v>622</v>
      </c>
      <c r="C53" s="13" t="s">
        <v>71</v>
      </c>
      <c r="D53" s="13" t="s">
        <v>1614</v>
      </c>
      <c r="E53" s="13" t="s">
        <v>57</v>
      </c>
      <c r="F53" s="13" t="s">
        <v>42</v>
      </c>
      <c r="G53" s="13" t="s">
        <v>58</v>
      </c>
      <c r="H53" s="13" t="s">
        <v>111</v>
      </c>
      <c r="I53" s="13" t="s">
        <v>74</v>
      </c>
      <c r="J53" s="13" t="s">
        <v>1807</v>
      </c>
      <c r="K53" s="13" t="s">
        <v>45</v>
      </c>
      <c r="L53" s="13" t="s">
        <v>1614</v>
      </c>
      <c r="M53" s="13" t="s">
        <v>98</v>
      </c>
      <c r="N53" s="13" t="s">
        <v>76</v>
      </c>
      <c r="O53" s="13" t="s">
        <v>92</v>
      </c>
      <c r="P53" s="13" t="s">
        <v>49</v>
      </c>
      <c r="Q53" s="13" t="s">
        <v>89</v>
      </c>
      <c r="R53" s="13" t="s">
        <v>1808</v>
      </c>
      <c r="S53" s="13" t="s">
        <v>63</v>
      </c>
      <c r="T53" s="13" t="s">
        <v>53</v>
      </c>
      <c r="U53" s="13" t="s">
        <v>1617</v>
      </c>
      <c r="V53" s="13">
        <v>3</v>
      </c>
      <c r="W53" s="13">
        <v>4</v>
      </c>
      <c r="X53" s="13" t="s">
        <v>50</v>
      </c>
      <c r="Y53" s="13" t="s">
        <v>1809</v>
      </c>
      <c r="Z53" s="13" t="s">
        <v>1810</v>
      </c>
      <c r="AA53" s="13" t="str">
        <f t="shared" si="0"/>
        <v>OK</v>
      </c>
    </row>
    <row r="54" spans="1:27" ht="157.5">
      <c r="A54" s="8" t="s">
        <v>628</v>
      </c>
      <c r="B54" s="8" t="s">
        <v>630</v>
      </c>
      <c r="C54" s="13" t="s">
        <v>71</v>
      </c>
      <c r="D54" s="13" t="s">
        <v>1614</v>
      </c>
      <c r="E54" s="13" t="s">
        <v>57</v>
      </c>
      <c r="F54" s="13" t="s">
        <v>42</v>
      </c>
      <c r="G54" s="13" t="s">
        <v>111</v>
      </c>
      <c r="H54" s="13" t="s">
        <v>58</v>
      </c>
      <c r="I54" s="13" t="s">
        <v>74</v>
      </c>
      <c r="J54" s="13" t="s">
        <v>1807</v>
      </c>
      <c r="K54" s="13" t="s">
        <v>45</v>
      </c>
      <c r="L54" s="13" t="s">
        <v>1614</v>
      </c>
      <c r="M54" s="13" t="s">
        <v>98</v>
      </c>
      <c r="N54" s="13" t="s">
        <v>107</v>
      </c>
      <c r="O54" s="13" t="s">
        <v>150</v>
      </c>
      <c r="P54" s="13" t="s">
        <v>49</v>
      </c>
      <c r="Q54" s="13" t="s">
        <v>89</v>
      </c>
      <c r="R54" s="13" t="s">
        <v>1811</v>
      </c>
      <c r="S54" s="13" t="s">
        <v>63</v>
      </c>
      <c r="T54" s="13" t="s">
        <v>53</v>
      </c>
      <c r="U54" s="13" t="s">
        <v>1617</v>
      </c>
      <c r="V54" s="13">
        <v>3</v>
      </c>
      <c r="W54" s="13">
        <v>4</v>
      </c>
      <c r="X54" s="13" t="s">
        <v>50</v>
      </c>
      <c r="Y54" s="13" t="s">
        <v>1812</v>
      </c>
      <c r="Z54" s="13" t="s">
        <v>1813</v>
      </c>
      <c r="AA54" s="13" t="str">
        <f t="shared" si="0"/>
        <v>OK</v>
      </c>
    </row>
    <row r="55" spans="1:27" ht="78.75">
      <c r="A55" s="8" t="s">
        <v>637</v>
      </c>
      <c r="B55" s="8" t="s">
        <v>639</v>
      </c>
      <c r="C55" s="13" t="s">
        <v>71</v>
      </c>
      <c r="D55" s="13" t="s">
        <v>1614</v>
      </c>
      <c r="E55" s="13" t="s">
        <v>72</v>
      </c>
      <c r="F55" s="13" t="s">
        <v>1614</v>
      </c>
      <c r="G55" s="13" t="s">
        <v>125</v>
      </c>
      <c r="H55" s="13" t="s">
        <v>140</v>
      </c>
      <c r="I55" s="13" t="s">
        <v>74</v>
      </c>
      <c r="J55" s="13" t="s">
        <v>1614</v>
      </c>
      <c r="K55" s="13" t="s">
        <v>45</v>
      </c>
      <c r="L55" s="13" t="s">
        <v>1614</v>
      </c>
      <c r="M55" s="13" t="s">
        <v>114</v>
      </c>
      <c r="N55" s="13" t="s">
        <v>1614</v>
      </c>
      <c r="O55" s="13" t="s">
        <v>53</v>
      </c>
      <c r="P55" s="13" t="s">
        <v>64</v>
      </c>
      <c r="Q55" s="13" t="s">
        <v>68</v>
      </c>
      <c r="R55" s="13" t="s">
        <v>1814</v>
      </c>
      <c r="S55" s="13" t="s">
        <v>63</v>
      </c>
      <c r="T55" s="13" t="s">
        <v>53</v>
      </c>
      <c r="U55" s="13" t="s">
        <v>1617</v>
      </c>
      <c r="V55" s="13" t="s">
        <v>68</v>
      </c>
      <c r="W55" s="13" t="s">
        <v>68</v>
      </c>
      <c r="X55" s="13" t="s">
        <v>68</v>
      </c>
      <c r="Y55" s="13" t="s">
        <v>1781</v>
      </c>
      <c r="Z55" s="13" t="s">
        <v>1815</v>
      </c>
      <c r="AA55" s="13" t="str">
        <f t="shared" si="0"/>
        <v>OK</v>
      </c>
    </row>
    <row r="56" spans="1:27" ht="173.25">
      <c r="A56" s="8" t="s">
        <v>646</v>
      </c>
      <c r="B56" s="8" t="s">
        <v>648</v>
      </c>
      <c r="C56" s="13" t="s">
        <v>71</v>
      </c>
      <c r="D56" s="13" t="s">
        <v>1614</v>
      </c>
      <c r="E56" s="13" t="s">
        <v>57</v>
      </c>
      <c r="F56" s="13" t="s">
        <v>42</v>
      </c>
      <c r="G56" s="13" t="s">
        <v>58</v>
      </c>
      <c r="H56" s="13" t="s">
        <v>111</v>
      </c>
      <c r="I56" s="13" t="s">
        <v>74</v>
      </c>
      <c r="J56" s="13" t="s">
        <v>1807</v>
      </c>
      <c r="K56" s="13" t="s">
        <v>75</v>
      </c>
      <c r="L56" s="13" t="s">
        <v>45</v>
      </c>
      <c r="M56" s="13" t="s">
        <v>98</v>
      </c>
      <c r="N56" s="13" t="s">
        <v>76</v>
      </c>
      <c r="O56" s="13" t="s">
        <v>53</v>
      </c>
      <c r="P56" s="13" t="s">
        <v>49</v>
      </c>
      <c r="Q56" s="13" t="s">
        <v>89</v>
      </c>
      <c r="R56" s="13" t="s">
        <v>1816</v>
      </c>
      <c r="S56" s="13" t="s">
        <v>63</v>
      </c>
      <c r="T56" s="13" t="s">
        <v>53</v>
      </c>
      <c r="U56" s="13" t="s">
        <v>1617</v>
      </c>
      <c r="V56" s="13">
        <v>3</v>
      </c>
      <c r="W56" s="13">
        <v>4</v>
      </c>
      <c r="X56" s="13" t="s">
        <v>50</v>
      </c>
      <c r="Y56" s="13" t="s">
        <v>1817</v>
      </c>
      <c r="Z56" s="13" t="s">
        <v>1818</v>
      </c>
      <c r="AA56" s="13" t="str">
        <f t="shared" si="0"/>
        <v>OK</v>
      </c>
    </row>
    <row r="57" spans="1:27" ht="189">
      <c r="A57" s="8" t="s">
        <v>654</v>
      </c>
      <c r="B57" s="8" t="s">
        <v>656</v>
      </c>
      <c r="C57" s="13" t="s">
        <v>71</v>
      </c>
      <c r="D57" s="13" t="s">
        <v>1614</v>
      </c>
      <c r="E57" s="13" t="s">
        <v>57</v>
      </c>
      <c r="F57" s="13" t="s">
        <v>42</v>
      </c>
      <c r="G57" s="13" t="s">
        <v>111</v>
      </c>
      <c r="H57" s="13" t="s">
        <v>58</v>
      </c>
      <c r="I57" s="13" t="s">
        <v>74</v>
      </c>
      <c r="J57" s="13" t="s">
        <v>1819</v>
      </c>
      <c r="K57" s="13" t="s">
        <v>75</v>
      </c>
      <c r="L57" s="13" t="s">
        <v>45</v>
      </c>
      <c r="M57" s="13" t="s">
        <v>76</v>
      </c>
      <c r="N57" s="13" t="s">
        <v>114</v>
      </c>
      <c r="O57" s="13" t="s">
        <v>1820</v>
      </c>
      <c r="P57" s="13" t="s">
        <v>49</v>
      </c>
      <c r="Q57" s="13" t="s">
        <v>99</v>
      </c>
      <c r="R57" s="13" t="s">
        <v>1821</v>
      </c>
      <c r="S57" s="13" t="s">
        <v>63</v>
      </c>
      <c r="T57" s="13" t="s">
        <v>53</v>
      </c>
      <c r="U57" s="13" t="s">
        <v>1617</v>
      </c>
      <c r="V57" s="13">
        <v>4</v>
      </c>
      <c r="W57" s="13">
        <v>5</v>
      </c>
      <c r="X57" s="13" t="s">
        <v>50</v>
      </c>
      <c r="Y57" s="13" t="s">
        <v>1822</v>
      </c>
      <c r="Z57" s="13" t="s">
        <v>1823</v>
      </c>
      <c r="AA57" s="13" t="str">
        <f t="shared" si="0"/>
        <v>OK</v>
      </c>
    </row>
    <row r="58" spans="1:27" ht="189">
      <c r="A58" s="8" t="s">
        <v>662</v>
      </c>
      <c r="B58" s="8" t="s">
        <v>664</v>
      </c>
      <c r="C58" s="13" t="s">
        <v>71</v>
      </c>
      <c r="D58" s="13" t="s">
        <v>1614</v>
      </c>
      <c r="E58" s="13" t="s">
        <v>72</v>
      </c>
      <c r="F58" s="13" t="s">
        <v>57</v>
      </c>
      <c r="G58" s="13" t="s">
        <v>140</v>
      </c>
      <c r="H58" s="13" t="s">
        <v>1824</v>
      </c>
      <c r="I58" s="13" t="s">
        <v>112</v>
      </c>
      <c r="J58" s="13" t="s">
        <v>86</v>
      </c>
      <c r="K58" s="13" t="s">
        <v>45</v>
      </c>
      <c r="L58" s="13" t="s">
        <v>1614</v>
      </c>
      <c r="M58" s="13" t="s">
        <v>107</v>
      </c>
      <c r="N58" s="13" t="s">
        <v>114</v>
      </c>
      <c r="O58" s="13" t="s">
        <v>1825</v>
      </c>
      <c r="P58" s="13" t="s">
        <v>49</v>
      </c>
      <c r="Q58" s="13" t="s">
        <v>99</v>
      </c>
      <c r="R58" s="13" t="s">
        <v>1826</v>
      </c>
      <c r="S58" s="13" t="s">
        <v>63</v>
      </c>
      <c r="T58" s="13" t="s">
        <v>53</v>
      </c>
      <c r="U58" s="13" t="s">
        <v>1617</v>
      </c>
      <c r="V58" s="13">
        <v>4</v>
      </c>
      <c r="W58" s="13">
        <v>5</v>
      </c>
      <c r="X58" s="13" t="s">
        <v>50</v>
      </c>
      <c r="Y58" s="13" t="s">
        <v>1827</v>
      </c>
      <c r="Z58" s="13" t="s">
        <v>1828</v>
      </c>
      <c r="AA58" s="13" t="str">
        <f t="shared" si="0"/>
        <v>OK</v>
      </c>
    </row>
    <row r="59" spans="1:27" ht="189">
      <c r="A59" s="8" t="s">
        <v>671</v>
      </c>
      <c r="B59" s="8" t="s">
        <v>673</v>
      </c>
      <c r="C59" s="13" t="s">
        <v>71</v>
      </c>
      <c r="D59" s="13" t="s">
        <v>83</v>
      </c>
      <c r="E59" s="13" t="s">
        <v>57</v>
      </c>
      <c r="F59" s="13" t="s">
        <v>1614</v>
      </c>
      <c r="G59" s="13" t="s">
        <v>125</v>
      </c>
      <c r="H59" s="13" t="s">
        <v>111</v>
      </c>
      <c r="I59" s="13" t="s">
        <v>74</v>
      </c>
      <c r="J59" s="13" t="s">
        <v>86</v>
      </c>
      <c r="K59" s="13" t="s">
        <v>45</v>
      </c>
      <c r="L59" s="13" t="s">
        <v>126</v>
      </c>
      <c r="M59" s="13" t="s">
        <v>107</v>
      </c>
      <c r="N59" s="13" t="s">
        <v>98</v>
      </c>
      <c r="O59" s="13" t="s">
        <v>1829</v>
      </c>
      <c r="P59" s="13" t="s">
        <v>49</v>
      </c>
      <c r="Q59" s="13" t="s">
        <v>99</v>
      </c>
      <c r="R59" s="13" t="s">
        <v>1830</v>
      </c>
      <c r="S59" s="13" t="s">
        <v>63</v>
      </c>
      <c r="T59" s="13" t="s">
        <v>53</v>
      </c>
      <c r="U59" s="13" t="s">
        <v>1617</v>
      </c>
      <c r="V59" s="13">
        <v>4</v>
      </c>
      <c r="W59" s="13">
        <v>5</v>
      </c>
      <c r="X59" s="13" t="s">
        <v>50</v>
      </c>
      <c r="Y59" s="13" t="s">
        <v>1831</v>
      </c>
      <c r="Z59" s="13" t="s">
        <v>1832</v>
      </c>
      <c r="AA59" s="13" t="str">
        <f t="shared" si="0"/>
        <v>OK</v>
      </c>
    </row>
    <row r="60" spans="1:27" ht="78.75">
      <c r="A60" s="8" t="s">
        <v>680</v>
      </c>
      <c r="B60" s="8" t="s">
        <v>682</v>
      </c>
      <c r="C60" s="13" t="s">
        <v>71</v>
      </c>
      <c r="D60" s="13" t="s">
        <v>1614</v>
      </c>
      <c r="E60" s="13" t="s">
        <v>72</v>
      </c>
      <c r="F60" s="13" t="s">
        <v>1614</v>
      </c>
      <c r="G60" s="13" t="s">
        <v>140</v>
      </c>
      <c r="H60" s="13" t="s">
        <v>130</v>
      </c>
      <c r="I60" s="13" t="s">
        <v>112</v>
      </c>
      <c r="J60" s="13" t="s">
        <v>86</v>
      </c>
      <c r="K60" s="13" t="s">
        <v>45</v>
      </c>
      <c r="L60" s="13" t="s">
        <v>1614</v>
      </c>
      <c r="M60" s="13" t="s">
        <v>114</v>
      </c>
      <c r="N60" s="13" t="s">
        <v>1614</v>
      </c>
      <c r="O60" s="13" t="s">
        <v>150</v>
      </c>
      <c r="P60" s="13" t="s">
        <v>64</v>
      </c>
      <c r="Q60" s="13" t="s">
        <v>68</v>
      </c>
      <c r="R60" s="13" t="s">
        <v>1833</v>
      </c>
      <c r="S60" s="13" t="s">
        <v>63</v>
      </c>
      <c r="T60" s="13" t="s">
        <v>53</v>
      </c>
      <c r="U60" s="13" t="s">
        <v>1617</v>
      </c>
      <c r="V60" s="13" t="s">
        <v>68</v>
      </c>
      <c r="W60" s="13" t="s">
        <v>68</v>
      </c>
      <c r="X60" s="13" t="s">
        <v>68</v>
      </c>
      <c r="Y60" s="13" t="s">
        <v>1781</v>
      </c>
      <c r="Z60" s="13" t="s">
        <v>1834</v>
      </c>
      <c r="AA60" s="13" t="str">
        <f t="shared" si="0"/>
        <v>OK</v>
      </c>
    </row>
    <row r="61" spans="1:27" ht="189">
      <c r="A61" s="8" t="s">
        <v>689</v>
      </c>
      <c r="B61" s="8" t="s">
        <v>691</v>
      </c>
      <c r="C61" s="13" t="s">
        <v>71</v>
      </c>
      <c r="D61" s="13" t="s">
        <v>1614</v>
      </c>
      <c r="E61" s="13" t="s">
        <v>57</v>
      </c>
      <c r="F61" s="13" t="s">
        <v>42</v>
      </c>
      <c r="G61" s="13" t="s">
        <v>111</v>
      </c>
      <c r="H61" s="13" t="s">
        <v>58</v>
      </c>
      <c r="I61" s="13" t="s">
        <v>59</v>
      </c>
      <c r="J61" s="13" t="s">
        <v>74</v>
      </c>
      <c r="K61" s="13" t="s">
        <v>45</v>
      </c>
      <c r="L61" s="13" t="s">
        <v>1614</v>
      </c>
      <c r="M61" s="13" t="s">
        <v>76</v>
      </c>
      <c r="N61" s="13" t="s">
        <v>114</v>
      </c>
      <c r="O61" s="13" t="s">
        <v>53</v>
      </c>
      <c r="P61" s="13" t="s">
        <v>49</v>
      </c>
      <c r="Q61" s="13" t="s">
        <v>62</v>
      </c>
      <c r="R61" s="13" t="s">
        <v>1835</v>
      </c>
      <c r="S61" s="13" t="s">
        <v>63</v>
      </c>
      <c r="T61" s="13" t="s">
        <v>53</v>
      </c>
      <c r="U61" s="13" t="s">
        <v>1617</v>
      </c>
      <c r="V61" s="13">
        <v>2</v>
      </c>
      <c r="W61" s="13">
        <v>3</v>
      </c>
      <c r="X61" s="13" t="s">
        <v>50</v>
      </c>
      <c r="Y61" s="13" t="s">
        <v>1836</v>
      </c>
      <c r="Z61" s="13" t="s">
        <v>1837</v>
      </c>
      <c r="AA61" s="13" t="str">
        <f t="shared" si="0"/>
        <v>OK</v>
      </c>
    </row>
    <row r="62" spans="1:27" ht="189">
      <c r="A62" s="8" t="s">
        <v>698</v>
      </c>
      <c r="B62" s="8" t="s">
        <v>700</v>
      </c>
      <c r="C62" s="13" t="s">
        <v>71</v>
      </c>
      <c r="D62" s="13" t="s">
        <v>1614</v>
      </c>
      <c r="E62" s="13" t="s">
        <v>72</v>
      </c>
      <c r="F62" s="13" t="s">
        <v>57</v>
      </c>
      <c r="G62" s="13" t="s">
        <v>140</v>
      </c>
      <c r="H62" s="13" t="s">
        <v>1838</v>
      </c>
      <c r="I62" s="13" t="s">
        <v>112</v>
      </c>
      <c r="J62" s="13" t="s">
        <v>86</v>
      </c>
      <c r="K62" s="13" t="s">
        <v>45</v>
      </c>
      <c r="L62" s="13" t="s">
        <v>1614</v>
      </c>
      <c r="M62" s="13" t="s">
        <v>107</v>
      </c>
      <c r="N62" s="13" t="s">
        <v>1786</v>
      </c>
      <c r="O62" s="13" t="s">
        <v>1839</v>
      </c>
      <c r="P62" s="13" t="s">
        <v>49</v>
      </c>
      <c r="Q62" s="13" t="s">
        <v>99</v>
      </c>
      <c r="R62" s="13" t="s">
        <v>1840</v>
      </c>
      <c r="S62" s="13" t="s">
        <v>63</v>
      </c>
      <c r="T62" s="13" t="s">
        <v>53</v>
      </c>
      <c r="U62" s="13" t="s">
        <v>1617</v>
      </c>
      <c r="V62" s="13">
        <v>4</v>
      </c>
      <c r="W62" s="13">
        <v>5</v>
      </c>
      <c r="X62" s="13" t="s">
        <v>50</v>
      </c>
      <c r="Y62" s="13" t="s">
        <v>1841</v>
      </c>
      <c r="Z62" s="13" t="s">
        <v>1842</v>
      </c>
      <c r="AA62" s="13" t="str">
        <f t="shared" si="0"/>
        <v>OK</v>
      </c>
    </row>
    <row r="63" spans="1:27" ht="78.75">
      <c r="A63" s="8" t="s">
        <v>708</v>
      </c>
      <c r="B63" s="8" t="s">
        <v>710</v>
      </c>
      <c r="C63" s="13" t="s">
        <v>71</v>
      </c>
      <c r="D63" s="13" t="s">
        <v>1614</v>
      </c>
      <c r="E63" s="13" t="s">
        <v>72</v>
      </c>
      <c r="F63" s="13" t="s">
        <v>1614</v>
      </c>
      <c r="G63" s="13" t="s">
        <v>140</v>
      </c>
      <c r="H63" s="13" t="s">
        <v>1614</v>
      </c>
      <c r="I63" s="13" t="s">
        <v>112</v>
      </c>
      <c r="J63" s="13" t="s">
        <v>86</v>
      </c>
      <c r="K63" s="13" t="s">
        <v>45</v>
      </c>
      <c r="L63" s="13" t="s">
        <v>1614</v>
      </c>
      <c r="M63" s="13" t="s">
        <v>114</v>
      </c>
      <c r="N63" s="13" t="s">
        <v>1614</v>
      </c>
      <c r="O63" s="13" t="s">
        <v>150</v>
      </c>
      <c r="P63" s="13" t="s">
        <v>64</v>
      </c>
      <c r="Q63" s="13" t="s">
        <v>68</v>
      </c>
      <c r="R63" s="13" t="s">
        <v>1843</v>
      </c>
      <c r="S63" s="13" t="s">
        <v>63</v>
      </c>
      <c r="T63" s="13" t="s">
        <v>53</v>
      </c>
      <c r="U63" s="13" t="s">
        <v>1617</v>
      </c>
      <c r="V63" s="13" t="s">
        <v>68</v>
      </c>
      <c r="W63" s="13" t="s">
        <v>68</v>
      </c>
      <c r="X63" s="13" t="s">
        <v>68</v>
      </c>
      <c r="Y63" s="13" t="s">
        <v>1781</v>
      </c>
      <c r="Z63" s="13" t="s">
        <v>1844</v>
      </c>
      <c r="AA63" s="13" t="str">
        <f t="shared" si="0"/>
        <v>OK</v>
      </c>
    </row>
    <row r="64" spans="1:27" ht="94.5">
      <c r="A64" s="8" t="s">
        <v>717</v>
      </c>
      <c r="B64" s="8" t="s">
        <v>719</v>
      </c>
      <c r="C64" s="13" t="s">
        <v>71</v>
      </c>
      <c r="D64" s="13" t="s">
        <v>1614</v>
      </c>
      <c r="E64" s="13" t="s">
        <v>72</v>
      </c>
      <c r="F64" s="13" t="s">
        <v>1614</v>
      </c>
      <c r="G64" s="13" t="s">
        <v>140</v>
      </c>
      <c r="H64" s="13" t="s">
        <v>130</v>
      </c>
      <c r="I64" s="13" t="s">
        <v>44</v>
      </c>
      <c r="J64" s="13" t="s">
        <v>1845</v>
      </c>
      <c r="K64" s="13" t="s">
        <v>45</v>
      </c>
      <c r="L64" s="13" t="s">
        <v>145</v>
      </c>
      <c r="M64" s="13" t="s">
        <v>114</v>
      </c>
      <c r="N64" s="13" t="s">
        <v>1614</v>
      </c>
      <c r="O64" s="13" t="s">
        <v>1846</v>
      </c>
      <c r="P64" s="13" t="s">
        <v>64</v>
      </c>
      <c r="Q64" s="13" t="s">
        <v>68</v>
      </c>
      <c r="R64" s="13" t="s">
        <v>1847</v>
      </c>
      <c r="S64" s="13" t="s">
        <v>63</v>
      </c>
      <c r="T64" s="13" t="s">
        <v>53</v>
      </c>
      <c r="U64" s="13" t="s">
        <v>1617</v>
      </c>
      <c r="V64" s="13" t="s">
        <v>68</v>
      </c>
      <c r="W64" s="13" t="s">
        <v>68</v>
      </c>
      <c r="X64" s="13" t="s">
        <v>68</v>
      </c>
      <c r="Y64" s="13" t="s">
        <v>1781</v>
      </c>
      <c r="Z64" s="13" t="s">
        <v>1848</v>
      </c>
      <c r="AA64" s="13" t="str">
        <f t="shared" si="0"/>
        <v>OK</v>
      </c>
    </row>
    <row r="65" spans="1:27" ht="189">
      <c r="A65" s="8" t="s">
        <v>725</v>
      </c>
      <c r="B65" s="8" t="s">
        <v>727</v>
      </c>
      <c r="C65" s="13" t="s">
        <v>71</v>
      </c>
      <c r="D65" s="13" t="s">
        <v>1614</v>
      </c>
      <c r="E65" s="13" t="s">
        <v>42</v>
      </c>
      <c r="F65" s="13" t="s">
        <v>1614</v>
      </c>
      <c r="G65" s="13" t="s">
        <v>111</v>
      </c>
      <c r="H65" s="13" t="s">
        <v>125</v>
      </c>
      <c r="I65" s="13" t="s">
        <v>112</v>
      </c>
      <c r="J65" s="13" t="s">
        <v>105</v>
      </c>
      <c r="K65" s="13" t="s">
        <v>45</v>
      </c>
      <c r="L65" s="13" t="s">
        <v>145</v>
      </c>
      <c r="M65" s="13" t="s">
        <v>76</v>
      </c>
      <c r="N65" s="13" t="s">
        <v>114</v>
      </c>
      <c r="O65" s="13" t="s">
        <v>53</v>
      </c>
      <c r="P65" s="13" t="s">
        <v>49</v>
      </c>
      <c r="Q65" s="13" t="s">
        <v>62</v>
      </c>
      <c r="R65" s="13" t="s">
        <v>1849</v>
      </c>
      <c r="S65" s="13" t="s">
        <v>63</v>
      </c>
      <c r="T65" s="13" t="s">
        <v>53</v>
      </c>
      <c r="U65" s="13" t="s">
        <v>1617</v>
      </c>
      <c r="V65" s="13">
        <v>2</v>
      </c>
      <c r="W65" s="13">
        <v>3</v>
      </c>
      <c r="X65" s="13" t="s">
        <v>50</v>
      </c>
      <c r="Y65" s="13" t="s">
        <v>1850</v>
      </c>
      <c r="Z65" s="13" t="s">
        <v>1851</v>
      </c>
      <c r="AA65" s="13" t="str">
        <f t="shared" si="0"/>
        <v>OK</v>
      </c>
    </row>
    <row r="66" spans="1:27" ht="189">
      <c r="A66" s="8" t="s">
        <v>733</v>
      </c>
      <c r="B66" s="8" t="s">
        <v>735</v>
      </c>
      <c r="C66" s="13" t="s">
        <v>71</v>
      </c>
      <c r="D66" s="13" t="s">
        <v>83</v>
      </c>
      <c r="E66" s="13" t="s">
        <v>57</v>
      </c>
      <c r="F66" s="13" t="s">
        <v>42</v>
      </c>
      <c r="G66" s="13" t="s">
        <v>111</v>
      </c>
      <c r="H66" s="13" t="s">
        <v>58</v>
      </c>
      <c r="I66" s="13" t="s">
        <v>112</v>
      </c>
      <c r="J66" s="13" t="s">
        <v>1797</v>
      </c>
      <c r="K66" s="13" t="s">
        <v>45</v>
      </c>
      <c r="L66" s="13" t="s">
        <v>1614</v>
      </c>
      <c r="M66" s="13" t="s">
        <v>107</v>
      </c>
      <c r="N66" s="13" t="s">
        <v>98</v>
      </c>
      <c r="O66" s="13" t="s">
        <v>1852</v>
      </c>
      <c r="P66" s="13" t="s">
        <v>49</v>
      </c>
      <c r="Q66" s="13" t="s">
        <v>99</v>
      </c>
      <c r="R66" s="13" t="s">
        <v>1853</v>
      </c>
      <c r="S66" s="13" t="s">
        <v>63</v>
      </c>
      <c r="T66" s="13" t="s">
        <v>53</v>
      </c>
      <c r="U66" s="13" t="s">
        <v>1617</v>
      </c>
      <c r="V66" s="13">
        <v>4</v>
      </c>
      <c r="W66" s="13">
        <v>5</v>
      </c>
      <c r="X66" s="13" t="s">
        <v>50</v>
      </c>
      <c r="Y66" s="13" t="s">
        <v>1854</v>
      </c>
      <c r="Z66" s="13" t="s">
        <v>1855</v>
      </c>
      <c r="AA66" s="13" t="str">
        <f t="shared" si="0"/>
        <v>OK</v>
      </c>
    </row>
    <row r="67" spans="1:27" ht="63">
      <c r="A67" s="8" t="s">
        <v>741</v>
      </c>
      <c r="B67" s="8" t="s">
        <v>743</v>
      </c>
      <c r="C67" s="13" t="s">
        <v>78</v>
      </c>
      <c r="D67" s="13" t="s">
        <v>1614</v>
      </c>
      <c r="E67" s="13" t="s">
        <v>78</v>
      </c>
      <c r="F67" s="13" t="s">
        <v>1614</v>
      </c>
      <c r="G67" s="13" t="s">
        <v>78</v>
      </c>
      <c r="H67" s="13" t="s">
        <v>1614</v>
      </c>
      <c r="I67" s="13" t="s">
        <v>78</v>
      </c>
      <c r="J67" s="13" t="s">
        <v>1614</v>
      </c>
      <c r="K67" s="13" t="s">
        <v>78</v>
      </c>
      <c r="L67" s="13" t="s">
        <v>1614</v>
      </c>
      <c r="M67" s="13" t="s">
        <v>78</v>
      </c>
      <c r="N67" s="13" t="s">
        <v>1614</v>
      </c>
      <c r="O67" s="13" t="s">
        <v>78</v>
      </c>
      <c r="P67" s="13" t="s">
        <v>78</v>
      </c>
      <c r="Q67" s="13" t="s">
        <v>78</v>
      </c>
      <c r="R67" s="13" t="s">
        <v>1856</v>
      </c>
      <c r="S67" s="13" t="s">
        <v>78</v>
      </c>
      <c r="T67" s="13" t="s">
        <v>78</v>
      </c>
      <c r="U67" s="13" t="s">
        <v>1857</v>
      </c>
      <c r="V67" s="13" t="s">
        <v>78</v>
      </c>
      <c r="W67" s="13" t="s">
        <v>78</v>
      </c>
      <c r="X67" s="13" t="s">
        <v>78</v>
      </c>
      <c r="Y67" s="13" t="s">
        <v>1858</v>
      </c>
      <c r="Z67" s="13" t="s">
        <v>1859</v>
      </c>
      <c r="AA67" s="13" t="str">
        <f t="shared" si="0"/>
        <v>OK</v>
      </c>
    </row>
    <row r="68" spans="1:27" ht="204.75">
      <c r="A68" s="8" t="s">
        <v>750</v>
      </c>
      <c r="B68" s="8" t="s">
        <v>752</v>
      </c>
      <c r="C68" s="13" t="s">
        <v>83</v>
      </c>
      <c r="D68" s="13" t="s">
        <v>1614</v>
      </c>
      <c r="E68" s="13" t="s">
        <v>57</v>
      </c>
      <c r="F68" s="13" t="s">
        <v>42</v>
      </c>
      <c r="G68" s="13" t="s">
        <v>111</v>
      </c>
      <c r="H68" s="13" t="s">
        <v>58</v>
      </c>
      <c r="I68" s="13" t="s">
        <v>86</v>
      </c>
      <c r="J68" s="13" t="s">
        <v>1614</v>
      </c>
      <c r="K68" s="13" t="s">
        <v>45</v>
      </c>
      <c r="L68" s="13" t="s">
        <v>1614</v>
      </c>
      <c r="M68" s="13" t="s">
        <v>107</v>
      </c>
      <c r="N68" s="13" t="s">
        <v>98</v>
      </c>
      <c r="O68" s="13" t="s">
        <v>1860</v>
      </c>
      <c r="P68" s="13" t="s">
        <v>49</v>
      </c>
      <c r="Q68" s="13" t="s">
        <v>99</v>
      </c>
      <c r="R68" s="13" t="s">
        <v>1861</v>
      </c>
      <c r="S68" s="13" t="s">
        <v>63</v>
      </c>
      <c r="T68" s="13" t="s">
        <v>53</v>
      </c>
      <c r="U68" s="13" t="s">
        <v>1617</v>
      </c>
      <c r="V68" s="13">
        <v>4</v>
      </c>
      <c r="W68" s="13">
        <v>5</v>
      </c>
      <c r="X68" s="13" t="s">
        <v>50</v>
      </c>
      <c r="Y68" s="13" t="s">
        <v>1862</v>
      </c>
      <c r="Z68" s="13" t="s">
        <v>1863</v>
      </c>
      <c r="AA68" s="13" t="str">
        <f t="shared" ref="AA68:AA97" si="1">IF(OR(V68="",W68=""),"",IF(V68&lt;=W68,"OK","CHECK"))</f>
        <v>OK</v>
      </c>
    </row>
    <row r="69" spans="1:27" ht="189">
      <c r="A69" s="8" t="s">
        <v>759</v>
      </c>
      <c r="B69" s="8" t="s">
        <v>761</v>
      </c>
      <c r="C69" s="13" t="s">
        <v>83</v>
      </c>
      <c r="D69" s="13" t="s">
        <v>1614</v>
      </c>
      <c r="E69" s="13" t="s">
        <v>72</v>
      </c>
      <c r="F69" s="13" t="s">
        <v>1864</v>
      </c>
      <c r="G69" s="13" t="s">
        <v>111</v>
      </c>
      <c r="H69" s="13" t="s">
        <v>58</v>
      </c>
      <c r="I69" s="13" t="s">
        <v>86</v>
      </c>
      <c r="J69" s="13" t="s">
        <v>1614</v>
      </c>
      <c r="K69" s="13" t="s">
        <v>45</v>
      </c>
      <c r="L69" s="13" t="s">
        <v>1614</v>
      </c>
      <c r="M69" s="13" t="s">
        <v>132</v>
      </c>
      <c r="N69" s="13" t="s">
        <v>107</v>
      </c>
      <c r="O69" s="13" t="s">
        <v>1860</v>
      </c>
      <c r="P69" s="13" t="s">
        <v>49</v>
      </c>
      <c r="Q69" s="13" t="s">
        <v>115</v>
      </c>
      <c r="R69" s="13" t="s">
        <v>1865</v>
      </c>
      <c r="S69" s="13" t="s">
        <v>63</v>
      </c>
      <c r="T69" s="13" t="s">
        <v>53</v>
      </c>
      <c r="U69" s="13" t="s">
        <v>1617</v>
      </c>
      <c r="V69" s="13">
        <v>7</v>
      </c>
      <c r="W69" s="13">
        <v>8</v>
      </c>
      <c r="X69" s="13" t="s">
        <v>50</v>
      </c>
      <c r="Y69" s="13" t="s">
        <v>1866</v>
      </c>
      <c r="Z69" s="13" t="s">
        <v>1867</v>
      </c>
      <c r="AA69" s="13" t="str">
        <f t="shared" si="1"/>
        <v>OK</v>
      </c>
    </row>
    <row r="70" spans="1:27" ht="204.75">
      <c r="A70" s="8" t="s">
        <v>768</v>
      </c>
      <c r="B70" s="8" t="s">
        <v>770</v>
      </c>
      <c r="C70" s="13" t="s">
        <v>83</v>
      </c>
      <c r="D70" s="13" t="s">
        <v>1614</v>
      </c>
      <c r="E70" s="13" t="s">
        <v>57</v>
      </c>
      <c r="F70" s="13" t="s">
        <v>42</v>
      </c>
      <c r="G70" s="13" t="s">
        <v>111</v>
      </c>
      <c r="H70" s="13" t="s">
        <v>58</v>
      </c>
      <c r="I70" s="13" t="s">
        <v>86</v>
      </c>
      <c r="J70" s="13" t="s">
        <v>1614</v>
      </c>
      <c r="K70" s="13" t="s">
        <v>45</v>
      </c>
      <c r="L70" s="13" t="s">
        <v>1614</v>
      </c>
      <c r="M70" s="13" t="s">
        <v>107</v>
      </c>
      <c r="N70" s="13" t="s">
        <v>98</v>
      </c>
      <c r="O70" s="13" t="s">
        <v>1860</v>
      </c>
      <c r="P70" s="13" t="s">
        <v>49</v>
      </c>
      <c r="Q70" s="13" t="s">
        <v>99</v>
      </c>
      <c r="R70" s="13" t="s">
        <v>1868</v>
      </c>
      <c r="S70" s="13" t="s">
        <v>63</v>
      </c>
      <c r="T70" s="13" t="s">
        <v>53</v>
      </c>
      <c r="U70" s="13" t="s">
        <v>1617</v>
      </c>
      <c r="V70" s="13">
        <v>4</v>
      </c>
      <c r="W70" s="13">
        <v>5</v>
      </c>
      <c r="X70" s="13" t="s">
        <v>50</v>
      </c>
      <c r="Y70" s="13" t="s">
        <v>1869</v>
      </c>
      <c r="Z70" s="13" t="s">
        <v>1870</v>
      </c>
      <c r="AA70" s="13" t="str">
        <f t="shared" si="1"/>
        <v>OK</v>
      </c>
    </row>
    <row r="71" spans="1:27" ht="173.25">
      <c r="A71" s="8" t="s">
        <v>777</v>
      </c>
      <c r="B71" s="8" t="s">
        <v>779</v>
      </c>
      <c r="C71" s="13" t="s">
        <v>83</v>
      </c>
      <c r="D71" s="13" t="s">
        <v>1614</v>
      </c>
      <c r="E71" s="13" t="s">
        <v>57</v>
      </c>
      <c r="F71" s="13" t="s">
        <v>42</v>
      </c>
      <c r="G71" s="13" t="s">
        <v>58</v>
      </c>
      <c r="H71" s="13" t="s">
        <v>43</v>
      </c>
      <c r="I71" s="13" t="s">
        <v>86</v>
      </c>
      <c r="J71" s="13" t="s">
        <v>1614</v>
      </c>
      <c r="K71" s="13" t="s">
        <v>45</v>
      </c>
      <c r="L71" s="13" t="s">
        <v>1614</v>
      </c>
      <c r="M71" s="13" t="s">
        <v>61</v>
      </c>
      <c r="N71" s="13" t="s">
        <v>114</v>
      </c>
      <c r="O71" s="13" t="s">
        <v>128</v>
      </c>
      <c r="P71" s="13" t="s">
        <v>49</v>
      </c>
      <c r="Q71" s="13" t="s">
        <v>62</v>
      </c>
      <c r="R71" s="13" t="s">
        <v>1871</v>
      </c>
      <c r="S71" s="13" t="s">
        <v>63</v>
      </c>
      <c r="T71" s="13" t="s">
        <v>53</v>
      </c>
      <c r="U71" s="13" t="s">
        <v>1617</v>
      </c>
      <c r="V71" s="13">
        <v>2</v>
      </c>
      <c r="W71" s="13">
        <v>3</v>
      </c>
      <c r="X71" s="13" t="s">
        <v>50</v>
      </c>
      <c r="Y71" s="13" t="s">
        <v>1872</v>
      </c>
      <c r="Z71" s="13" t="s">
        <v>1873</v>
      </c>
      <c r="AA71" s="13" t="str">
        <f t="shared" si="1"/>
        <v>OK</v>
      </c>
    </row>
    <row r="72" spans="1:27" ht="189">
      <c r="A72" s="8" t="s">
        <v>786</v>
      </c>
      <c r="B72" s="8" t="s">
        <v>788</v>
      </c>
      <c r="C72" s="13" t="s">
        <v>83</v>
      </c>
      <c r="D72" s="13" t="s">
        <v>1614</v>
      </c>
      <c r="E72" s="13" t="s">
        <v>57</v>
      </c>
      <c r="F72" s="13" t="s">
        <v>42</v>
      </c>
      <c r="G72" s="13" t="s">
        <v>111</v>
      </c>
      <c r="H72" s="13" t="s">
        <v>58</v>
      </c>
      <c r="I72" s="13" t="s">
        <v>86</v>
      </c>
      <c r="J72" s="13" t="s">
        <v>1614</v>
      </c>
      <c r="K72" s="13" t="s">
        <v>45</v>
      </c>
      <c r="L72" s="13" t="s">
        <v>1614</v>
      </c>
      <c r="M72" s="13" t="s">
        <v>107</v>
      </c>
      <c r="N72" s="13" t="s">
        <v>98</v>
      </c>
      <c r="O72" s="13" t="s">
        <v>1860</v>
      </c>
      <c r="P72" s="13" t="s">
        <v>49</v>
      </c>
      <c r="Q72" s="13" t="s">
        <v>99</v>
      </c>
      <c r="R72" s="13" t="s">
        <v>1874</v>
      </c>
      <c r="S72" s="13" t="s">
        <v>63</v>
      </c>
      <c r="T72" s="13" t="s">
        <v>53</v>
      </c>
      <c r="U72" s="13" t="s">
        <v>1617</v>
      </c>
      <c r="V72" s="13">
        <v>4</v>
      </c>
      <c r="W72" s="13">
        <v>5</v>
      </c>
      <c r="X72" s="13" t="s">
        <v>50</v>
      </c>
      <c r="Y72" s="13" t="s">
        <v>1875</v>
      </c>
      <c r="Z72" s="13" t="s">
        <v>1876</v>
      </c>
      <c r="AA72" s="13" t="str">
        <f t="shared" si="1"/>
        <v>OK</v>
      </c>
    </row>
    <row r="73" spans="1:27" ht="189">
      <c r="A73" s="8" t="s">
        <v>794</v>
      </c>
      <c r="B73" s="8" t="s">
        <v>796</v>
      </c>
      <c r="C73" s="13" t="s">
        <v>83</v>
      </c>
      <c r="D73" s="13" t="s">
        <v>1614</v>
      </c>
      <c r="E73" s="13" t="s">
        <v>57</v>
      </c>
      <c r="F73" s="13" t="s">
        <v>42</v>
      </c>
      <c r="G73" s="13" t="s">
        <v>58</v>
      </c>
      <c r="H73" s="13" t="s">
        <v>43</v>
      </c>
      <c r="I73" s="13" t="s">
        <v>86</v>
      </c>
      <c r="J73" s="13" t="s">
        <v>1614</v>
      </c>
      <c r="K73" s="13" t="s">
        <v>45</v>
      </c>
      <c r="L73" s="13" t="s">
        <v>1614</v>
      </c>
      <c r="M73" s="13" t="s">
        <v>107</v>
      </c>
      <c r="N73" s="13" t="s">
        <v>98</v>
      </c>
      <c r="O73" s="13" t="s">
        <v>1829</v>
      </c>
      <c r="P73" s="13" t="s">
        <v>49</v>
      </c>
      <c r="Q73" s="13" t="s">
        <v>99</v>
      </c>
      <c r="R73" s="13" t="s">
        <v>1877</v>
      </c>
      <c r="S73" s="13" t="s">
        <v>63</v>
      </c>
      <c r="T73" s="13" t="s">
        <v>53</v>
      </c>
      <c r="U73" s="13" t="s">
        <v>1617</v>
      </c>
      <c r="V73" s="13">
        <v>4</v>
      </c>
      <c r="W73" s="13">
        <v>5</v>
      </c>
      <c r="X73" s="13" t="s">
        <v>50</v>
      </c>
      <c r="Y73" s="13" t="s">
        <v>1878</v>
      </c>
      <c r="Z73" s="13" t="s">
        <v>1879</v>
      </c>
      <c r="AA73" s="13" t="str">
        <f t="shared" si="1"/>
        <v>OK</v>
      </c>
    </row>
    <row r="74" spans="1:27" ht="189">
      <c r="A74" s="8" t="s">
        <v>802</v>
      </c>
      <c r="B74" s="8" t="s">
        <v>804</v>
      </c>
      <c r="C74" s="13" t="s">
        <v>83</v>
      </c>
      <c r="D74" s="13" t="s">
        <v>1614</v>
      </c>
      <c r="E74" s="13" t="s">
        <v>57</v>
      </c>
      <c r="F74" s="13" t="s">
        <v>42</v>
      </c>
      <c r="G74" s="13" t="s">
        <v>111</v>
      </c>
      <c r="H74" s="13" t="s">
        <v>58</v>
      </c>
      <c r="I74" s="13" t="s">
        <v>86</v>
      </c>
      <c r="J74" s="13" t="s">
        <v>1614</v>
      </c>
      <c r="K74" s="13" t="s">
        <v>45</v>
      </c>
      <c r="L74" s="13" t="s">
        <v>1614</v>
      </c>
      <c r="M74" s="13" t="s">
        <v>107</v>
      </c>
      <c r="N74" s="13" t="s">
        <v>98</v>
      </c>
      <c r="O74" s="13" t="s">
        <v>1860</v>
      </c>
      <c r="P74" s="13" t="s">
        <v>49</v>
      </c>
      <c r="Q74" s="13" t="s">
        <v>99</v>
      </c>
      <c r="R74" s="13" t="s">
        <v>1880</v>
      </c>
      <c r="S74" s="13" t="s">
        <v>63</v>
      </c>
      <c r="T74" s="13" t="s">
        <v>53</v>
      </c>
      <c r="U74" s="13" t="s">
        <v>1617</v>
      </c>
      <c r="V74" s="13">
        <v>4</v>
      </c>
      <c r="W74" s="13">
        <v>5</v>
      </c>
      <c r="X74" s="13" t="s">
        <v>50</v>
      </c>
      <c r="Y74" s="13" t="s">
        <v>1881</v>
      </c>
      <c r="Z74" s="13" t="s">
        <v>1882</v>
      </c>
      <c r="AA74" s="13" t="str">
        <f t="shared" si="1"/>
        <v>OK</v>
      </c>
    </row>
    <row r="75" spans="1:27" ht="204.75">
      <c r="A75" s="8" t="s">
        <v>810</v>
      </c>
      <c r="B75" s="8" t="s">
        <v>812</v>
      </c>
      <c r="C75" s="13" t="s">
        <v>83</v>
      </c>
      <c r="D75" s="13" t="s">
        <v>1614</v>
      </c>
      <c r="E75" s="13" t="s">
        <v>57</v>
      </c>
      <c r="F75" s="13" t="s">
        <v>42</v>
      </c>
      <c r="G75" s="13" t="s">
        <v>111</v>
      </c>
      <c r="H75" s="13" t="s">
        <v>58</v>
      </c>
      <c r="I75" s="13" t="s">
        <v>86</v>
      </c>
      <c r="J75" s="13" t="s">
        <v>1614</v>
      </c>
      <c r="K75" s="13" t="s">
        <v>45</v>
      </c>
      <c r="L75" s="13" t="s">
        <v>1614</v>
      </c>
      <c r="M75" s="13" t="s">
        <v>107</v>
      </c>
      <c r="N75" s="13" t="s">
        <v>98</v>
      </c>
      <c r="O75" s="13" t="s">
        <v>1860</v>
      </c>
      <c r="P75" s="13" t="s">
        <v>49</v>
      </c>
      <c r="Q75" s="13" t="s">
        <v>99</v>
      </c>
      <c r="R75" s="13" t="s">
        <v>1883</v>
      </c>
      <c r="S75" s="13" t="s">
        <v>63</v>
      </c>
      <c r="T75" s="13" t="s">
        <v>53</v>
      </c>
      <c r="U75" s="13" t="s">
        <v>1617</v>
      </c>
      <c r="V75" s="13">
        <v>4</v>
      </c>
      <c r="W75" s="13">
        <v>5</v>
      </c>
      <c r="X75" s="13" t="s">
        <v>50</v>
      </c>
      <c r="Y75" s="13" t="s">
        <v>1884</v>
      </c>
      <c r="Z75" s="13" t="s">
        <v>1885</v>
      </c>
      <c r="AA75" s="13" t="str">
        <f t="shared" si="1"/>
        <v>OK</v>
      </c>
    </row>
    <row r="76" spans="1:27" ht="189">
      <c r="A76" s="8" t="s">
        <v>819</v>
      </c>
      <c r="B76" s="8" t="s">
        <v>821</v>
      </c>
      <c r="C76" s="13" t="s">
        <v>83</v>
      </c>
      <c r="D76" s="13" t="s">
        <v>1614</v>
      </c>
      <c r="E76" s="13" t="s">
        <v>57</v>
      </c>
      <c r="F76" s="13" t="s">
        <v>42</v>
      </c>
      <c r="G76" s="13" t="s">
        <v>43</v>
      </c>
      <c r="H76" s="13" t="s">
        <v>1614</v>
      </c>
      <c r="I76" s="13" t="s">
        <v>86</v>
      </c>
      <c r="J76" s="13" t="s">
        <v>1614</v>
      </c>
      <c r="K76" s="13" t="s">
        <v>45</v>
      </c>
      <c r="L76" s="13" t="s">
        <v>126</v>
      </c>
      <c r="M76" s="13" t="s">
        <v>107</v>
      </c>
      <c r="N76" s="13" t="s">
        <v>98</v>
      </c>
      <c r="O76" s="13" t="s">
        <v>1829</v>
      </c>
      <c r="P76" s="13" t="s">
        <v>49</v>
      </c>
      <c r="Q76" s="13" t="s">
        <v>99</v>
      </c>
      <c r="R76" s="13" t="s">
        <v>1886</v>
      </c>
      <c r="S76" s="13" t="s">
        <v>63</v>
      </c>
      <c r="T76" s="13" t="s">
        <v>53</v>
      </c>
      <c r="U76" s="13" t="s">
        <v>1617</v>
      </c>
      <c r="V76" s="13">
        <v>4</v>
      </c>
      <c r="W76" s="13">
        <v>5</v>
      </c>
      <c r="X76" s="13" t="s">
        <v>50</v>
      </c>
      <c r="Y76" s="13" t="s">
        <v>1887</v>
      </c>
      <c r="Z76" s="13" t="s">
        <v>1888</v>
      </c>
      <c r="AA76" s="13" t="str">
        <f t="shared" si="1"/>
        <v>OK</v>
      </c>
    </row>
    <row r="77" spans="1:27" ht="189">
      <c r="A77" s="8" t="s">
        <v>827</v>
      </c>
      <c r="B77" s="8" t="s">
        <v>829</v>
      </c>
      <c r="C77" s="13" t="s">
        <v>83</v>
      </c>
      <c r="D77" s="13" t="s">
        <v>1614</v>
      </c>
      <c r="E77" s="13" t="s">
        <v>57</v>
      </c>
      <c r="F77" s="13" t="s">
        <v>42</v>
      </c>
      <c r="G77" s="13" t="s">
        <v>111</v>
      </c>
      <c r="H77" s="13" t="s">
        <v>58</v>
      </c>
      <c r="I77" s="13" t="s">
        <v>86</v>
      </c>
      <c r="J77" s="13" t="s">
        <v>1614</v>
      </c>
      <c r="K77" s="13" t="s">
        <v>45</v>
      </c>
      <c r="L77" s="13" t="s">
        <v>1614</v>
      </c>
      <c r="M77" s="13" t="s">
        <v>107</v>
      </c>
      <c r="N77" s="13" t="s">
        <v>98</v>
      </c>
      <c r="O77" s="13" t="s">
        <v>1889</v>
      </c>
      <c r="P77" s="13" t="s">
        <v>49</v>
      </c>
      <c r="Q77" s="13" t="s">
        <v>99</v>
      </c>
      <c r="R77" s="13" t="s">
        <v>1890</v>
      </c>
      <c r="S77" s="13" t="s">
        <v>63</v>
      </c>
      <c r="T77" s="13" t="s">
        <v>53</v>
      </c>
      <c r="U77" s="13" t="s">
        <v>1617</v>
      </c>
      <c r="V77" s="13">
        <v>4</v>
      </c>
      <c r="W77" s="13">
        <v>5</v>
      </c>
      <c r="X77" s="13" t="s">
        <v>50</v>
      </c>
      <c r="Y77" s="13" t="s">
        <v>1891</v>
      </c>
      <c r="Z77" s="13" t="s">
        <v>1892</v>
      </c>
      <c r="AA77" s="13" t="str">
        <f t="shared" si="1"/>
        <v>OK</v>
      </c>
    </row>
    <row r="78" spans="1:27" ht="189">
      <c r="A78" s="8" t="s">
        <v>836</v>
      </c>
      <c r="B78" s="8" t="s">
        <v>838</v>
      </c>
      <c r="C78" s="13" t="s">
        <v>83</v>
      </c>
      <c r="D78" s="13" t="s">
        <v>1614</v>
      </c>
      <c r="E78" s="13" t="s">
        <v>57</v>
      </c>
      <c r="F78" s="13" t="s">
        <v>42</v>
      </c>
      <c r="G78" s="13" t="s">
        <v>43</v>
      </c>
      <c r="H78" s="13" t="s">
        <v>95</v>
      </c>
      <c r="I78" s="13" t="s">
        <v>86</v>
      </c>
      <c r="J78" s="13" t="s">
        <v>1614</v>
      </c>
      <c r="K78" s="13" t="s">
        <v>45</v>
      </c>
      <c r="L78" s="13" t="s">
        <v>126</v>
      </c>
      <c r="M78" s="13" t="s">
        <v>107</v>
      </c>
      <c r="N78" s="13" t="s">
        <v>98</v>
      </c>
      <c r="O78" s="13" t="s">
        <v>1829</v>
      </c>
      <c r="P78" s="13" t="s">
        <v>49</v>
      </c>
      <c r="Q78" s="13" t="s">
        <v>99</v>
      </c>
      <c r="R78" s="13" t="s">
        <v>1893</v>
      </c>
      <c r="S78" s="13" t="s">
        <v>63</v>
      </c>
      <c r="T78" s="13" t="s">
        <v>53</v>
      </c>
      <c r="U78" s="13" t="s">
        <v>1617</v>
      </c>
      <c r="V78" s="13">
        <v>4</v>
      </c>
      <c r="W78" s="13">
        <v>5</v>
      </c>
      <c r="X78" s="13" t="s">
        <v>50</v>
      </c>
      <c r="Y78" s="13" t="s">
        <v>1894</v>
      </c>
      <c r="Z78" s="13" t="s">
        <v>1895</v>
      </c>
      <c r="AA78" s="13" t="str">
        <f t="shared" si="1"/>
        <v>OK</v>
      </c>
    </row>
    <row r="79" spans="1:27" ht="204.75">
      <c r="A79" s="8" t="s">
        <v>845</v>
      </c>
      <c r="B79" s="8" t="s">
        <v>847</v>
      </c>
      <c r="C79" s="13" t="s">
        <v>83</v>
      </c>
      <c r="D79" s="13" t="s">
        <v>1614</v>
      </c>
      <c r="E79" s="13" t="s">
        <v>57</v>
      </c>
      <c r="F79" s="13" t="s">
        <v>42</v>
      </c>
      <c r="G79" s="13" t="s">
        <v>43</v>
      </c>
      <c r="H79" s="13" t="s">
        <v>95</v>
      </c>
      <c r="I79" s="13" t="s">
        <v>86</v>
      </c>
      <c r="J79" s="13" t="s">
        <v>1614</v>
      </c>
      <c r="K79" s="13" t="s">
        <v>45</v>
      </c>
      <c r="L79" s="13" t="s">
        <v>126</v>
      </c>
      <c r="M79" s="13" t="s">
        <v>107</v>
      </c>
      <c r="N79" s="13" t="s">
        <v>98</v>
      </c>
      <c r="O79" s="13" t="s">
        <v>1829</v>
      </c>
      <c r="P79" s="13" t="s">
        <v>49</v>
      </c>
      <c r="Q79" s="13" t="s">
        <v>99</v>
      </c>
      <c r="R79" s="13" t="s">
        <v>1896</v>
      </c>
      <c r="S79" s="13" t="s">
        <v>63</v>
      </c>
      <c r="T79" s="13" t="s">
        <v>53</v>
      </c>
      <c r="U79" s="13" t="s">
        <v>1617</v>
      </c>
      <c r="V79" s="13">
        <v>4</v>
      </c>
      <c r="W79" s="13">
        <v>5</v>
      </c>
      <c r="X79" s="13" t="s">
        <v>50</v>
      </c>
      <c r="Y79" s="13" t="s">
        <v>1897</v>
      </c>
      <c r="Z79" s="13" t="s">
        <v>1898</v>
      </c>
      <c r="AA79" s="13" t="str">
        <f t="shared" si="1"/>
        <v>OK</v>
      </c>
    </row>
    <row r="80" spans="1:27" ht="204.75">
      <c r="A80" s="8" t="s">
        <v>854</v>
      </c>
      <c r="B80" s="8" t="s">
        <v>856</v>
      </c>
      <c r="C80" s="13" t="s">
        <v>83</v>
      </c>
      <c r="D80" s="13" t="s">
        <v>1614</v>
      </c>
      <c r="E80" s="13" t="s">
        <v>57</v>
      </c>
      <c r="F80" s="13" t="s">
        <v>42</v>
      </c>
      <c r="G80" s="13" t="s">
        <v>43</v>
      </c>
      <c r="H80" s="13" t="s">
        <v>95</v>
      </c>
      <c r="I80" s="13" t="s">
        <v>86</v>
      </c>
      <c r="J80" s="13" t="s">
        <v>1614</v>
      </c>
      <c r="K80" s="13" t="s">
        <v>45</v>
      </c>
      <c r="L80" s="13" t="s">
        <v>126</v>
      </c>
      <c r="M80" s="13" t="s">
        <v>107</v>
      </c>
      <c r="N80" s="13" t="s">
        <v>98</v>
      </c>
      <c r="O80" s="13" t="s">
        <v>1829</v>
      </c>
      <c r="P80" s="13" t="s">
        <v>49</v>
      </c>
      <c r="Q80" s="13" t="s">
        <v>99</v>
      </c>
      <c r="R80" s="13" t="s">
        <v>1899</v>
      </c>
      <c r="S80" s="13" t="s">
        <v>63</v>
      </c>
      <c r="T80" s="13" t="s">
        <v>53</v>
      </c>
      <c r="U80" s="13" t="s">
        <v>1617</v>
      </c>
      <c r="V80" s="13">
        <v>4</v>
      </c>
      <c r="W80" s="13">
        <v>5</v>
      </c>
      <c r="X80" s="13" t="s">
        <v>50</v>
      </c>
      <c r="Y80" s="13" t="s">
        <v>1900</v>
      </c>
      <c r="Z80" s="13" t="s">
        <v>1901</v>
      </c>
      <c r="AA80" s="13" t="str">
        <f t="shared" si="1"/>
        <v>OK</v>
      </c>
    </row>
    <row r="81" spans="1:27" ht="189">
      <c r="A81" s="8" t="s">
        <v>863</v>
      </c>
      <c r="B81" s="8" t="s">
        <v>865</v>
      </c>
      <c r="C81" s="13" t="s">
        <v>83</v>
      </c>
      <c r="D81" s="13" t="s">
        <v>1614</v>
      </c>
      <c r="E81" s="13" t="s">
        <v>57</v>
      </c>
      <c r="F81" s="13" t="s">
        <v>42</v>
      </c>
      <c r="G81" s="13" t="s">
        <v>111</v>
      </c>
      <c r="H81" s="13" t="s">
        <v>58</v>
      </c>
      <c r="I81" s="13" t="s">
        <v>86</v>
      </c>
      <c r="J81" s="13" t="s">
        <v>1614</v>
      </c>
      <c r="K81" s="13" t="s">
        <v>45</v>
      </c>
      <c r="L81" s="13" t="s">
        <v>1614</v>
      </c>
      <c r="M81" s="13" t="s">
        <v>107</v>
      </c>
      <c r="N81" s="13" t="s">
        <v>98</v>
      </c>
      <c r="O81" s="13" t="s">
        <v>1860</v>
      </c>
      <c r="P81" s="13" t="s">
        <v>49</v>
      </c>
      <c r="Q81" s="13" t="s">
        <v>99</v>
      </c>
      <c r="R81" s="13" t="s">
        <v>1902</v>
      </c>
      <c r="S81" s="13" t="s">
        <v>63</v>
      </c>
      <c r="T81" s="13" t="s">
        <v>53</v>
      </c>
      <c r="U81" s="13" t="s">
        <v>1617</v>
      </c>
      <c r="V81" s="13">
        <v>4</v>
      </c>
      <c r="W81" s="13">
        <v>5</v>
      </c>
      <c r="X81" s="13" t="s">
        <v>50</v>
      </c>
      <c r="Y81" s="13" t="s">
        <v>1903</v>
      </c>
      <c r="Z81" s="13" t="s">
        <v>1904</v>
      </c>
      <c r="AA81" s="13" t="str">
        <f t="shared" si="1"/>
        <v>OK</v>
      </c>
    </row>
    <row r="82" spans="1:27" ht="189">
      <c r="A82" s="8" t="s">
        <v>871</v>
      </c>
      <c r="B82" s="8" t="s">
        <v>873</v>
      </c>
      <c r="C82" s="13" t="s">
        <v>83</v>
      </c>
      <c r="D82" s="13" t="s">
        <v>1614</v>
      </c>
      <c r="E82" s="13" t="s">
        <v>57</v>
      </c>
      <c r="F82" s="13" t="s">
        <v>42</v>
      </c>
      <c r="G82" s="13" t="s">
        <v>43</v>
      </c>
      <c r="H82" s="13" t="s">
        <v>111</v>
      </c>
      <c r="I82" s="13" t="s">
        <v>86</v>
      </c>
      <c r="J82" s="13" t="s">
        <v>1614</v>
      </c>
      <c r="K82" s="13" t="s">
        <v>45</v>
      </c>
      <c r="L82" s="13" t="s">
        <v>1614</v>
      </c>
      <c r="M82" s="13" t="s">
        <v>107</v>
      </c>
      <c r="N82" s="13" t="s">
        <v>98</v>
      </c>
      <c r="O82" s="13" t="s">
        <v>1860</v>
      </c>
      <c r="P82" s="13" t="s">
        <v>49</v>
      </c>
      <c r="Q82" s="13" t="s">
        <v>99</v>
      </c>
      <c r="R82" s="13" t="s">
        <v>1905</v>
      </c>
      <c r="S82" s="13" t="s">
        <v>63</v>
      </c>
      <c r="T82" s="13" t="s">
        <v>53</v>
      </c>
      <c r="U82" s="13" t="s">
        <v>1617</v>
      </c>
      <c r="V82" s="13">
        <v>4</v>
      </c>
      <c r="W82" s="13">
        <v>5</v>
      </c>
      <c r="X82" s="13" t="s">
        <v>50</v>
      </c>
      <c r="Y82" s="13" t="s">
        <v>1906</v>
      </c>
      <c r="Z82" s="13" t="s">
        <v>1907</v>
      </c>
      <c r="AA82" s="13" t="str">
        <f t="shared" si="1"/>
        <v>OK</v>
      </c>
    </row>
    <row r="83" spans="1:27" ht="204.75">
      <c r="A83" s="8" t="s">
        <v>879</v>
      </c>
      <c r="B83" s="8" t="s">
        <v>881</v>
      </c>
      <c r="C83" s="13" t="s">
        <v>83</v>
      </c>
      <c r="D83" s="13" t="s">
        <v>1614</v>
      </c>
      <c r="E83" s="13" t="s">
        <v>57</v>
      </c>
      <c r="F83" s="13" t="s">
        <v>42</v>
      </c>
      <c r="G83" s="13" t="s">
        <v>43</v>
      </c>
      <c r="H83" s="13" t="s">
        <v>95</v>
      </c>
      <c r="I83" s="13" t="s">
        <v>86</v>
      </c>
      <c r="J83" s="13" t="s">
        <v>1614</v>
      </c>
      <c r="K83" s="13" t="s">
        <v>45</v>
      </c>
      <c r="L83" s="13" t="s">
        <v>126</v>
      </c>
      <c r="M83" s="13" t="s">
        <v>107</v>
      </c>
      <c r="N83" s="13" t="s">
        <v>98</v>
      </c>
      <c r="O83" s="13" t="s">
        <v>1829</v>
      </c>
      <c r="P83" s="13" t="s">
        <v>49</v>
      </c>
      <c r="Q83" s="13" t="s">
        <v>99</v>
      </c>
      <c r="R83" s="13" t="s">
        <v>1908</v>
      </c>
      <c r="S83" s="13" t="s">
        <v>63</v>
      </c>
      <c r="T83" s="13" t="s">
        <v>53</v>
      </c>
      <c r="U83" s="13" t="s">
        <v>1617</v>
      </c>
      <c r="V83" s="13">
        <v>4</v>
      </c>
      <c r="W83" s="13">
        <v>5</v>
      </c>
      <c r="X83" s="13" t="s">
        <v>50</v>
      </c>
      <c r="Y83" s="13" t="s">
        <v>1909</v>
      </c>
      <c r="Z83" s="13" t="s">
        <v>1910</v>
      </c>
      <c r="AA83" s="13" t="str">
        <f t="shared" si="1"/>
        <v>OK</v>
      </c>
    </row>
    <row r="84" spans="1:27" ht="189">
      <c r="A84" s="8" t="s">
        <v>888</v>
      </c>
      <c r="B84" s="8" t="s">
        <v>890</v>
      </c>
      <c r="C84" s="13" t="s">
        <v>83</v>
      </c>
      <c r="D84" s="13" t="s">
        <v>1614</v>
      </c>
      <c r="E84" s="13" t="s">
        <v>57</v>
      </c>
      <c r="F84" s="13" t="s">
        <v>42</v>
      </c>
      <c r="G84" s="13" t="s">
        <v>43</v>
      </c>
      <c r="H84" s="13" t="s">
        <v>95</v>
      </c>
      <c r="I84" s="13" t="s">
        <v>86</v>
      </c>
      <c r="J84" s="13" t="s">
        <v>1614</v>
      </c>
      <c r="K84" s="13" t="s">
        <v>45</v>
      </c>
      <c r="L84" s="13" t="s">
        <v>126</v>
      </c>
      <c r="M84" s="13" t="s">
        <v>107</v>
      </c>
      <c r="N84" s="13" t="s">
        <v>98</v>
      </c>
      <c r="O84" s="13" t="s">
        <v>1829</v>
      </c>
      <c r="P84" s="13" t="s">
        <v>49</v>
      </c>
      <c r="Q84" s="13" t="s">
        <v>99</v>
      </c>
      <c r="R84" s="13" t="s">
        <v>1911</v>
      </c>
      <c r="S84" s="13" t="s">
        <v>63</v>
      </c>
      <c r="T84" s="13" t="s">
        <v>53</v>
      </c>
      <c r="U84" s="13" t="s">
        <v>1617</v>
      </c>
      <c r="V84" s="13">
        <v>4</v>
      </c>
      <c r="W84" s="13">
        <v>5</v>
      </c>
      <c r="X84" s="13" t="s">
        <v>50</v>
      </c>
      <c r="Y84" s="13" t="s">
        <v>1912</v>
      </c>
      <c r="Z84" s="13" t="s">
        <v>1913</v>
      </c>
      <c r="AA84" s="13" t="str">
        <f t="shared" si="1"/>
        <v>OK</v>
      </c>
    </row>
    <row r="85" spans="1:27" ht="204.75">
      <c r="A85" s="8" t="s">
        <v>896</v>
      </c>
      <c r="B85" s="8" t="s">
        <v>898</v>
      </c>
      <c r="C85" s="13" t="s">
        <v>83</v>
      </c>
      <c r="D85" s="13" t="s">
        <v>71</v>
      </c>
      <c r="E85" s="13" t="s">
        <v>57</v>
      </c>
      <c r="F85" s="13" t="s">
        <v>42</v>
      </c>
      <c r="G85" s="13" t="s">
        <v>58</v>
      </c>
      <c r="H85" s="13" t="s">
        <v>1914</v>
      </c>
      <c r="I85" s="13" t="s">
        <v>86</v>
      </c>
      <c r="J85" s="13" t="s">
        <v>1794</v>
      </c>
      <c r="K85" s="13" t="s">
        <v>45</v>
      </c>
      <c r="L85" s="13" t="s">
        <v>1614</v>
      </c>
      <c r="M85" s="13" t="s">
        <v>107</v>
      </c>
      <c r="N85" s="13" t="s">
        <v>98</v>
      </c>
      <c r="O85" s="13" t="s">
        <v>1889</v>
      </c>
      <c r="P85" s="13" t="s">
        <v>49</v>
      </c>
      <c r="Q85" s="13" t="s">
        <v>99</v>
      </c>
      <c r="R85" s="13" t="s">
        <v>1915</v>
      </c>
      <c r="S85" s="13" t="s">
        <v>63</v>
      </c>
      <c r="T85" s="13" t="s">
        <v>53</v>
      </c>
      <c r="U85" s="13" t="s">
        <v>1617</v>
      </c>
      <c r="V85" s="13">
        <v>4</v>
      </c>
      <c r="W85" s="13">
        <v>5</v>
      </c>
      <c r="X85" s="13" t="s">
        <v>50</v>
      </c>
      <c r="Y85" s="13" t="s">
        <v>1916</v>
      </c>
      <c r="Z85" s="13" t="s">
        <v>1917</v>
      </c>
      <c r="AA85" s="13" t="str">
        <f t="shared" si="1"/>
        <v>OK</v>
      </c>
    </row>
    <row r="86" spans="1:27" ht="189">
      <c r="A86" s="8" t="s">
        <v>904</v>
      </c>
      <c r="B86" s="8" t="s">
        <v>906</v>
      </c>
      <c r="C86" s="13" t="s">
        <v>83</v>
      </c>
      <c r="D86" s="13" t="s">
        <v>1614</v>
      </c>
      <c r="E86" s="13" t="s">
        <v>57</v>
      </c>
      <c r="F86" s="13" t="s">
        <v>42</v>
      </c>
      <c r="G86" s="13" t="s">
        <v>43</v>
      </c>
      <c r="H86" s="13" t="s">
        <v>95</v>
      </c>
      <c r="I86" s="13" t="s">
        <v>86</v>
      </c>
      <c r="J86" s="13" t="s">
        <v>1614</v>
      </c>
      <c r="K86" s="13" t="s">
        <v>45</v>
      </c>
      <c r="L86" s="13" t="s">
        <v>126</v>
      </c>
      <c r="M86" s="13" t="s">
        <v>107</v>
      </c>
      <c r="N86" s="13" t="s">
        <v>98</v>
      </c>
      <c r="O86" s="13" t="s">
        <v>1829</v>
      </c>
      <c r="P86" s="13" t="s">
        <v>49</v>
      </c>
      <c r="Q86" s="13" t="s">
        <v>99</v>
      </c>
      <c r="R86" s="13" t="s">
        <v>1918</v>
      </c>
      <c r="S86" s="13" t="s">
        <v>63</v>
      </c>
      <c r="T86" s="13" t="s">
        <v>53</v>
      </c>
      <c r="U86" s="13" t="s">
        <v>1617</v>
      </c>
      <c r="V86" s="13">
        <v>4</v>
      </c>
      <c r="W86" s="13">
        <v>5</v>
      </c>
      <c r="X86" s="13" t="s">
        <v>50</v>
      </c>
      <c r="Y86" s="13" t="s">
        <v>1919</v>
      </c>
      <c r="Z86" s="13" t="s">
        <v>1920</v>
      </c>
      <c r="AA86" s="13" t="str">
        <f t="shared" si="1"/>
        <v>OK</v>
      </c>
    </row>
    <row r="87" spans="1:27" ht="204.75">
      <c r="A87" s="8" t="s">
        <v>913</v>
      </c>
      <c r="B87" s="8" t="s">
        <v>915</v>
      </c>
      <c r="C87" s="13" t="s">
        <v>83</v>
      </c>
      <c r="D87" s="13" t="s">
        <v>1614</v>
      </c>
      <c r="E87" s="13" t="s">
        <v>57</v>
      </c>
      <c r="F87" s="13" t="s">
        <v>42</v>
      </c>
      <c r="G87" s="13" t="s">
        <v>43</v>
      </c>
      <c r="H87" s="13" t="s">
        <v>95</v>
      </c>
      <c r="I87" s="13" t="s">
        <v>86</v>
      </c>
      <c r="J87" s="13" t="s">
        <v>1614</v>
      </c>
      <c r="K87" s="13" t="s">
        <v>45</v>
      </c>
      <c r="L87" s="13" t="s">
        <v>126</v>
      </c>
      <c r="M87" s="13" t="s">
        <v>107</v>
      </c>
      <c r="N87" s="13" t="s">
        <v>98</v>
      </c>
      <c r="O87" s="13" t="s">
        <v>1829</v>
      </c>
      <c r="P87" s="13" t="s">
        <v>49</v>
      </c>
      <c r="Q87" s="13" t="s">
        <v>99</v>
      </c>
      <c r="R87" s="13" t="s">
        <v>1921</v>
      </c>
      <c r="S87" s="13" t="s">
        <v>63</v>
      </c>
      <c r="T87" s="13" t="s">
        <v>53</v>
      </c>
      <c r="U87" s="13" t="s">
        <v>1617</v>
      </c>
      <c r="V87" s="13">
        <v>4</v>
      </c>
      <c r="W87" s="13">
        <v>5</v>
      </c>
      <c r="X87" s="13" t="s">
        <v>50</v>
      </c>
      <c r="Y87" s="13" t="s">
        <v>1922</v>
      </c>
      <c r="Z87" s="13" t="s">
        <v>1923</v>
      </c>
      <c r="AA87" s="13" t="str">
        <f t="shared" si="1"/>
        <v>OK</v>
      </c>
    </row>
    <row r="88" spans="1:27" ht="173.25">
      <c r="A88" s="8" t="s">
        <v>922</v>
      </c>
      <c r="B88" s="8" t="s">
        <v>924</v>
      </c>
      <c r="C88" s="13" t="s">
        <v>83</v>
      </c>
      <c r="D88" s="13" t="s">
        <v>1614</v>
      </c>
      <c r="E88" s="13" t="s">
        <v>57</v>
      </c>
      <c r="F88" s="13" t="s">
        <v>42</v>
      </c>
      <c r="G88" s="13" t="s">
        <v>73</v>
      </c>
      <c r="H88" s="13" t="s">
        <v>111</v>
      </c>
      <c r="I88" s="13" t="s">
        <v>86</v>
      </c>
      <c r="J88" s="13" t="s">
        <v>1614</v>
      </c>
      <c r="K88" s="13" t="s">
        <v>45</v>
      </c>
      <c r="L88" s="13" t="s">
        <v>126</v>
      </c>
      <c r="M88" s="13" t="s">
        <v>107</v>
      </c>
      <c r="N88" s="13" t="s">
        <v>98</v>
      </c>
      <c r="O88" s="13" t="s">
        <v>1829</v>
      </c>
      <c r="P88" s="13" t="s">
        <v>49</v>
      </c>
      <c r="Q88" s="13" t="s">
        <v>99</v>
      </c>
      <c r="R88" s="13" t="s">
        <v>1924</v>
      </c>
      <c r="S88" s="13" t="s">
        <v>63</v>
      </c>
      <c r="T88" s="13" t="s">
        <v>53</v>
      </c>
      <c r="U88" s="13" t="s">
        <v>1617</v>
      </c>
      <c r="V88" s="13">
        <v>4</v>
      </c>
      <c r="W88" s="13">
        <v>5</v>
      </c>
      <c r="X88" s="13" t="s">
        <v>65</v>
      </c>
      <c r="Y88" s="13" t="s">
        <v>1925</v>
      </c>
      <c r="Z88" s="13" t="s">
        <v>1926</v>
      </c>
      <c r="AA88" s="13" t="str">
        <f t="shared" si="1"/>
        <v>OK</v>
      </c>
    </row>
    <row r="89" spans="1:27" ht="189">
      <c r="A89" s="8" t="s">
        <v>930</v>
      </c>
      <c r="B89" s="8" t="s">
        <v>932</v>
      </c>
      <c r="C89" s="13" t="s">
        <v>83</v>
      </c>
      <c r="D89" s="13" t="s">
        <v>1614</v>
      </c>
      <c r="E89" s="13" t="s">
        <v>57</v>
      </c>
      <c r="F89" s="13" t="s">
        <v>42</v>
      </c>
      <c r="G89" s="13" t="s">
        <v>43</v>
      </c>
      <c r="H89" s="13" t="s">
        <v>95</v>
      </c>
      <c r="I89" s="13" t="s">
        <v>86</v>
      </c>
      <c r="J89" s="13" t="s">
        <v>1614</v>
      </c>
      <c r="K89" s="13" t="s">
        <v>45</v>
      </c>
      <c r="L89" s="13" t="s">
        <v>126</v>
      </c>
      <c r="M89" s="13" t="s">
        <v>107</v>
      </c>
      <c r="N89" s="13" t="s">
        <v>98</v>
      </c>
      <c r="O89" s="13" t="s">
        <v>1829</v>
      </c>
      <c r="P89" s="13" t="s">
        <v>49</v>
      </c>
      <c r="Q89" s="13" t="s">
        <v>99</v>
      </c>
      <c r="R89" s="13" t="s">
        <v>1927</v>
      </c>
      <c r="S89" s="13" t="s">
        <v>63</v>
      </c>
      <c r="T89" s="13" t="s">
        <v>53</v>
      </c>
      <c r="U89" s="13" t="s">
        <v>1617</v>
      </c>
      <c r="V89" s="13">
        <v>4</v>
      </c>
      <c r="W89" s="13">
        <v>5</v>
      </c>
      <c r="X89" s="13" t="s">
        <v>50</v>
      </c>
      <c r="Y89" s="13" t="s">
        <v>1928</v>
      </c>
      <c r="Z89" s="13" t="s">
        <v>1929</v>
      </c>
      <c r="AA89" s="13" t="str">
        <f t="shared" si="1"/>
        <v>OK</v>
      </c>
    </row>
    <row r="90" spans="1:27" ht="189">
      <c r="A90" s="8" t="s">
        <v>938</v>
      </c>
      <c r="B90" s="8" t="s">
        <v>940</v>
      </c>
      <c r="C90" s="13" t="s">
        <v>83</v>
      </c>
      <c r="D90" s="13" t="s">
        <v>1614</v>
      </c>
      <c r="E90" s="13" t="s">
        <v>57</v>
      </c>
      <c r="F90" s="13" t="s">
        <v>42</v>
      </c>
      <c r="G90" s="13" t="s">
        <v>111</v>
      </c>
      <c r="H90" s="13" t="s">
        <v>1614</v>
      </c>
      <c r="I90" s="13" t="s">
        <v>86</v>
      </c>
      <c r="J90" s="13" t="s">
        <v>1614</v>
      </c>
      <c r="K90" s="13" t="s">
        <v>75</v>
      </c>
      <c r="L90" s="13" t="s">
        <v>1614</v>
      </c>
      <c r="M90" s="13" t="s">
        <v>76</v>
      </c>
      <c r="N90" s="13" t="s">
        <v>1614</v>
      </c>
      <c r="O90" s="13" t="s">
        <v>128</v>
      </c>
      <c r="P90" s="13" t="s">
        <v>49</v>
      </c>
      <c r="Q90" s="13" t="s">
        <v>62</v>
      </c>
      <c r="R90" s="13" t="s">
        <v>1930</v>
      </c>
      <c r="S90" s="13" t="s">
        <v>63</v>
      </c>
      <c r="T90" s="13" t="s">
        <v>53</v>
      </c>
      <c r="U90" s="13" t="s">
        <v>1617</v>
      </c>
      <c r="V90" s="13">
        <v>2</v>
      </c>
      <c r="W90" s="13">
        <v>3</v>
      </c>
      <c r="X90" s="13" t="s">
        <v>50</v>
      </c>
      <c r="Y90" s="13" t="s">
        <v>1931</v>
      </c>
      <c r="Z90" s="13" t="s">
        <v>1932</v>
      </c>
      <c r="AA90" s="13" t="str">
        <f t="shared" si="1"/>
        <v>OK</v>
      </c>
    </row>
    <row r="91" spans="1:27" ht="204.75">
      <c r="A91" s="8" t="s">
        <v>947</v>
      </c>
      <c r="B91" s="8" t="s">
        <v>949</v>
      </c>
      <c r="C91" s="13" t="s">
        <v>83</v>
      </c>
      <c r="D91" s="13" t="s">
        <v>1614</v>
      </c>
      <c r="E91" s="13" t="s">
        <v>57</v>
      </c>
      <c r="F91" s="13" t="s">
        <v>42</v>
      </c>
      <c r="G91" s="13" t="s">
        <v>111</v>
      </c>
      <c r="H91" s="13" t="s">
        <v>58</v>
      </c>
      <c r="I91" s="13" t="s">
        <v>86</v>
      </c>
      <c r="J91" s="13" t="s">
        <v>1614</v>
      </c>
      <c r="K91" s="13" t="s">
        <v>45</v>
      </c>
      <c r="L91" s="13" t="s">
        <v>1614</v>
      </c>
      <c r="M91" s="13" t="s">
        <v>107</v>
      </c>
      <c r="N91" s="13" t="s">
        <v>98</v>
      </c>
      <c r="O91" s="13" t="s">
        <v>1829</v>
      </c>
      <c r="P91" s="13" t="s">
        <v>49</v>
      </c>
      <c r="Q91" s="13" t="s">
        <v>99</v>
      </c>
      <c r="R91" s="13" t="s">
        <v>1933</v>
      </c>
      <c r="S91" s="13" t="s">
        <v>63</v>
      </c>
      <c r="T91" s="13" t="s">
        <v>53</v>
      </c>
      <c r="U91" s="13" t="s">
        <v>1617</v>
      </c>
      <c r="V91" s="13">
        <v>4</v>
      </c>
      <c r="W91" s="13">
        <v>5</v>
      </c>
      <c r="X91" s="13" t="s">
        <v>50</v>
      </c>
      <c r="Y91" s="13" t="s">
        <v>1934</v>
      </c>
      <c r="Z91" s="13" t="s">
        <v>1935</v>
      </c>
      <c r="AA91" s="13" t="str">
        <f t="shared" si="1"/>
        <v>OK</v>
      </c>
    </row>
    <row r="92" spans="1:27" ht="204.75">
      <c r="A92" s="8" t="s">
        <v>956</v>
      </c>
      <c r="B92" s="8" t="s">
        <v>958</v>
      </c>
      <c r="C92" s="13" t="s">
        <v>83</v>
      </c>
      <c r="D92" s="13" t="s">
        <v>1614</v>
      </c>
      <c r="E92" s="13" t="s">
        <v>57</v>
      </c>
      <c r="F92" s="13" t="s">
        <v>42</v>
      </c>
      <c r="G92" s="13" t="s">
        <v>58</v>
      </c>
      <c r="H92" s="13" t="s">
        <v>111</v>
      </c>
      <c r="I92" s="13" t="s">
        <v>86</v>
      </c>
      <c r="J92" s="13" t="s">
        <v>1614</v>
      </c>
      <c r="K92" s="13" t="s">
        <v>45</v>
      </c>
      <c r="L92" s="13" t="s">
        <v>126</v>
      </c>
      <c r="M92" s="13" t="s">
        <v>107</v>
      </c>
      <c r="N92" s="13" t="s">
        <v>98</v>
      </c>
      <c r="O92" s="13" t="s">
        <v>1829</v>
      </c>
      <c r="P92" s="13" t="s">
        <v>49</v>
      </c>
      <c r="Q92" s="13" t="s">
        <v>99</v>
      </c>
      <c r="R92" s="13" t="s">
        <v>1936</v>
      </c>
      <c r="S92" s="13" t="s">
        <v>63</v>
      </c>
      <c r="T92" s="13" t="s">
        <v>53</v>
      </c>
      <c r="U92" s="13" t="s">
        <v>1617</v>
      </c>
      <c r="V92" s="13">
        <v>4</v>
      </c>
      <c r="W92" s="13">
        <v>5</v>
      </c>
      <c r="X92" s="13" t="s">
        <v>50</v>
      </c>
      <c r="Y92" s="13" t="s">
        <v>1937</v>
      </c>
      <c r="Z92" s="13" t="s">
        <v>1938</v>
      </c>
      <c r="AA92" s="13" t="str">
        <f t="shared" si="1"/>
        <v>OK</v>
      </c>
    </row>
    <row r="93" spans="1:27" ht="189">
      <c r="A93" s="8" t="s">
        <v>965</v>
      </c>
      <c r="B93" s="8" t="s">
        <v>967</v>
      </c>
      <c r="C93" s="13" t="s">
        <v>83</v>
      </c>
      <c r="D93" s="13" t="s">
        <v>1614</v>
      </c>
      <c r="E93" s="13" t="s">
        <v>57</v>
      </c>
      <c r="F93" s="13" t="s">
        <v>42</v>
      </c>
      <c r="G93" s="13" t="s">
        <v>43</v>
      </c>
      <c r="H93" s="13" t="s">
        <v>95</v>
      </c>
      <c r="I93" s="13" t="s">
        <v>86</v>
      </c>
      <c r="J93" s="13" t="s">
        <v>1614</v>
      </c>
      <c r="K93" s="13" t="s">
        <v>45</v>
      </c>
      <c r="L93" s="13" t="s">
        <v>126</v>
      </c>
      <c r="M93" s="13" t="s">
        <v>107</v>
      </c>
      <c r="N93" s="13" t="s">
        <v>98</v>
      </c>
      <c r="O93" s="13" t="s">
        <v>1829</v>
      </c>
      <c r="P93" s="13" t="s">
        <v>49</v>
      </c>
      <c r="Q93" s="13" t="s">
        <v>99</v>
      </c>
      <c r="R93" s="13" t="s">
        <v>1939</v>
      </c>
      <c r="S93" s="13" t="s">
        <v>63</v>
      </c>
      <c r="T93" s="13" t="s">
        <v>53</v>
      </c>
      <c r="U93" s="13" t="s">
        <v>1617</v>
      </c>
      <c r="V93" s="13">
        <v>4</v>
      </c>
      <c r="W93" s="13">
        <v>5</v>
      </c>
      <c r="X93" s="13" t="s">
        <v>50</v>
      </c>
      <c r="Y93" s="13" t="s">
        <v>1940</v>
      </c>
      <c r="Z93" s="13" t="s">
        <v>1941</v>
      </c>
      <c r="AA93" s="13" t="str">
        <f t="shared" si="1"/>
        <v>OK</v>
      </c>
    </row>
    <row r="94" spans="1:27" ht="189">
      <c r="A94" s="8" t="s">
        <v>974</v>
      </c>
      <c r="B94" s="8" t="s">
        <v>976</v>
      </c>
      <c r="C94" s="13" t="s">
        <v>83</v>
      </c>
      <c r="D94" s="13" t="s">
        <v>1614</v>
      </c>
      <c r="E94" s="13" t="s">
        <v>57</v>
      </c>
      <c r="F94" s="13" t="s">
        <v>42</v>
      </c>
      <c r="G94" s="13" t="s">
        <v>111</v>
      </c>
      <c r="H94" s="13" t="s">
        <v>58</v>
      </c>
      <c r="I94" s="13" t="s">
        <v>86</v>
      </c>
      <c r="J94" s="13" t="s">
        <v>1614</v>
      </c>
      <c r="K94" s="13" t="s">
        <v>45</v>
      </c>
      <c r="L94" s="13" t="s">
        <v>1614</v>
      </c>
      <c r="M94" s="13" t="s">
        <v>107</v>
      </c>
      <c r="N94" s="13" t="s">
        <v>98</v>
      </c>
      <c r="O94" s="13" t="s">
        <v>1829</v>
      </c>
      <c r="P94" s="13" t="s">
        <v>49</v>
      </c>
      <c r="Q94" s="13" t="s">
        <v>99</v>
      </c>
      <c r="R94" s="13" t="s">
        <v>1942</v>
      </c>
      <c r="S94" s="13" t="s">
        <v>63</v>
      </c>
      <c r="T94" s="13" t="s">
        <v>53</v>
      </c>
      <c r="U94" s="13" t="s">
        <v>1617</v>
      </c>
      <c r="V94" s="13">
        <v>4</v>
      </c>
      <c r="W94" s="13">
        <v>5</v>
      </c>
      <c r="X94" s="13" t="s">
        <v>50</v>
      </c>
      <c r="Y94" s="13" t="s">
        <v>1943</v>
      </c>
      <c r="Z94" s="13" t="s">
        <v>1944</v>
      </c>
      <c r="AA94" s="13" t="str">
        <f t="shared" si="1"/>
        <v>OK</v>
      </c>
    </row>
    <row r="95" spans="1:27" ht="189">
      <c r="A95" s="8" t="s">
        <v>983</v>
      </c>
      <c r="B95" s="8" t="s">
        <v>985</v>
      </c>
      <c r="C95" s="13" t="s">
        <v>83</v>
      </c>
      <c r="D95" s="13" t="s">
        <v>1614</v>
      </c>
      <c r="E95" s="13" t="s">
        <v>57</v>
      </c>
      <c r="F95" s="13" t="s">
        <v>42</v>
      </c>
      <c r="G95" s="13" t="s">
        <v>111</v>
      </c>
      <c r="H95" s="13" t="s">
        <v>58</v>
      </c>
      <c r="I95" s="13" t="s">
        <v>86</v>
      </c>
      <c r="J95" s="13" t="s">
        <v>1614</v>
      </c>
      <c r="K95" s="13" t="s">
        <v>45</v>
      </c>
      <c r="L95" s="13" t="s">
        <v>1614</v>
      </c>
      <c r="M95" s="13" t="s">
        <v>107</v>
      </c>
      <c r="N95" s="13" t="s">
        <v>98</v>
      </c>
      <c r="O95" s="13" t="s">
        <v>1860</v>
      </c>
      <c r="P95" s="13" t="s">
        <v>49</v>
      </c>
      <c r="Q95" s="13" t="s">
        <v>99</v>
      </c>
      <c r="R95" s="13" t="s">
        <v>1945</v>
      </c>
      <c r="S95" s="13" t="s">
        <v>63</v>
      </c>
      <c r="T95" s="13" t="s">
        <v>53</v>
      </c>
      <c r="U95" s="13" t="s">
        <v>1617</v>
      </c>
      <c r="V95" s="13">
        <v>4</v>
      </c>
      <c r="W95" s="13">
        <v>5</v>
      </c>
      <c r="X95" s="13" t="s">
        <v>50</v>
      </c>
      <c r="Y95" s="13" t="s">
        <v>1946</v>
      </c>
      <c r="Z95" s="13" t="s">
        <v>1947</v>
      </c>
      <c r="AA95" s="13" t="str">
        <f t="shared" si="1"/>
        <v>OK</v>
      </c>
    </row>
    <row r="96" spans="1:27" ht="189">
      <c r="A96" s="8" t="s">
        <v>991</v>
      </c>
      <c r="B96" s="8" t="s">
        <v>993</v>
      </c>
      <c r="C96" s="13" t="s">
        <v>83</v>
      </c>
      <c r="D96" s="13" t="s">
        <v>1614</v>
      </c>
      <c r="E96" s="13" t="s">
        <v>57</v>
      </c>
      <c r="F96" s="13" t="s">
        <v>42</v>
      </c>
      <c r="G96" s="13" t="s">
        <v>111</v>
      </c>
      <c r="H96" s="13" t="s">
        <v>58</v>
      </c>
      <c r="I96" s="13" t="s">
        <v>86</v>
      </c>
      <c r="J96" s="13" t="s">
        <v>1614</v>
      </c>
      <c r="K96" s="13" t="s">
        <v>45</v>
      </c>
      <c r="L96" s="13" t="s">
        <v>1614</v>
      </c>
      <c r="M96" s="13" t="s">
        <v>107</v>
      </c>
      <c r="N96" s="13" t="s">
        <v>98</v>
      </c>
      <c r="O96" s="13" t="s">
        <v>1860</v>
      </c>
      <c r="P96" s="13" t="s">
        <v>49</v>
      </c>
      <c r="Q96" s="13" t="s">
        <v>99</v>
      </c>
      <c r="R96" s="13" t="s">
        <v>1948</v>
      </c>
      <c r="S96" s="13" t="s">
        <v>63</v>
      </c>
      <c r="T96" s="13" t="s">
        <v>53</v>
      </c>
      <c r="U96" s="13" t="s">
        <v>1617</v>
      </c>
      <c r="V96" s="13">
        <v>4</v>
      </c>
      <c r="W96" s="13">
        <v>5</v>
      </c>
      <c r="X96" s="13" t="s">
        <v>50</v>
      </c>
      <c r="Y96" s="13" t="s">
        <v>1949</v>
      </c>
      <c r="Z96" s="13" t="s">
        <v>1950</v>
      </c>
      <c r="AA96" s="13" t="str">
        <f t="shared" si="1"/>
        <v>OK</v>
      </c>
    </row>
    <row r="97" spans="1:27" ht="204.75">
      <c r="A97" s="8" t="s">
        <v>999</v>
      </c>
      <c r="B97" s="8" t="s">
        <v>1001</v>
      </c>
      <c r="C97" s="13" t="s">
        <v>83</v>
      </c>
      <c r="D97" s="13" t="s">
        <v>1614</v>
      </c>
      <c r="E97" s="13" t="s">
        <v>57</v>
      </c>
      <c r="F97" s="13" t="s">
        <v>42</v>
      </c>
      <c r="G97" s="13" t="s">
        <v>111</v>
      </c>
      <c r="H97" s="13" t="s">
        <v>58</v>
      </c>
      <c r="I97" s="13" t="s">
        <v>86</v>
      </c>
      <c r="J97" s="13" t="s">
        <v>74</v>
      </c>
      <c r="K97" s="13" t="s">
        <v>45</v>
      </c>
      <c r="L97" s="13" t="s">
        <v>126</v>
      </c>
      <c r="M97" s="13" t="s">
        <v>107</v>
      </c>
      <c r="N97" s="13" t="s">
        <v>98</v>
      </c>
      <c r="O97" s="13" t="s">
        <v>1829</v>
      </c>
      <c r="P97" s="13" t="s">
        <v>49</v>
      </c>
      <c r="Q97" s="13" t="s">
        <v>99</v>
      </c>
      <c r="R97" s="13" t="s">
        <v>1951</v>
      </c>
      <c r="S97" s="13" t="s">
        <v>63</v>
      </c>
      <c r="T97" s="13" t="s">
        <v>53</v>
      </c>
      <c r="U97" s="13" t="s">
        <v>1617</v>
      </c>
      <c r="V97" s="13">
        <v>4</v>
      </c>
      <c r="W97" s="13">
        <v>5</v>
      </c>
      <c r="X97" s="13" t="s">
        <v>50</v>
      </c>
      <c r="Y97" s="13" t="s">
        <v>1952</v>
      </c>
      <c r="Z97" s="13" t="s">
        <v>1953</v>
      </c>
      <c r="AA97" s="13" t="str">
        <f t="shared" si="1"/>
        <v>OK</v>
      </c>
    </row>
  </sheetData>
  <mergeCells count="1">
    <mergeCell ref="A1:Z1"/>
  </mergeCells>
  <conditionalFormatting sqref="C4:AA97">
    <cfRule type="expression" dxfId="10" priority="3">
      <formula>$C4="UNC"</formula>
    </cfRule>
    <cfRule type="expression" dxfId="9" priority="4">
      <formula>$C4="NA"</formula>
    </cfRule>
  </conditionalFormatting>
  <conditionalFormatting sqref="AA4:AA97">
    <cfRule type="expression" dxfId="8" priority="1">
      <formula>AA4="CHECK"</formula>
    </cfRule>
    <cfRule type="expression" dxfId="7" priority="2">
      <formula>AA4="OK"</formula>
    </cfRule>
    <cfRule type="expression" dxfId="6" priority="5">
      <formula>AA4="OK"</formula>
    </cfRule>
    <cfRule type="expression" dxfId="5" priority="6">
      <formula>AA4="UNC"</formula>
    </cfRule>
    <cfRule type="expression" dxfId="4" priority="7">
      <formula>AA4="NA"</formula>
    </cfRule>
  </conditionalFormatting>
  <dataValidations count="1">
    <dataValidation type="whole" sqref="V4:W97" xr:uid="{B00767E0-5A99-4EEF-A725-D787EE76CA7C}">
      <formula1>1</formula1>
      <formula2>9</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U97"/>
  <sheetViews>
    <sheetView workbookViewId="0">
      <selection activeCell="C4" sqref="C4:AS7"/>
    </sheetView>
  </sheetViews>
  <sheetFormatPr defaultRowHeight="15.75"/>
  <cols>
    <col min="1" max="1" width="11" style="2" customWidth="1"/>
    <col min="2" max="2" width="48" style="2" customWidth="1"/>
    <col min="3" max="3" width="44" style="2" customWidth="1"/>
    <col min="4" max="4" width="56" style="2" customWidth="1"/>
    <col min="5" max="5" width="46" style="2" customWidth="1"/>
    <col min="6" max="6" width="24" style="2" customWidth="1"/>
    <col min="7" max="7" width="52" style="2" customWidth="1"/>
    <col min="8" max="8" width="46" style="2" customWidth="1"/>
    <col min="9" max="9" width="22" style="2" customWidth="1"/>
    <col min="10" max="10" width="42" style="2" customWidth="1"/>
    <col min="11" max="13" width="56" style="2" customWidth="1"/>
    <col min="14" max="14" width="40" style="2" customWidth="1"/>
    <col min="15" max="15" width="46" style="2" customWidth="1"/>
    <col min="16" max="16" width="48" style="2" customWidth="1"/>
    <col min="17" max="17" width="44" style="2" customWidth="1"/>
    <col min="18" max="18" width="52" style="2" customWidth="1"/>
    <col min="19" max="19" width="48" style="2" customWidth="1"/>
    <col min="20" max="20" width="30" style="2" customWidth="1"/>
    <col min="21" max="21" width="50" style="2" customWidth="1"/>
    <col min="22" max="16384" width="9" style="2"/>
  </cols>
  <sheetData>
    <row r="1" spans="1:21" s="7" customFormat="1" ht="20.25">
      <c r="A1" s="16" t="s">
        <v>1051</v>
      </c>
      <c r="B1" s="16"/>
      <c r="C1" s="16"/>
      <c r="D1" s="16"/>
      <c r="E1" s="16"/>
      <c r="F1" s="16"/>
      <c r="G1" s="16"/>
      <c r="H1" s="16"/>
      <c r="I1" s="16"/>
      <c r="J1" s="16"/>
      <c r="K1" s="16"/>
      <c r="L1" s="16"/>
      <c r="M1" s="16"/>
      <c r="N1" s="16"/>
      <c r="O1" s="16"/>
      <c r="P1" s="16"/>
      <c r="Q1" s="16"/>
      <c r="R1" s="16"/>
      <c r="S1" s="16"/>
      <c r="T1" s="16"/>
      <c r="U1" s="16"/>
    </row>
    <row r="3" spans="1:21" s="6" customFormat="1" ht="37.5">
      <c r="A3" s="5" t="s">
        <v>165</v>
      </c>
      <c r="B3" s="5" t="s">
        <v>168</v>
      </c>
      <c r="C3" s="5" t="s">
        <v>1052</v>
      </c>
      <c r="D3" s="5" t="s">
        <v>1053</v>
      </c>
      <c r="E3" s="5" t="s">
        <v>1054</v>
      </c>
      <c r="F3" s="5" t="s">
        <v>1055</v>
      </c>
      <c r="G3" s="5" t="s">
        <v>1056</v>
      </c>
      <c r="H3" s="5" t="s">
        <v>1057</v>
      </c>
      <c r="I3" s="5" t="s">
        <v>1058</v>
      </c>
      <c r="J3" s="5" t="s">
        <v>1059</v>
      </c>
      <c r="K3" s="5" t="s">
        <v>1060</v>
      </c>
      <c r="L3" s="5" t="s">
        <v>1061</v>
      </c>
      <c r="M3" s="5" t="s">
        <v>1062</v>
      </c>
      <c r="N3" s="5" t="s">
        <v>1063</v>
      </c>
      <c r="O3" s="5" t="s">
        <v>1064</v>
      </c>
      <c r="P3" s="5" t="s">
        <v>1065</v>
      </c>
      <c r="Q3" s="5" t="s">
        <v>1066</v>
      </c>
      <c r="R3" s="5" t="s">
        <v>1067</v>
      </c>
      <c r="S3" s="5" t="s">
        <v>1068</v>
      </c>
      <c r="T3" s="5" t="s">
        <v>1069</v>
      </c>
      <c r="U3" s="5" t="s">
        <v>1070</v>
      </c>
    </row>
    <row r="4" spans="1:21" ht="31.5">
      <c r="A4" s="8" t="s">
        <v>181</v>
      </c>
      <c r="B4" s="8" t="s">
        <v>183</v>
      </c>
      <c r="C4" s="8"/>
      <c r="D4" s="8"/>
      <c r="E4" s="8"/>
      <c r="F4" s="8"/>
      <c r="G4" s="8"/>
      <c r="H4" s="8"/>
      <c r="I4" s="8"/>
      <c r="J4" s="8"/>
      <c r="K4" s="8"/>
      <c r="L4" s="8"/>
      <c r="M4" s="8"/>
      <c r="N4" s="8"/>
      <c r="O4" s="8"/>
      <c r="P4" s="8"/>
      <c r="Q4" s="8"/>
      <c r="R4" s="8"/>
      <c r="S4" s="8"/>
      <c r="T4" s="8"/>
      <c r="U4" s="8"/>
    </row>
    <row r="5" spans="1:21" ht="31.5">
      <c r="A5" s="8" t="s">
        <v>194</v>
      </c>
      <c r="B5" s="8" t="s">
        <v>196</v>
      </c>
      <c r="C5" s="8"/>
      <c r="D5" s="8"/>
      <c r="E5" s="8"/>
      <c r="F5" s="8"/>
      <c r="G5" s="8"/>
      <c r="H5" s="8"/>
      <c r="I5" s="8"/>
      <c r="J5" s="8"/>
      <c r="K5" s="8"/>
      <c r="L5" s="8"/>
      <c r="M5" s="8"/>
      <c r="N5" s="8"/>
      <c r="O5" s="8"/>
      <c r="P5" s="8"/>
      <c r="Q5" s="8"/>
      <c r="R5" s="8"/>
      <c r="S5" s="8"/>
      <c r="T5" s="8"/>
      <c r="U5" s="8"/>
    </row>
    <row r="6" spans="1:21" ht="31.5">
      <c r="A6" s="8" t="s">
        <v>202</v>
      </c>
      <c r="B6" s="8" t="s">
        <v>204</v>
      </c>
      <c r="C6" s="8"/>
      <c r="D6" s="8"/>
      <c r="E6" s="8"/>
      <c r="F6" s="8"/>
      <c r="G6" s="8"/>
      <c r="H6" s="8"/>
      <c r="I6" s="8"/>
      <c r="J6" s="8"/>
      <c r="K6" s="8"/>
      <c r="L6" s="8"/>
      <c r="M6" s="8"/>
      <c r="N6" s="8"/>
      <c r="O6" s="8"/>
      <c r="P6" s="8"/>
      <c r="Q6" s="8"/>
      <c r="R6" s="8"/>
      <c r="S6" s="8"/>
      <c r="T6" s="8"/>
      <c r="U6" s="8"/>
    </row>
    <row r="7" spans="1:21" ht="47.25">
      <c r="A7" s="8" t="s">
        <v>211</v>
      </c>
      <c r="B7" s="8" t="s">
        <v>213</v>
      </c>
      <c r="C7" s="8"/>
      <c r="D7" s="8"/>
      <c r="E7" s="8"/>
      <c r="F7" s="8"/>
      <c r="G7" s="8"/>
      <c r="H7" s="8"/>
      <c r="I7" s="8"/>
      <c r="J7" s="8"/>
      <c r="K7" s="8"/>
      <c r="L7" s="8"/>
      <c r="M7" s="8"/>
      <c r="N7" s="8"/>
      <c r="O7" s="8"/>
      <c r="P7" s="8"/>
      <c r="Q7" s="8"/>
      <c r="R7" s="8"/>
      <c r="S7" s="8"/>
      <c r="T7" s="8"/>
      <c r="U7" s="8"/>
    </row>
    <row r="8" spans="1:21" ht="31.5">
      <c r="A8" s="8" t="s">
        <v>221</v>
      </c>
      <c r="B8" s="8" t="s">
        <v>223</v>
      </c>
      <c r="C8" s="8"/>
      <c r="D8" s="8"/>
      <c r="E8" s="8"/>
      <c r="F8" s="8"/>
      <c r="G8" s="8"/>
      <c r="H8" s="8"/>
      <c r="I8" s="8"/>
      <c r="J8" s="8"/>
      <c r="K8" s="8"/>
      <c r="L8" s="8"/>
      <c r="M8" s="8"/>
      <c r="N8" s="8"/>
      <c r="O8" s="8"/>
      <c r="P8" s="8"/>
      <c r="Q8" s="8"/>
      <c r="R8" s="8"/>
      <c r="S8" s="8"/>
      <c r="T8" s="8"/>
      <c r="U8" s="8"/>
    </row>
    <row r="9" spans="1:21" ht="31.5">
      <c r="A9" s="8" t="s">
        <v>230</v>
      </c>
      <c r="B9" s="8" t="s">
        <v>232</v>
      </c>
      <c r="C9" s="8"/>
      <c r="D9" s="8"/>
      <c r="E9" s="8"/>
      <c r="F9" s="8"/>
      <c r="G9" s="8"/>
      <c r="H9" s="8"/>
      <c r="I9" s="8"/>
      <c r="J9" s="8"/>
      <c r="K9" s="8"/>
      <c r="L9" s="8"/>
      <c r="M9" s="8"/>
      <c r="N9" s="8"/>
      <c r="O9" s="8"/>
      <c r="P9" s="8"/>
      <c r="Q9" s="8"/>
      <c r="R9" s="8"/>
      <c r="S9" s="8"/>
      <c r="T9" s="8"/>
      <c r="U9" s="8"/>
    </row>
    <row r="10" spans="1:21" ht="47.25">
      <c r="A10" s="8" t="s">
        <v>240</v>
      </c>
      <c r="B10" s="8" t="s">
        <v>242</v>
      </c>
      <c r="C10" s="8"/>
      <c r="D10" s="8"/>
      <c r="E10" s="8"/>
      <c r="F10" s="8"/>
      <c r="G10" s="8"/>
      <c r="H10" s="8"/>
      <c r="I10" s="8"/>
      <c r="J10" s="8"/>
      <c r="K10" s="8"/>
      <c r="L10" s="8"/>
      <c r="M10" s="8"/>
      <c r="N10" s="8"/>
      <c r="O10" s="8"/>
      <c r="P10" s="8"/>
      <c r="Q10" s="8"/>
      <c r="R10" s="8"/>
      <c r="S10" s="8"/>
      <c r="T10" s="8"/>
      <c r="U10" s="8"/>
    </row>
    <row r="11" spans="1:21" ht="31.5">
      <c r="A11" s="8" t="s">
        <v>250</v>
      </c>
      <c r="B11" s="8" t="s">
        <v>252</v>
      </c>
      <c r="C11" s="8"/>
      <c r="D11" s="8"/>
      <c r="E11" s="8"/>
      <c r="F11" s="8"/>
      <c r="G11" s="8"/>
      <c r="H11" s="8"/>
      <c r="I11" s="8"/>
      <c r="J11" s="8"/>
      <c r="K11" s="8"/>
      <c r="L11" s="8"/>
      <c r="M11" s="8"/>
      <c r="N11" s="8"/>
      <c r="O11" s="8"/>
      <c r="P11" s="8"/>
      <c r="Q11" s="8"/>
      <c r="R11" s="8"/>
      <c r="S11" s="8"/>
      <c r="T11" s="8"/>
      <c r="U11" s="8"/>
    </row>
    <row r="12" spans="1:21" ht="31.5">
      <c r="A12" s="8" t="s">
        <v>259</v>
      </c>
      <c r="B12" s="8" t="s">
        <v>261</v>
      </c>
      <c r="C12" s="8"/>
      <c r="D12" s="8"/>
      <c r="E12" s="8"/>
      <c r="F12" s="8"/>
      <c r="G12" s="8"/>
      <c r="H12" s="8"/>
      <c r="I12" s="8"/>
      <c r="J12" s="8"/>
      <c r="K12" s="8"/>
      <c r="L12" s="8"/>
      <c r="M12" s="8"/>
      <c r="N12" s="8"/>
      <c r="O12" s="8"/>
      <c r="P12" s="8"/>
      <c r="Q12" s="8"/>
      <c r="R12" s="8"/>
      <c r="S12" s="8"/>
      <c r="T12" s="8"/>
      <c r="U12" s="8"/>
    </row>
    <row r="13" spans="1:21" ht="31.5">
      <c r="A13" s="8" t="s">
        <v>268</v>
      </c>
      <c r="B13" s="8" t="s">
        <v>270</v>
      </c>
      <c r="C13" s="8"/>
      <c r="D13" s="8"/>
      <c r="E13" s="8"/>
      <c r="F13" s="8"/>
      <c r="G13" s="8"/>
      <c r="H13" s="8"/>
      <c r="I13" s="8"/>
      <c r="J13" s="8"/>
      <c r="K13" s="8"/>
      <c r="L13" s="8"/>
      <c r="M13" s="8"/>
      <c r="N13" s="8"/>
      <c r="O13" s="8"/>
      <c r="P13" s="8"/>
      <c r="Q13" s="8"/>
      <c r="R13" s="8"/>
      <c r="S13" s="8"/>
      <c r="T13" s="8"/>
      <c r="U13" s="8"/>
    </row>
    <row r="14" spans="1:21" ht="47.25">
      <c r="A14" s="8" t="s">
        <v>277</v>
      </c>
      <c r="B14" s="8" t="s">
        <v>279</v>
      </c>
      <c r="C14" s="8"/>
      <c r="D14" s="8"/>
      <c r="E14" s="8"/>
      <c r="F14" s="8"/>
      <c r="G14" s="8"/>
      <c r="H14" s="8"/>
      <c r="I14" s="8"/>
      <c r="J14" s="8"/>
      <c r="K14" s="8"/>
      <c r="L14" s="8"/>
      <c r="M14" s="8"/>
      <c r="N14" s="8"/>
      <c r="O14" s="8"/>
      <c r="P14" s="8"/>
      <c r="Q14" s="8"/>
      <c r="R14" s="8"/>
      <c r="S14" s="8"/>
      <c r="T14" s="8"/>
      <c r="U14" s="8"/>
    </row>
    <row r="15" spans="1:21" ht="47.25">
      <c r="A15" s="8" t="s">
        <v>285</v>
      </c>
      <c r="B15" s="8" t="s">
        <v>287</v>
      </c>
      <c r="C15" s="8"/>
      <c r="D15" s="8"/>
      <c r="E15" s="8"/>
      <c r="F15" s="8"/>
      <c r="G15" s="8"/>
      <c r="H15" s="8"/>
      <c r="I15" s="8"/>
      <c r="J15" s="8"/>
      <c r="K15" s="8"/>
      <c r="L15" s="8"/>
      <c r="M15" s="8"/>
      <c r="N15" s="8"/>
      <c r="O15" s="8"/>
      <c r="P15" s="8"/>
      <c r="Q15" s="8"/>
      <c r="R15" s="8"/>
      <c r="S15" s="8"/>
      <c r="T15" s="8"/>
      <c r="U15" s="8"/>
    </row>
    <row r="16" spans="1:21" ht="47.25">
      <c r="A16" s="8" t="s">
        <v>294</v>
      </c>
      <c r="B16" s="8" t="s">
        <v>296</v>
      </c>
      <c r="C16" s="8"/>
      <c r="D16" s="8"/>
      <c r="E16" s="8"/>
      <c r="F16" s="8"/>
      <c r="G16" s="8"/>
      <c r="H16" s="8"/>
      <c r="I16" s="8"/>
      <c r="J16" s="8"/>
      <c r="K16" s="8"/>
      <c r="L16" s="8"/>
      <c r="M16" s="8"/>
      <c r="N16" s="8"/>
      <c r="O16" s="8"/>
      <c r="P16" s="8"/>
      <c r="Q16" s="8"/>
      <c r="R16" s="8"/>
      <c r="S16" s="8"/>
      <c r="T16" s="8"/>
      <c r="U16" s="8"/>
    </row>
    <row r="17" spans="1:21" ht="31.5">
      <c r="A17" s="8" t="s">
        <v>304</v>
      </c>
      <c r="B17" s="8" t="s">
        <v>306</v>
      </c>
      <c r="C17" s="8"/>
      <c r="D17" s="8"/>
      <c r="E17" s="8"/>
      <c r="F17" s="8"/>
      <c r="G17" s="8"/>
      <c r="H17" s="8"/>
      <c r="I17" s="8"/>
      <c r="J17" s="8"/>
      <c r="K17" s="8"/>
      <c r="L17" s="8"/>
      <c r="M17" s="8"/>
      <c r="N17" s="8"/>
      <c r="O17" s="8"/>
      <c r="P17" s="8"/>
      <c r="Q17" s="8"/>
      <c r="R17" s="8"/>
      <c r="S17" s="8"/>
      <c r="T17" s="8"/>
      <c r="U17" s="8"/>
    </row>
    <row r="18" spans="1:21" ht="31.5">
      <c r="A18" s="8" t="s">
        <v>315</v>
      </c>
      <c r="B18" s="8" t="s">
        <v>317</v>
      </c>
      <c r="C18" s="8"/>
      <c r="D18" s="8"/>
      <c r="E18" s="8"/>
      <c r="F18" s="8"/>
      <c r="G18" s="8"/>
      <c r="H18" s="8"/>
      <c r="I18" s="8"/>
      <c r="J18" s="8"/>
      <c r="K18" s="8"/>
      <c r="L18" s="8"/>
      <c r="M18" s="8"/>
      <c r="N18" s="8"/>
      <c r="O18" s="8"/>
      <c r="P18" s="8"/>
      <c r="Q18" s="8"/>
      <c r="R18" s="8"/>
      <c r="S18" s="8"/>
      <c r="T18" s="8"/>
      <c r="U18" s="8"/>
    </row>
    <row r="19" spans="1:21" ht="31.5">
      <c r="A19" s="8" t="s">
        <v>324</v>
      </c>
      <c r="B19" s="8" t="s">
        <v>326</v>
      </c>
      <c r="C19" s="8"/>
      <c r="D19" s="8"/>
      <c r="E19" s="8"/>
      <c r="F19" s="8"/>
      <c r="G19" s="8"/>
      <c r="H19" s="8"/>
      <c r="I19" s="8"/>
      <c r="J19" s="8"/>
      <c r="K19" s="8"/>
      <c r="L19" s="8"/>
      <c r="M19" s="8"/>
      <c r="N19" s="8"/>
      <c r="O19" s="8"/>
      <c r="P19" s="8"/>
      <c r="Q19" s="8"/>
      <c r="R19" s="8"/>
      <c r="S19" s="8"/>
      <c r="T19" s="8"/>
      <c r="U19" s="8"/>
    </row>
    <row r="20" spans="1:21" ht="47.25">
      <c r="A20" s="8" t="s">
        <v>332</v>
      </c>
      <c r="B20" s="8" t="s">
        <v>334</v>
      </c>
      <c r="C20" s="8"/>
      <c r="D20" s="8"/>
      <c r="E20" s="8"/>
      <c r="F20" s="8"/>
      <c r="G20" s="8"/>
      <c r="H20" s="8"/>
      <c r="I20" s="8"/>
      <c r="J20" s="8"/>
      <c r="K20" s="8"/>
      <c r="L20" s="8"/>
      <c r="M20" s="8"/>
      <c r="N20" s="8"/>
      <c r="O20" s="8"/>
      <c r="P20" s="8"/>
      <c r="Q20" s="8"/>
      <c r="R20" s="8"/>
      <c r="S20" s="8"/>
      <c r="T20" s="8"/>
      <c r="U20" s="8"/>
    </row>
    <row r="21" spans="1:21" ht="31.5">
      <c r="A21" s="8" t="s">
        <v>340</v>
      </c>
      <c r="B21" s="8" t="s">
        <v>342</v>
      </c>
      <c r="C21" s="8"/>
      <c r="D21" s="8"/>
      <c r="E21" s="8"/>
      <c r="F21" s="8"/>
      <c r="G21" s="8"/>
      <c r="H21" s="8"/>
      <c r="I21" s="8"/>
      <c r="J21" s="8"/>
      <c r="K21" s="8"/>
      <c r="L21" s="8"/>
      <c r="M21" s="8"/>
      <c r="N21" s="8"/>
      <c r="O21" s="8"/>
      <c r="P21" s="8"/>
      <c r="Q21" s="8"/>
      <c r="R21" s="8"/>
      <c r="S21" s="8"/>
      <c r="T21" s="8"/>
      <c r="U21" s="8"/>
    </row>
    <row r="22" spans="1:21" ht="31.5">
      <c r="A22" s="8" t="s">
        <v>348</v>
      </c>
      <c r="B22" s="8" t="s">
        <v>350</v>
      </c>
      <c r="C22" s="8"/>
      <c r="D22" s="8"/>
      <c r="E22" s="8"/>
      <c r="F22" s="8"/>
      <c r="G22" s="8"/>
      <c r="H22" s="8"/>
      <c r="I22" s="8"/>
      <c r="J22" s="8"/>
      <c r="K22" s="8"/>
      <c r="L22" s="8"/>
      <c r="M22" s="8"/>
      <c r="N22" s="8"/>
      <c r="O22" s="8"/>
      <c r="P22" s="8"/>
      <c r="Q22" s="8"/>
      <c r="R22" s="8"/>
      <c r="S22" s="8"/>
      <c r="T22" s="8"/>
      <c r="U22" s="8"/>
    </row>
    <row r="23" spans="1:21" ht="47.25">
      <c r="A23" s="8" t="s">
        <v>356</v>
      </c>
      <c r="B23" s="8" t="s">
        <v>358</v>
      </c>
      <c r="C23" s="8"/>
      <c r="D23" s="8"/>
      <c r="E23" s="8"/>
      <c r="F23" s="8"/>
      <c r="G23" s="8"/>
      <c r="H23" s="8"/>
      <c r="I23" s="8"/>
      <c r="J23" s="8"/>
      <c r="K23" s="8"/>
      <c r="L23" s="8"/>
      <c r="M23" s="8"/>
      <c r="N23" s="8"/>
      <c r="O23" s="8"/>
      <c r="P23" s="8"/>
      <c r="Q23" s="8"/>
      <c r="R23" s="8"/>
      <c r="S23" s="8"/>
      <c r="T23" s="8"/>
      <c r="U23" s="8"/>
    </row>
    <row r="24" spans="1:21" ht="31.5">
      <c r="A24" s="8" t="s">
        <v>364</v>
      </c>
      <c r="B24" s="8" t="s">
        <v>366</v>
      </c>
      <c r="C24" s="8"/>
      <c r="D24" s="8"/>
      <c r="E24" s="8"/>
      <c r="F24" s="8"/>
      <c r="G24" s="8"/>
      <c r="H24" s="8"/>
      <c r="I24" s="8"/>
      <c r="J24" s="8"/>
      <c r="K24" s="8"/>
      <c r="L24" s="8"/>
      <c r="M24" s="8"/>
      <c r="N24" s="8"/>
      <c r="O24" s="8"/>
      <c r="P24" s="8"/>
      <c r="Q24" s="8"/>
      <c r="R24" s="8"/>
      <c r="S24" s="8"/>
      <c r="T24" s="8"/>
      <c r="U24" s="8"/>
    </row>
    <row r="25" spans="1:21" ht="31.5">
      <c r="A25" s="8" t="s">
        <v>372</v>
      </c>
      <c r="B25" s="8" t="s">
        <v>374</v>
      </c>
      <c r="C25" s="8"/>
      <c r="D25" s="8"/>
      <c r="E25" s="8"/>
      <c r="F25" s="8"/>
      <c r="G25" s="8"/>
      <c r="H25" s="8"/>
      <c r="I25" s="8"/>
      <c r="J25" s="8"/>
      <c r="K25" s="8"/>
      <c r="L25" s="8"/>
      <c r="M25" s="8"/>
      <c r="N25" s="8"/>
      <c r="O25" s="8"/>
      <c r="P25" s="8"/>
      <c r="Q25" s="8"/>
      <c r="R25" s="8"/>
      <c r="S25" s="8"/>
      <c r="T25" s="8"/>
      <c r="U25" s="8"/>
    </row>
    <row r="26" spans="1:21">
      <c r="A26" s="8" t="s">
        <v>380</v>
      </c>
      <c r="B26" s="8" t="s">
        <v>382</v>
      </c>
      <c r="C26" s="8"/>
      <c r="D26" s="8"/>
      <c r="E26" s="8"/>
      <c r="F26" s="8"/>
      <c r="G26" s="8"/>
      <c r="H26" s="8"/>
      <c r="I26" s="8"/>
      <c r="J26" s="8"/>
      <c r="K26" s="8"/>
      <c r="L26" s="8"/>
      <c r="M26" s="8"/>
      <c r="N26" s="8"/>
      <c r="O26" s="8"/>
      <c r="P26" s="8"/>
      <c r="Q26" s="8"/>
      <c r="R26" s="8"/>
      <c r="S26" s="8"/>
      <c r="T26" s="8"/>
      <c r="U26" s="8"/>
    </row>
    <row r="27" spans="1:21" ht="31.5">
      <c r="A27" s="8" t="s">
        <v>389</v>
      </c>
      <c r="B27" s="8" t="s">
        <v>391</v>
      </c>
      <c r="C27" s="8"/>
      <c r="D27" s="8"/>
      <c r="E27" s="8"/>
      <c r="F27" s="8"/>
      <c r="G27" s="8"/>
      <c r="H27" s="8"/>
      <c r="I27" s="8"/>
      <c r="J27" s="8"/>
      <c r="K27" s="8"/>
      <c r="L27" s="8"/>
      <c r="M27" s="8"/>
      <c r="N27" s="8"/>
      <c r="O27" s="8"/>
      <c r="P27" s="8"/>
      <c r="Q27" s="8"/>
      <c r="R27" s="8"/>
      <c r="S27" s="8"/>
      <c r="T27" s="8"/>
      <c r="U27" s="8"/>
    </row>
    <row r="28" spans="1:21" ht="31.5">
      <c r="A28" s="8" t="s">
        <v>397</v>
      </c>
      <c r="B28" s="8" t="s">
        <v>399</v>
      </c>
      <c r="C28" s="8"/>
      <c r="D28" s="8"/>
      <c r="E28" s="8"/>
      <c r="F28" s="8"/>
      <c r="G28" s="8"/>
      <c r="H28" s="8"/>
      <c r="I28" s="8"/>
      <c r="J28" s="8"/>
      <c r="K28" s="8"/>
      <c r="L28" s="8"/>
      <c r="M28" s="8"/>
      <c r="N28" s="8"/>
      <c r="O28" s="8"/>
      <c r="P28" s="8"/>
      <c r="Q28" s="8"/>
      <c r="R28" s="8"/>
      <c r="S28" s="8"/>
      <c r="T28" s="8"/>
      <c r="U28" s="8"/>
    </row>
    <row r="29" spans="1:21">
      <c r="A29" s="8" t="s">
        <v>405</v>
      </c>
      <c r="B29" s="8" t="s">
        <v>407</v>
      </c>
      <c r="C29" s="8"/>
      <c r="D29" s="8"/>
      <c r="E29" s="8"/>
      <c r="F29" s="8"/>
      <c r="G29" s="8"/>
      <c r="H29" s="8"/>
      <c r="I29" s="8"/>
      <c r="J29" s="8"/>
      <c r="K29" s="8"/>
      <c r="L29" s="8"/>
      <c r="M29" s="8"/>
      <c r="N29" s="8"/>
      <c r="O29" s="8"/>
      <c r="P29" s="8"/>
      <c r="Q29" s="8"/>
      <c r="R29" s="8"/>
      <c r="S29" s="8"/>
      <c r="T29" s="8"/>
      <c r="U29" s="8"/>
    </row>
    <row r="30" spans="1:21" ht="31.5">
      <c r="A30" s="8" t="s">
        <v>414</v>
      </c>
      <c r="B30" s="8" t="s">
        <v>416</v>
      </c>
      <c r="C30" s="8"/>
      <c r="D30" s="8"/>
      <c r="E30" s="8"/>
      <c r="F30" s="8"/>
      <c r="G30" s="8"/>
      <c r="H30" s="8"/>
      <c r="I30" s="8"/>
      <c r="J30" s="8"/>
      <c r="K30" s="8"/>
      <c r="L30" s="8"/>
      <c r="M30" s="8"/>
      <c r="N30" s="8"/>
      <c r="O30" s="8"/>
      <c r="P30" s="8"/>
      <c r="Q30" s="8"/>
      <c r="R30" s="8"/>
      <c r="S30" s="8"/>
      <c r="T30" s="8"/>
      <c r="U30" s="8"/>
    </row>
    <row r="31" spans="1:21" ht="31.5">
      <c r="A31" s="8" t="s">
        <v>423</v>
      </c>
      <c r="B31" s="8" t="s">
        <v>425</v>
      </c>
      <c r="C31" s="8"/>
      <c r="D31" s="8"/>
      <c r="E31" s="8"/>
      <c r="F31" s="8"/>
      <c r="G31" s="8"/>
      <c r="H31" s="8"/>
      <c r="I31" s="8"/>
      <c r="J31" s="8"/>
      <c r="K31" s="8"/>
      <c r="L31" s="8"/>
      <c r="M31" s="8"/>
      <c r="N31" s="8"/>
      <c r="O31" s="8"/>
      <c r="P31" s="8"/>
      <c r="Q31" s="8"/>
      <c r="R31" s="8"/>
      <c r="S31" s="8"/>
      <c r="T31" s="8"/>
      <c r="U31" s="8"/>
    </row>
    <row r="32" spans="1:21" ht="31.5">
      <c r="A32" s="8" t="s">
        <v>432</v>
      </c>
      <c r="B32" s="8" t="s">
        <v>434</v>
      </c>
      <c r="C32" s="8"/>
      <c r="D32" s="8"/>
      <c r="E32" s="8"/>
      <c r="F32" s="8"/>
      <c r="G32" s="8"/>
      <c r="H32" s="8"/>
      <c r="I32" s="8"/>
      <c r="J32" s="8"/>
      <c r="K32" s="8"/>
      <c r="L32" s="8"/>
      <c r="M32" s="8"/>
      <c r="N32" s="8"/>
      <c r="O32" s="8"/>
      <c r="P32" s="8"/>
      <c r="Q32" s="8"/>
      <c r="R32" s="8"/>
      <c r="S32" s="8"/>
      <c r="T32" s="8"/>
      <c r="U32" s="8"/>
    </row>
    <row r="33" spans="1:21">
      <c r="A33" s="8" t="s">
        <v>442</v>
      </c>
      <c r="B33" s="8" t="s">
        <v>444</v>
      </c>
      <c r="C33" s="8"/>
      <c r="D33" s="8"/>
      <c r="E33" s="8"/>
      <c r="F33" s="8"/>
      <c r="G33" s="8"/>
      <c r="H33" s="8"/>
      <c r="I33" s="8"/>
      <c r="J33" s="8"/>
      <c r="K33" s="8"/>
      <c r="L33" s="8"/>
      <c r="M33" s="8"/>
      <c r="N33" s="8"/>
      <c r="O33" s="8"/>
      <c r="P33" s="8"/>
      <c r="Q33" s="8"/>
      <c r="R33" s="8"/>
      <c r="S33" s="8"/>
      <c r="T33" s="8"/>
      <c r="U33" s="8"/>
    </row>
    <row r="34" spans="1:21" ht="31.5">
      <c r="A34" s="8" t="s">
        <v>451</v>
      </c>
      <c r="B34" s="8" t="s">
        <v>453</v>
      </c>
      <c r="C34" s="8"/>
      <c r="D34" s="8"/>
      <c r="E34" s="8"/>
      <c r="F34" s="8"/>
      <c r="G34" s="8"/>
      <c r="H34" s="8"/>
      <c r="I34" s="8"/>
      <c r="J34" s="8"/>
      <c r="K34" s="8"/>
      <c r="L34" s="8"/>
      <c r="M34" s="8"/>
      <c r="N34" s="8"/>
      <c r="O34" s="8"/>
      <c r="P34" s="8"/>
      <c r="Q34" s="8"/>
      <c r="R34" s="8"/>
      <c r="S34" s="8"/>
      <c r="T34" s="8"/>
      <c r="U34" s="8"/>
    </row>
    <row r="35" spans="1:21" ht="31.5">
      <c r="A35" s="8" t="s">
        <v>462</v>
      </c>
      <c r="B35" s="8" t="s">
        <v>464</v>
      </c>
      <c r="C35" s="8"/>
      <c r="D35" s="8"/>
      <c r="E35" s="8"/>
      <c r="F35" s="8"/>
      <c r="G35" s="8"/>
      <c r="H35" s="8"/>
      <c r="I35" s="8"/>
      <c r="J35" s="8"/>
      <c r="K35" s="8"/>
      <c r="L35" s="8"/>
      <c r="M35" s="8"/>
      <c r="N35" s="8"/>
      <c r="O35" s="8"/>
      <c r="P35" s="8"/>
      <c r="Q35" s="8"/>
      <c r="R35" s="8"/>
      <c r="S35" s="8"/>
      <c r="T35" s="8"/>
      <c r="U35" s="8"/>
    </row>
    <row r="36" spans="1:21" ht="47.25">
      <c r="A36" s="8" t="s">
        <v>470</v>
      </c>
      <c r="B36" s="8" t="s">
        <v>472</v>
      </c>
      <c r="C36" s="8"/>
      <c r="D36" s="8"/>
      <c r="E36" s="8"/>
      <c r="F36" s="8"/>
      <c r="G36" s="8"/>
      <c r="H36" s="8"/>
      <c r="I36" s="8"/>
      <c r="J36" s="8"/>
      <c r="K36" s="8"/>
      <c r="L36" s="8"/>
      <c r="M36" s="8"/>
      <c r="N36" s="8"/>
      <c r="O36" s="8"/>
      <c r="P36" s="8"/>
      <c r="Q36" s="8"/>
      <c r="R36" s="8"/>
      <c r="S36" s="8"/>
      <c r="T36" s="8"/>
      <c r="U36" s="8"/>
    </row>
    <row r="37" spans="1:21" ht="31.5">
      <c r="A37" s="8" t="s">
        <v>480</v>
      </c>
      <c r="B37" s="8" t="s">
        <v>482</v>
      </c>
      <c r="C37" s="8"/>
      <c r="D37" s="8"/>
      <c r="E37" s="8"/>
      <c r="F37" s="8"/>
      <c r="G37" s="8"/>
      <c r="H37" s="8"/>
      <c r="I37" s="8"/>
      <c r="J37" s="8"/>
      <c r="K37" s="8"/>
      <c r="L37" s="8"/>
      <c r="M37" s="8"/>
      <c r="N37" s="8"/>
      <c r="O37" s="8"/>
      <c r="P37" s="8"/>
      <c r="Q37" s="8"/>
      <c r="R37" s="8"/>
      <c r="S37" s="8"/>
      <c r="T37" s="8"/>
      <c r="U37" s="8"/>
    </row>
    <row r="38" spans="1:21" ht="31.5">
      <c r="A38" s="8" t="s">
        <v>489</v>
      </c>
      <c r="B38" s="8" t="s">
        <v>491</v>
      </c>
      <c r="C38" s="8"/>
      <c r="D38" s="8"/>
      <c r="E38" s="8"/>
      <c r="F38" s="8"/>
      <c r="G38" s="8"/>
      <c r="H38" s="8"/>
      <c r="I38" s="8"/>
      <c r="J38" s="8"/>
      <c r="K38" s="8"/>
      <c r="L38" s="8"/>
      <c r="M38" s="8"/>
      <c r="N38" s="8"/>
      <c r="O38" s="8"/>
      <c r="P38" s="8"/>
      <c r="Q38" s="8"/>
      <c r="R38" s="8"/>
      <c r="S38" s="8"/>
      <c r="T38" s="8"/>
      <c r="U38" s="8"/>
    </row>
    <row r="39" spans="1:21" ht="31.5">
      <c r="A39" s="8" t="s">
        <v>497</v>
      </c>
      <c r="B39" s="8" t="s">
        <v>499</v>
      </c>
      <c r="C39" s="8"/>
      <c r="D39" s="8"/>
      <c r="E39" s="8"/>
      <c r="F39" s="8"/>
      <c r="G39" s="8"/>
      <c r="H39" s="8"/>
      <c r="I39" s="8"/>
      <c r="J39" s="8"/>
      <c r="K39" s="8"/>
      <c r="L39" s="8"/>
      <c r="M39" s="8"/>
      <c r="N39" s="8"/>
      <c r="O39" s="8"/>
      <c r="P39" s="8"/>
      <c r="Q39" s="8"/>
      <c r="R39" s="8"/>
      <c r="S39" s="8"/>
      <c r="T39" s="8"/>
      <c r="U39" s="8"/>
    </row>
    <row r="40" spans="1:21" ht="31.5">
      <c r="A40" s="8" t="s">
        <v>505</v>
      </c>
      <c r="B40" s="8" t="s">
        <v>507</v>
      </c>
      <c r="C40" s="8"/>
      <c r="D40" s="8"/>
      <c r="E40" s="8"/>
      <c r="F40" s="8"/>
      <c r="G40" s="8"/>
      <c r="H40" s="8"/>
      <c r="I40" s="8"/>
      <c r="J40" s="8"/>
      <c r="K40" s="8"/>
      <c r="L40" s="8"/>
      <c r="M40" s="8"/>
      <c r="N40" s="8"/>
      <c r="O40" s="8"/>
      <c r="P40" s="8"/>
      <c r="Q40" s="8"/>
      <c r="R40" s="8"/>
      <c r="S40" s="8"/>
      <c r="T40" s="8"/>
      <c r="U40" s="8"/>
    </row>
    <row r="41" spans="1:21" ht="31.5">
      <c r="A41" s="8" t="s">
        <v>514</v>
      </c>
      <c r="B41" s="8" t="s">
        <v>516</v>
      </c>
      <c r="C41" s="8"/>
      <c r="D41" s="8"/>
      <c r="E41" s="8"/>
      <c r="F41" s="8"/>
      <c r="G41" s="8"/>
      <c r="H41" s="8"/>
      <c r="I41" s="8"/>
      <c r="J41" s="8"/>
      <c r="K41" s="8"/>
      <c r="L41" s="8"/>
      <c r="M41" s="8"/>
      <c r="N41" s="8"/>
      <c r="O41" s="8"/>
      <c r="P41" s="8"/>
      <c r="Q41" s="8"/>
      <c r="R41" s="8"/>
      <c r="S41" s="8"/>
      <c r="T41" s="8"/>
      <c r="U41" s="8"/>
    </row>
    <row r="42" spans="1:21" ht="31.5">
      <c r="A42" s="8" t="s">
        <v>523</v>
      </c>
      <c r="B42" s="8" t="s">
        <v>525</v>
      </c>
      <c r="C42" s="8"/>
      <c r="D42" s="8"/>
      <c r="E42" s="8"/>
      <c r="F42" s="8"/>
      <c r="G42" s="8"/>
      <c r="H42" s="8"/>
      <c r="I42" s="8"/>
      <c r="J42" s="8"/>
      <c r="K42" s="8"/>
      <c r="L42" s="8"/>
      <c r="M42" s="8"/>
      <c r="N42" s="8"/>
      <c r="O42" s="8"/>
      <c r="P42" s="8"/>
      <c r="Q42" s="8"/>
      <c r="R42" s="8"/>
      <c r="S42" s="8"/>
      <c r="T42" s="8"/>
      <c r="U42" s="8"/>
    </row>
    <row r="43" spans="1:21" ht="31.5">
      <c r="A43" s="8" t="s">
        <v>532</v>
      </c>
      <c r="B43" s="8" t="s">
        <v>534</v>
      </c>
      <c r="C43" s="8"/>
      <c r="D43" s="8"/>
      <c r="E43" s="8"/>
      <c r="F43" s="8"/>
      <c r="G43" s="8"/>
      <c r="H43" s="8"/>
      <c r="I43" s="8"/>
      <c r="J43" s="8"/>
      <c r="K43" s="8"/>
      <c r="L43" s="8"/>
      <c r="M43" s="8"/>
      <c r="N43" s="8"/>
      <c r="O43" s="8"/>
      <c r="P43" s="8"/>
      <c r="Q43" s="8"/>
      <c r="R43" s="8"/>
      <c r="S43" s="8"/>
      <c r="T43" s="8"/>
      <c r="U43" s="8"/>
    </row>
    <row r="44" spans="1:21" ht="47.25">
      <c r="A44" s="8" t="s">
        <v>541</v>
      </c>
      <c r="B44" s="8" t="s">
        <v>543</v>
      </c>
      <c r="C44" s="8"/>
      <c r="D44" s="8"/>
      <c r="E44" s="8"/>
      <c r="F44" s="8"/>
      <c r="G44" s="8"/>
      <c r="H44" s="8"/>
      <c r="I44" s="8"/>
      <c r="J44" s="8"/>
      <c r="K44" s="8"/>
      <c r="L44" s="8"/>
      <c r="M44" s="8"/>
      <c r="N44" s="8"/>
      <c r="O44" s="8"/>
      <c r="P44" s="8"/>
      <c r="Q44" s="8"/>
      <c r="R44" s="8"/>
      <c r="S44" s="8"/>
      <c r="T44" s="8"/>
      <c r="U44" s="8"/>
    </row>
    <row r="45" spans="1:21" ht="31.5">
      <c r="A45" s="8" t="s">
        <v>550</v>
      </c>
      <c r="B45" s="8" t="s">
        <v>552</v>
      </c>
      <c r="C45" s="8"/>
      <c r="D45" s="8"/>
      <c r="E45" s="8"/>
      <c r="F45" s="8"/>
      <c r="G45" s="8"/>
      <c r="H45" s="8"/>
      <c r="I45" s="8"/>
      <c r="J45" s="8"/>
      <c r="K45" s="8"/>
      <c r="L45" s="8"/>
      <c r="M45" s="8"/>
      <c r="N45" s="8"/>
      <c r="O45" s="8"/>
      <c r="P45" s="8"/>
      <c r="Q45" s="8"/>
      <c r="R45" s="8"/>
      <c r="S45" s="8"/>
      <c r="T45" s="8"/>
      <c r="U45" s="8"/>
    </row>
    <row r="46" spans="1:21" ht="31.5">
      <c r="A46" s="8" t="s">
        <v>560</v>
      </c>
      <c r="B46" s="8" t="s">
        <v>562</v>
      </c>
      <c r="C46" s="8"/>
      <c r="D46" s="8"/>
      <c r="E46" s="8"/>
      <c r="F46" s="8"/>
      <c r="G46" s="8"/>
      <c r="H46" s="8"/>
      <c r="I46" s="8"/>
      <c r="J46" s="8"/>
      <c r="K46" s="8"/>
      <c r="L46" s="8"/>
      <c r="M46" s="8"/>
      <c r="N46" s="8"/>
      <c r="O46" s="8"/>
      <c r="P46" s="8"/>
      <c r="Q46" s="8"/>
      <c r="R46" s="8"/>
      <c r="S46" s="8"/>
      <c r="T46" s="8"/>
      <c r="U46" s="8"/>
    </row>
    <row r="47" spans="1:21">
      <c r="A47" s="8" t="s">
        <v>569</v>
      </c>
      <c r="B47" s="8" t="s">
        <v>571</v>
      </c>
      <c r="C47" s="8"/>
      <c r="D47" s="8"/>
      <c r="E47" s="8"/>
      <c r="F47" s="8"/>
      <c r="G47" s="8"/>
      <c r="H47" s="8"/>
      <c r="I47" s="8"/>
      <c r="J47" s="8"/>
      <c r="K47" s="8"/>
      <c r="L47" s="8"/>
      <c r="M47" s="8"/>
      <c r="N47" s="8"/>
      <c r="O47" s="8"/>
      <c r="P47" s="8"/>
      <c r="Q47" s="8"/>
      <c r="R47" s="8"/>
      <c r="S47" s="8"/>
      <c r="T47" s="8"/>
      <c r="U47" s="8"/>
    </row>
    <row r="48" spans="1:21" ht="31.5">
      <c r="A48" s="8" t="s">
        <v>578</v>
      </c>
      <c r="B48" s="8" t="s">
        <v>580</v>
      </c>
      <c r="C48" s="8"/>
      <c r="D48" s="8"/>
      <c r="E48" s="8"/>
      <c r="F48" s="8"/>
      <c r="G48" s="8"/>
      <c r="H48" s="8"/>
      <c r="I48" s="8"/>
      <c r="J48" s="8"/>
      <c r="K48" s="8"/>
      <c r="L48" s="8"/>
      <c r="M48" s="8"/>
      <c r="N48" s="8"/>
      <c r="O48" s="8"/>
      <c r="P48" s="8"/>
      <c r="Q48" s="8"/>
      <c r="R48" s="8"/>
      <c r="S48" s="8"/>
      <c r="T48" s="8"/>
      <c r="U48" s="8"/>
    </row>
    <row r="49" spans="1:21" ht="31.5">
      <c r="A49" s="8" t="s">
        <v>586</v>
      </c>
      <c r="B49" s="8" t="s">
        <v>588</v>
      </c>
      <c r="C49" s="8"/>
      <c r="D49" s="8"/>
      <c r="E49" s="8"/>
      <c r="F49" s="8"/>
      <c r="G49" s="8"/>
      <c r="H49" s="8"/>
      <c r="I49" s="8"/>
      <c r="J49" s="8"/>
      <c r="K49" s="8"/>
      <c r="L49" s="8"/>
      <c r="M49" s="8"/>
      <c r="N49" s="8"/>
      <c r="O49" s="8"/>
      <c r="P49" s="8"/>
      <c r="Q49" s="8"/>
      <c r="R49" s="8"/>
      <c r="S49" s="8"/>
      <c r="T49" s="8"/>
      <c r="U49" s="8"/>
    </row>
    <row r="50" spans="1:21" ht="31.5">
      <c r="A50" s="8" t="s">
        <v>595</v>
      </c>
      <c r="B50" s="8" t="s">
        <v>597</v>
      </c>
      <c r="C50" s="8"/>
      <c r="D50" s="8"/>
      <c r="E50" s="8"/>
      <c r="F50" s="8"/>
      <c r="G50" s="8"/>
      <c r="H50" s="8"/>
      <c r="I50" s="8"/>
      <c r="J50" s="8"/>
      <c r="K50" s="8"/>
      <c r="L50" s="8"/>
      <c r="M50" s="8"/>
      <c r="N50" s="8"/>
      <c r="O50" s="8"/>
      <c r="P50" s="8"/>
      <c r="Q50" s="8"/>
      <c r="R50" s="8"/>
      <c r="S50" s="8"/>
      <c r="T50" s="8"/>
      <c r="U50" s="8"/>
    </row>
    <row r="51" spans="1:21" ht="31.5">
      <c r="A51" s="8" t="s">
        <v>603</v>
      </c>
      <c r="B51" s="8" t="s">
        <v>605</v>
      </c>
      <c r="C51" s="8"/>
      <c r="D51" s="8"/>
      <c r="E51" s="8"/>
      <c r="F51" s="8"/>
      <c r="G51" s="8"/>
      <c r="H51" s="8"/>
      <c r="I51" s="8"/>
      <c r="J51" s="8"/>
      <c r="K51" s="8"/>
      <c r="L51" s="8"/>
      <c r="M51" s="8"/>
      <c r="N51" s="8"/>
      <c r="O51" s="8"/>
      <c r="P51" s="8"/>
      <c r="Q51" s="8"/>
      <c r="R51" s="8"/>
      <c r="S51" s="8"/>
      <c r="T51" s="8"/>
      <c r="U51" s="8"/>
    </row>
    <row r="52" spans="1:21" ht="78.75">
      <c r="A52" s="8" t="s">
        <v>611</v>
      </c>
      <c r="B52" s="8" t="s">
        <v>613</v>
      </c>
      <c r="C52" s="8"/>
      <c r="D52" s="8"/>
      <c r="E52" s="8"/>
      <c r="F52" s="8"/>
      <c r="G52" s="8"/>
      <c r="H52" s="8"/>
      <c r="I52" s="8"/>
      <c r="J52" s="8"/>
      <c r="K52" s="8"/>
      <c r="L52" s="8"/>
      <c r="M52" s="8"/>
      <c r="N52" s="8"/>
      <c r="O52" s="8"/>
      <c r="P52" s="8"/>
      <c r="Q52" s="8"/>
      <c r="R52" s="8"/>
      <c r="S52" s="8"/>
      <c r="T52" s="8"/>
      <c r="U52" s="8"/>
    </row>
    <row r="53" spans="1:21" ht="31.5">
      <c r="A53" s="8" t="s">
        <v>620</v>
      </c>
      <c r="B53" s="8" t="s">
        <v>622</v>
      </c>
      <c r="C53" s="8"/>
      <c r="D53" s="8"/>
      <c r="E53" s="8"/>
      <c r="F53" s="8"/>
      <c r="G53" s="8"/>
      <c r="H53" s="8"/>
      <c r="I53" s="8"/>
      <c r="J53" s="8"/>
      <c r="K53" s="8"/>
      <c r="L53" s="8"/>
      <c r="M53" s="8"/>
      <c r="N53" s="8"/>
      <c r="O53" s="8"/>
      <c r="P53" s="8"/>
      <c r="Q53" s="8"/>
      <c r="R53" s="8"/>
      <c r="S53" s="8"/>
      <c r="T53" s="8"/>
      <c r="U53" s="8"/>
    </row>
    <row r="54" spans="1:21" ht="47.25">
      <c r="A54" s="8" t="s">
        <v>628</v>
      </c>
      <c r="B54" s="8" t="s">
        <v>630</v>
      </c>
      <c r="C54" s="8"/>
      <c r="D54" s="8"/>
      <c r="E54" s="8"/>
      <c r="F54" s="8"/>
      <c r="G54" s="8"/>
      <c r="H54" s="8"/>
      <c r="I54" s="8"/>
      <c r="J54" s="8"/>
      <c r="K54" s="8"/>
      <c r="L54" s="8"/>
      <c r="M54" s="8"/>
      <c r="N54" s="8"/>
      <c r="O54" s="8"/>
      <c r="P54" s="8"/>
      <c r="Q54" s="8"/>
      <c r="R54" s="8"/>
      <c r="S54" s="8"/>
      <c r="T54" s="8"/>
      <c r="U54" s="8"/>
    </row>
    <row r="55" spans="1:21">
      <c r="A55" s="8" t="s">
        <v>637</v>
      </c>
      <c r="B55" s="8" t="s">
        <v>639</v>
      </c>
      <c r="C55" s="8"/>
      <c r="D55" s="8"/>
      <c r="E55" s="8"/>
      <c r="F55" s="8"/>
      <c r="G55" s="8"/>
      <c r="H55" s="8"/>
      <c r="I55" s="8"/>
      <c r="J55" s="8"/>
      <c r="K55" s="8"/>
      <c r="L55" s="8"/>
      <c r="M55" s="8"/>
      <c r="N55" s="8"/>
      <c r="O55" s="8"/>
      <c r="P55" s="8"/>
      <c r="Q55" s="8"/>
      <c r="R55" s="8"/>
      <c r="S55" s="8"/>
      <c r="T55" s="8"/>
      <c r="U55" s="8"/>
    </row>
    <row r="56" spans="1:21" ht="31.5">
      <c r="A56" s="8" t="s">
        <v>646</v>
      </c>
      <c r="B56" s="8" t="s">
        <v>648</v>
      </c>
      <c r="C56" s="8"/>
      <c r="D56" s="8"/>
      <c r="E56" s="8"/>
      <c r="F56" s="8"/>
      <c r="G56" s="8"/>
      <c r="H56" s="8"/>
      <c r="I56" s="8"/>
      <c r="J56" s="8"/>
      <c r="K56" s="8"/>
      <c r="L56" s="8"/>
      <c r="M56" s="8"/>
      <c r="N56" s="8"/>
      <c r="O56" s="8"/>
      <c r="P56" s="8"/>
      <c r="Q56" s="8"/>
      <c r="R56" s="8"/>
      <c r="S56" s="8"/>
      <c r="T56" s="8"/>
      <c r="U56" s="8"/>
    </row>
    <row r="57" spans="1:21" ht="31.5">
      <c r="A57" s="8" t="s">
        <v>654</v>
      </c>
      <c r="B57" s="8" t="s">
        <v>656</v>
      </c>
      <c r="C57" s="8"/>
      <c r="D57" s="8"/>
      <c r="E57" s="8"/>
      <c r="F57" s="8"/>
      <c r="G57" s="8"/>
      <c r="H57" s="8"/>
      <c r="I57" s="8"/>
      <c r="J57" s="8"/>
      <c r="K57" s="8"/>
      <c r="L57" s="8"/>
      <c r="M57" s="8"/>
      <c r="N57" s="8"/>
      <c r="O57" s="8"/>
      <c r="P57" s="8"/>
      <c r="Q57" s="8"/>
      <c r="R57" s="8"/>
      <c r="S57" s="8"/>
      <c r="T57" s="8"/>
      <c r="U57" s="8"/>
    </row>
    <row r="58" spans="1:21" ht="31.5">
      <c r="A58" s="8" t="s">
        <v>662</v>
      </c>
      <c r="B58" s="8" t="s">
        <v>664</v>
      </c>
      <c r="C58" s="8"/>
      <c r="D58" s="8"/>
      <c r="E58" s="8"/>
      <c r="F58" s="8"/>
      <c r="G58" s="8"/>
      <c r="H58" s="8"/>
      <c r="I58" s="8"/>
      <c r="J58" s="8"/>
      <c r="K58" s="8"/>
      <c r="L58" s="8"/>
      <c r="M58" s="8"/>
      <c r="N58" s="8"/>
      <c r="O58" s="8"/>
      <c r="P58" s="8"/>
      <c r="Q58" s="8"/>
      <c r="R58" s="8"/>
      <c r="S58" s="8"/>
      <c r="T58" s="8"/>
      <c r="U58" s="8"/>
    </row>
    <row r="59" spans="1:21" ht="31.5">
      <c r="A59" s="8" t="s">
        <v>671</v>
      </c>
      <c r="B59" s="8" t="s">
        <v>673</v>
      </c>
      <c r="C59" s="8"/>
      <c r="D59" s="8"/>
      <c r="E59" s="8"/>
      <c r="F59" s="8"/>
      <c r="G59" s="8"/>
      <c r="H59" s="8"/>
      <c r="I59" s="8"/>
      <c r="J59" s="8"/>
      <c r="K59" s="8"/>
      <c r="L59" s="8"/>
      <c r="M59" s="8"/>
      <c r="N59" s="8"/>
      <c r="O59" s="8"/>
      <c r="P59" s="8"/>
      <c r="Q59" s="8"/>
      <c r="R59" s="8"/>
      <c r="S59" s="8"/>
      <c r="T59" s="8"/>
      <c r="U59" s="8"/>
    </row>
    <row r="60" spans="1:21">
      <c r="A60" s="8" t="s">
        <v>680</v>
      </c>
      <c r="B60" s="8" t="s">
        <v>682</v>
      </c>
      <c r="C60" s="8"/>
      <c r="D60" s="8"/>
      <c r="E60" s="8"/>
      <c r="F60" s="8"/>
      <c r="G60" s="8"/>
      <c r="H60" s="8"/>
      <c r="I60" s="8"/>
      <c r="J60" s="8"/>
      <c r="K60" s="8"/>
      <c r="L60" s="8"/>
      <c r="M60" s="8"/>
      <c r="N60" s="8"/>
      <c r="O60" s="8"/>
      <c r="P60" s="8"/>
      <c r="Q60" s="8"/>
      <c r="R60" s="8"/>
      <c r="S60" s="8"/>
      <c r="T60" s="8"/>
      <c r="U60" s="8"/>
    </row>
    <row r="61" spans="1:21" ht="31.5">
      <c r="A61" s="8" t="s">
        <v>689</v>
      </c>
      <c r="B61" s="8" t="s">
        <v>691</v>
      </c>
      <c r="C61" s="8"/>
      <c r="D61" s="8"/>
      <c r="E61" s="8"/>
      <c r="F61" s="8"/>
      <c r="G61" s="8"/>
      <c r="H61" s="8"/>
      <c r="I61" s="8"/>
      <c r="J61" s="8"/>
      <c r="K61" s="8"/>
      <c r="L61" s="8"/>
      <c r="M61" s="8"/>
      <c r="N61" s="8"/>
      <c r="O61" s="8"/>
      <c r="P61" s="8"/>
      <c r="Q61" s="8"/>
      <c r="R61" s="8"/>
      <c r="S61" s="8"/>
      <c r="T61" s="8"/>
      <c r="U61" s="8"/>
    </row>
    <row r="62" spans="1:21">
      <c r="A62" s="8" t="s">
        <v>698</v>
      </c>
      <c r="B62" s="8" t="s">
        <v>700</v>
      </c>
      <c r="C62" s="8"/>
      <c r="D62" s="8"/>
      <c r="E62" s="8"/>
      <c r="F62" s="8"/>
      <c r="G62" s="8"/>
      <c r="H62" s="8"/>
      <c r="I62" s="8"/>
      <c r="J62" s="8"/>
      <c r="K62" s="8"/>
      <c r="L62" s="8"/>
      <c r="M62" s="8"/>
      <c r="N62" s="8"/>
      <c r="O62" s="8"/>
      <c r="P62" s="8"/>
      <c r="Q62" s="8"/>
      <c r="R62" s="8"/>
      <c r="S62" s="8"/>
      <c r="T62" s="8"/>
      <c r="U62" s="8"/>
    </row>
    <row r="63" spans="1:21" ht="31.5">
      <c r="A63" s="8" t="s">
        <v>708</v>
      </c>
      <c r="B63" s="8" t="s">
        <v>710</v>
      </c>
      <c r="C63" s="8"/>
      <c r="D63" s="8"/>
      <c r="E63" s="8"/>
      <c r="F63" s="8"/>
      <c r="G63" s="8"/>
      <c r="H63" s="8"/>
      <c r="I63" s="8"/>
      <c r="J63" s="8"/>
      <c r="K63" s="8"/>
      <c r="L63" s="8"/>
      <c r="M63" s="8"/>
      <c r="N63" s="8"/>
      <c r="O63" s="8"/>
      <c r="P63" s="8"/>
      <c r="Q63" s="8"/>
      <c r="R63" s="8"/>
      <c r="S63" s="8"/>
      <c r="T63" s="8"/>
      <c r="U63" s="8"/>
    </row>
    <row r="64" spans="1:21" ht="31.5">
      <c r="A64" s="8" t="s">
        <v>717</v>
      </c>
      <c r="B64" s="8" t="s">
        <v>719</v>
      </c>
      <c r="C64" s="8"/>
      <c r="D64" s="8"/>
      <c r="E64" s="8"/>
      <c r="F64" s="8"/>
      <c r="G64" s="8"/>
      <c r="H64" s="8"/>
      <c r="I64" s="8"/>
      <c r="J64" s="8"/>
      <c r="K64" s="8"/>
      <c r="L64" s="8"/>
      <c r="M64" s="8"/>
      <c r="N64" s="8"/>
      <c r="O64" s="8"/>
      <c r="P64" s="8"/>
      <c r="Q64" s="8"/>
      <c r="R64" s="8"/>
      <c r="S64" s="8"/>
      <c r="T64" s="8"/>
      <c r="U64" s="8"/>
    </row>
    <row r="65" spans="1:21" ht="31.5">
      <c r="A65" s="8" t="s">
        <v>725</v>
      </c>
      <c r="B65" s="8" t="s">
        <v>727</v>
      </c>
      <c r="C65" s="8"/>
      <c r="D65" s="8"/>
      <c r="E65" s="8"/>
      <c r="F65" s="8"/>
      <c r="G65" s="8"/>
      <c r="H65" s="8"/>
      <c r="I65" s="8"/>
      <c r="J65" s="8"/>
      <c r="K65" s="8"/>
      <c r="L65" s="8"/>
      <c r="M65" s="8"/>
      <c r="N65" s="8"/>
      <c r="O65" s="8"/>
      <c r="P65" s="8"/>
      <c r="Q65" s="8"/>
      <c r="R65" s="8"/>
      <c r="S65" s="8"/>
      <c r="T65" s="8"/>
      <c r="U65" s="8"/>
    </row>
    <row r="66" spans="1:21" ht="31.5">
      <c r="A66" s="8" t="s">
        <v>733</v>
      </c>
      <c r="B66" s="8" t="s">
        <v>735</v>
      </c>
      <c r="C66" s="8"/>
      <c r="D66" s="8"/>
      <c r="E66" s="8"/>
      <c r="F66" s="8"/>
      <c r="G66" s="8"/>
      <c r="H66" s="8"/>
      <c r="I66" s="8"/>
      <c r="J66" s="8"/>
      <c r="K66" s="8"/>
      <c r="L66" s="8"/>
      <c r="M66" s="8"/>
      <c r="N66" s="8"/>
      <c r="O66" s="8"/>
      <c r="P66" s="8"/>
      <c r="Q66" s="8"/>
      <c r="R66" s="8"/>
      <c r="S66" s="8"/>
      <c r="T66" s="8"/>
      <c r="U66" s="8"/>
    </row>
    <row r="67" spans="1:21" ht="31.5">
      <c r="A67" s="8" t="s">
        <v>741</v>
      </c>
      <c r="B67" s="8" t="s">
        <v>743</v>
      </c>
      <c r="C67" s="8"/>
      <c r="D67" s="8"/>
      <c r="E67" s="8"/>
      <c r="F67" s="8"/>
      <c r="G67" s="8"/>
      <c r="H67" s="8"/>
      <c r="I67" s="8"/>
      <c r="J67" s="8"/>
      <c r="K67" s="8"/>
      <c r="L67" s="8"/>
      <c r="M67" s="8"/>
      <c r="N67" s="8"/>
      <c r="O67" s="8"/>
      <c r="P67" s="8"/>
      <c r="Q67" s="8"/>
      <c r="R67" s="8"/>
      <c r="S67" s="8"/>
      <c r="T67" s="8"/>
      <c r="U67" s="8"/>
    </row>
    <row r="68" spans="1:21">
      <c r="A68" s="8" t="s">
        <v>750</v>
      </c>
      <c r="B68" s="8" t="s">
        <v>752</v>
      </c>
      <c r="C68" s="8"/>
      <c r="D68" s="8"/>
      <c r="E68" s="8"/>
      <c r="F68" s="8"/>
      <c r="G68" s="8"/>
      <c r="H68" s="8"/>
      <c r="I68" s="8"/>
      <c r="J68" s="8"/>
      <c r="K68" s="8"/>
      <c r="L68" s="8"/>
      <c r="M68" s="8"/>
      <c r="N68" s="8"/>
      <c r="O68" s="8"/>
      <c r="P68" s="8"/>
      <c r="Q68" s="8"/>
      <c r="R68" s="8"/>
      <c r="S68" s="8"/>
      <c r="T68" s="8"/>
      <c r="U68" s="8"/>
    </row>
    <row r="69" spans="1:21">
      <c r="A69" s="8" t="s">
        <v>759</v>
      </c>
      <c r="B69" s="8" t="s">
        <v>761</v>
      </c>
      <c r="C69" s="8"/>
      <c r="D69" s="8"/>
      <c r="E69" s="8"/>
      <c r="F69" s="8"/>
      <c r="G69" s="8"/>
      <c r="H69" s="8"/>
      <c r="I69" s="8"/>
      <c r="J69" s="8"/>
      <c r="K69" s="8"/>
      <c r="L69" s="8"/>
      <c r="M69" s="8"/>
      <c r="N69" s="8"/>
      <c r="O69" s="8"/>
      <c r="P69" s="8"/>
      <c r="Q69" s="8"/>
      <c r="R69" s="8"/>
      <c r="S69" s="8"/>
      <c r="T69" s="8"/>
      <c r="U69" s="8"/>
    </row>
    <row r="70" spans="1:21">
      <c r="A70" s="8" t="s">
        <v>768</v>
      </c>
      <c r="B70" s="8" t="s">
        <v>770</v>
      </c>
      <c r="C70" s="8"/>
      <c r="D70" s="8"/>
      <c r="E70" s="8"/>
      <c r="F70" s="8"/>
      <c r="G70" s="8"/>
      <c r="H70" s="8"/>
      <c r="I70" s="8"/>
      <c r="J70" s="8"/>
      <c r="K70" s="8"/>
      <c r="L70" s="8"/>
      <c r="M70" s="8"/>
      <c r="N70" s="8"/>
      <c r="O70" s="8"/>
      <c r="P70" s="8"/>
      <c r="Q70" s="8"/>
      <c r="R70" s="8"/>
      <c r="S70" s="8"/>
      <c r="T70" s="8"/>
      <c r="U70" s="8"/>
    </row>
    <row r="71" spans="1:21" ht="31.5">
      <c r="A71" s="8" t="s">
        <v>777</v>
      </c>
      <c r="B71" s="8" t="s">
        <v>779</v>
      </c>
      <c r="C71" s="8"/>
      <c r="D71" s="8"/>
      <c r="E71" s="8"/>
      <c r="F71" s="8"/>
      <c r="G71" s="8"/>
      <c r="H71" s="8"/>
      <c r="I71" s="8"/>
      <c r="J71" s="8"/>
      <c r="K71" s="8"/>
      <c r="L71" s="8"/>
      <c r="M71" s="8"/>
      <c r="N71" s="8"/>
      <c r="O71" s="8"/>
      <c r="P71" s="8"/>
      <c r="Q71" s="8"/>
      <c r="R71" s="8"/>
      <c r="S71" s="8"/>
      <c r="T71" s="8"/>
      <c r="U71" s="8"/>
    </row>
    <row r="72" spans="1:21" ht="31.5">
      <c r="A72" s="8" t="s">
        <v>786</v>
      </c>
      <c r="B72" s="8" t="s">
        <v>788</v>
      </c>
      <c r="C72" s="8"/>
      <c r="D72" s="8"/>
      <c r="E72" s="8"/>
      <c r="F72" s="8"/>
      <c r="G72" s="8"/>
      <c r="H72" s="8"/>
      <c r="I72" s="8"/>
      <c r="J72" s="8"/>
      <c r="K72" s="8"/>
      <c r="L72" s="8"/>
      <c r="M72" s="8"/>
      <c r="N72" s="8"/>
      <c r="O72" s="8"/>
      <c r="P72" s="8"/>
      <c r="Q72" s="8"/>
      <c r="R72" s="8"/>
      <c r="S72" s="8"/>
      <c r="T72" s="8"/>
      <c r="U72" s="8"/>
    </row>
    <row r="73" spans="1:21">
      <c r="A73" s="8" t="s">
        <v>794</v>
      </c>
      <c r="B73" s="8" t="s">
        <v>796</v>
      </c>
      <c r="C73" s="8"/>
      <c r="D73" s="8"/>
      <c r="E73" s="8"/>
      <c r="F73" s="8"/>
      <c r="G73" s="8"/>
      <c r="H73" s="8"/>
      <c r="I73" s="8"/>
      <c r="J73" s="8"/>
      <c r="K73" s="8"/>
      <c r="L73" s="8"/>
      <c r="M73" s="8"/>
      <c r="N73" s="8"/>
      <c r="O73" s="8"/>
      <c r="P73" s="8"/>
      <c r="Q73" s="8"/>
      <c r="R73" s="8"/>
      <c r="S73" s="8"/>
      <c r="T73" s="8"/>
      <c r="U73" s="8"/>
    </row>
    <row r="74" spans="1:21" ht="31.5">
      <c r="A74" s="8" t="s">
        <v>802</v>
      </c>
      <c r="B74" s="8" t="s">
        <v>804</v>
      </c>
      <c r="C74" s="8"/>
      <c r="D74" s="8"/>
      <c r="E74" s="8"/>
      <c r="F74" s="8"/>
      <c r="G74" s="8"/>
      <c r="H74" s="8"/>
      <c r="I74" s="8"/>
      <c r="J74" s="8"/>
      <c r="K74" s="8"/>
      <c r="L74" s="8"/>
      <c r="M74" s="8"/>
      <c r="N74" s="8"/>
      <c r="O74" s="8"/>
      <c r="P74" s="8"/>
      <c r="Q74" s="8"/>
      <c r="R74" s="8"/>
      <c r="S74" s="8"/>
      <c r="T74" s="8"/>
      <c r="U74" s="8"/>
    </row>
    <row r="75" spans="1:21" ht="31.5">
      <c r="A75" s="8" t="s">
        <v>810</v>
      </c>
      <c r="B75" s="8" t="s">
        <v>812</v>
      </c>
      <c r="C75" s="8"/>
      <c r="D75" s="8"/>
      <c r="E75" s="8"/>
      <c r="F75" s="8"/>
      <c r="G75" s="8"/>
      <c r="H75" s="8"/>
      <c r="I75" s="8"/>
      <c r="J75" s="8"/>
      <c r="K75" s="8"/>
      <c r="L75" s="8"/>
      <c r="M75" s="8"/>
      <c r="N75" s="8"/>
      <c r="O75" s="8"/>
      <c r="P75" s="8"/>
      <c r="Q75" s="8"/>
      <c r="R75" s="8"/>
      <c r="S75" s="8"/>
      <c r="T75" s="8"/>
      <c r="U75" s="8"/>
    </row>
    <row r="76" spans="1:21" ht="31.5">
      <c r="A76" s="8" t="s">
        <v>819</v>
      </c>
      <c r="B76" s="8" t="s">
        <v>821</v>
      </c>
      <c r="C76" s="8"/>
      <c r="D76" s="8"/>
      <c r="E76" s="8"/>
      <c r="F76" s="8"/>
      <c r="G76" s="8"/>
      <c r="H76" s="8"/>
      <c r="I76" s="8"/>
      <c r="J76" s="8"/>
      <c r="K76" s="8"/>
      <c r="L76" s="8"/>
      <c r="M76" s="8"/>
      <c r="N76" s="8"/>
      <c r="O76" s="8"/>
      <c r="P76" s="8"/>
      <c r="Q76" s="8"/>
      <c r="R76" s="8"/>
      <c r="S76" s="8"/>
      <c r="T76" s="8"/>
      <c r="U76" s="8"/>
    </row>
    <row r="77" spans="1:21" ht="31.5">
      <c r="A77" s="8" t="s">
        <v>827</v>
      </c>
      <c r="B77" s="8" t="s">
        <v>829</v>
      </c>
      <c r="C77" s="8"/>
      <c r="D77" s="8"/>
      <c r="E77" s="8"/>
      <c r="F77" s="8"/>
      <c r="G77" s="8"/>
      <c r="H77" s="8"/>
      <c r="I77" s="8"/>
      <c r="J77" s="8"/>
      <c r="K77" s="8"/>
      <c r="L77" s="8"/>
      <c r="M77" s="8"/>
      <c r="N77" s="8"/>
      <c r="O77" s="8"/>
      <c r="P77" s="8"/>
      <c r="Q77" s="8"/>
      <c r="R77" s="8"/>
      <c r="S77" s="8"/>
      <c r="T77" s="8"/>
      <c r="U77" s="8"/>
    </row>
    <row r="78" spans="1:21" ht="31.5">
      <c r="A78" s="8" t="s">
        <v>836</v>
      </c>
      <c r="B78" s="8" t="s">
        <v>838</v>
      </c>
      <c r="C78" s="8"/>
      <c r="D78" s="8"/>
      <c r="E78" s="8"/>
      <c r="F78" s="8"/>
      <c r="G78" s="8"/>
      <c r="H78" s="8"/>
      <c r="I78" s="8"/>
      <c r="J78" s="8"/>
      <c r="K78" s="8"/>
      <c r="L78" s="8"/>
      <c r="M78" s="8"/>
      <c r="N78" s="8"/>
      <c r="O78" s="8"/>
      <c r="P78" s="8"/>
      <c r="Q78" s="8"/>
      <c r="R78" s="8"/>
      <c r="S78" s="8"/>
      <c r="T78" s="8"/>
      <c r="U78" s="8"/>
    </row>
    <row r="79" spans="1:21" ht="31.5">
      <c r="A79" s="8" t="s">
        <v>845</v>
      </c>
      <c r="B79" s="8" t="s">
        <v>847</v>
      </c>
      <c r="C79" s="8"/>
      <c r="D79" s="8"/>
      <c r="E79" s="8"/>
      <c r="F79" s="8"/>
      <c r="G79" s="8"/>
      <c r="H79" s="8"/>
      <c r="I79" s="8"/>
      <c r="J79" s="8"/>
      <c r="K79" s="8"/>
      <c r="L79" s="8"/>
      <c r="M79" s="8"/>
      <c r="N79" s="8"/>
      <c r="O79" s="8"/>
      <c r="P79" s="8"/>
      <c r="Q79" s="8"/>
      <c r="R79" s="8"/>
      <c r="S79" s="8"/>
      <c r="T79" s="8"/>
      <c r="U79" s="8"/>
    </row>
    <row r="80" spans="1:21" ht="47.25">
      <c r="A80" s="8" t="s">
        <v>854</v>
      </c>
      <c r="B80" s="8" t="s">
        <v>856</v>
      </c>
      <c r="C80" s="8"/>
      <c r="D80" s="8"/>
      <c r="E80" s="8"/>
      <c r="F80" s="8"/>
      <c r="G80" s="8"/>
      <c r="H80" s="8"/>
      <c r="I80" s="8"/>
      <c r="J80" s="8"/>
      <c r="K80" s="8"/>
      <c r="L80" s="8"/>
      <c r="M80" s="8"/>
      <c r="N80" s="8"/>
      <c r="O80" s="8"/>
      <c r="P80" s="8"/>
      <c r="Q80" s="8"/>
      <c r="R80" s="8"/>
      <c r="S80" s="8"/>
      <c r="T80" s="8"/>
      <c r="U80" s="8"/>
    </row>
    <row r="81" spans="1:21" ht="31.5">
      <c r="A81" s="8" t="s">
        <v>863</v>
      </c>
      <c r="B81" s="8" t="s">
        <v>865</v>
      </c>
      <c r="C81" s="8"/>
      <c r="D81" s="8"/>
      <c r="E81" s="8"/>
      <c r="F81" s="8"/>
      <c r="G81" s="8"/>
      <c r="H81" s="8"/>
      <c r="I81" s="8"/>
      <c r="J81" s="8"/>
      <c r="K81" s="8"/>
      <c r="L81" s="8"/>
      <c r="M81" s="8"/>
      <c r="N81" s="8"/>
      <c r="O81" s="8"/>
      <c r="P81" s="8"/>
      <c r="Q81" s="8"/>
      <c r="R81" s="8"/>
      <c r="S81" s="8"/>
      <c r="T81" s="8"/>
      <c r="U81" s="8"/>
    </row>
    <row r="82" spans="1:21" ht="47.25">
      <c r="A82" s="8" t="s">
        <v>871</v>
      </c>
      <c r="B82" s="8" t="s">
        <v>873</v>
      </c>
      <c r="C82" s="8"/>
      <c r="D82" s="8"/>
      <c r="E82" s="8"/>
      <c r="F82" s="8"/>
      <c r="G82" s="8"/>
      <c r="H82" s="8"/>
      <c r="I82" s="8"/>
      <c r="J82" s="8"/>
      <c r="K82" s="8"/>
      <c r="L82" s="8"/>
      <c r="M82" s="8"/>
      <c r="N82" s="8"/>
      <c r="O82" s="8"/>
      <c r="P82" s="8"/>
      <c r="Q82" s="8"/>
      <c r="R82" s="8"/>
      <c r="S82" s="8"/>
      <c r="T82" s="8"/>
      <c r="U82" s="8"/>
    </row>
    <row r="83" spans="1:21" ht="31.5">
      <c r="A83" s="8" t="s">
        <v>879</v>
      </c>
      <c r="B83" s="8" t="s">
        <v>881</v>
      </c>
      <c r="C83" s="8"/>
      <c r="D83" s="8"/>
      <c r="E83" s="8"/>
      <c r="F83" s="8"/>
      <c r="G83" s="8"/>
      <c r="H83" s="8"/>
      <c r="I83" s="8"/>
      <c r="J83" s="8"/>
      <c r="K83" s="8"/>
      <c r="L83" s="8"/>
      <c r="M83" s="8"/>
      <c r="N83" s="8"/>
      <c r="O83" s="8"/>
      <c r="P83" s="8"/>
      <c r="Q83" s="8"/>
      <c r="R83" s="8"/>
      <c r="S83" s="8"/>
      <c r="T83" s="8"/>
      <c r="U83" s="8"/>
    </row>
    <row r="84" spans="1:21" ht="31.5">
      <c r="A84" s="8" t="s">
        <v>888</v>
      </c>
      <c r="B84" s="8" t="s">
        <v>890</v>
      </c>
      <c r="C84" s="8"/>
      <c r="D84" s="8"/>
      <c r="E84" s="8"/>
      <c r="F84" s="8"/>
      <c r="G84" s="8"/>
      <c r="H84" s="8"/>
      <c r="I84" s="8"/>
      <c r="J84" s="8"/>
      <c r="K84" s="8"/>
      <c r="L84" s="8"/>
      <c r="M84" s="8"/>
      <c r="N84" s="8"/>
      <c r="O84" s="8"/>
      <c r="P84" s="8"/>
      <c r="Q84" s="8"/>
      <c r="R84" s="8"/>
      <c r="S84" s="8"/>
      <c r="T84" s="8"/>
      <c r="U84" s="8"/>
    </row>
    <row r="85" spans="1:21" ht="47.25">
      <c r="A85" s="8" t="s">
        <v>896</v>
      </c>
      <c r="B85" s="8" t="s">
        <v>898</v>
      </c>
      <c r="C85" s="8"/>
      <c r="D85" s="8"/>
      <c r="E85" s="8"/>
      <c r="F85" s="8"/>
      <c r="G85" s="8"/>
      <c r="H85" s="8"/>
      <c r="I85" s="8"/>
      <c r="J85" s="8"/>
      <c r="K85" s="8"/>
      <c r="L85" s="8"/>
      <c r="M85" s="8"/>
      <c r="N85" s="8"/>
      <c r="O85" s="8"/>
      <c r="P85" s="8"/>
      <c r="Q85" s="8"/>
      <c r="R85" s="8"/>
      <c r="S85" s="8"/>
      <c r="T85" s="8"/>
      <c r="U85" s="8"/>
    </row>
    <row r="86" spans="1:21" ht="31.5">
      <c r="A86" s="8" t="s">
        <v>904</v>
      </c>
      <c r="B86" s="8" t="s">
        <v>906</v>
      </c>
      <c r="C86" s="8"/>
      <c r="D86" s="8"/>
      <c r="E86" s="8"/>
      <c r="F86" s="8"/>
      <c r="G86" s="8"/>
      <c r="H86" s="8"/>
      <c r="I86" s="8"/>
      <c r="J86" s="8"/>
      <c r="K86" s="8"/>
      <c r="L86" s="8"/>
      <c r="M86" s="8"/>
      <c r="N86" s="8"/>
      <c r="O86" s="8"/>
      <c r="P86" s="8"/>
      <c r="Q86" s="8"/>
      <c r="R86" s="8"/>
      <c r="S86" s="8"/>
      <c r="T86" s="8"/>
      <c r="U86" s="8"/>
    </row>
    <row r="87" spans="1:21" ht="31.5">
      <c r="A87" s="8" t="s">
        <v>913</v>
      </c>
      <c r="B87" s="8" t="s">
        <v>915</v>
      </c>
      <c r="C87" s="8"/>
      <c r="D87" s="8"/>
      <c r="E87" s="8"/>
      <c r="F87" s="8"/>
      <c r="G87" s="8"/>
      <c r="H87" s="8"/>
      <c r="I87" s="8"/>
      <c r="J87" s="8"/>
      <c r="K87" s="8"/>
      <c r="L87" s="8"/>
      <c r="M87" s="8"/>
      <c r="N87" s="8"/>
      <c r="O87" s="8"/>
      <c r="P87" s="8"/>
      <c r="Q87" s="8"/>
      <c r="R87" s="8"/>
      <c r="S87" s="8"/>
      <c r="T87" s="8"/>
      <c r="U87" s="8"/>
    </row>
    <row r="88" spans="1:21" ht="31.5">
      <c r="A88" s="8" t="s">
        <v>922</v>
      </c>
      <c r="B88" s="8" t="s">
        <v>924</v>
      </c>
      <c r="C88" s="8"/>
      <c r="D88" s="8"/>
      <c r="E88" s="8"/>
      <c r="F88" s="8"/>
      <c r="G88" s="8"/>
      <c r="H88" s="8"/>
      <c r="I88" s="8"/>
      <c r="J88" s="8"/>
      <c r="K88" s="8"/>
      <c r="L88" s="8"/>
      <c r="M88" s="8"/>
      <c r="N88" s="8"/>
      <c r="O88" s="8"/>
      <c r="P88" s="8"/>
      <c r="Q88" s="8"/>
      <c r="R88" s="8"/>
      <c r="S88" s="8"/>
      <c r="T88" s="8"/>
      <c r="U88" s="8"/>
    </row>
    <row r="89" spans="1:21" ht="31.5">
      <c r="A89" s="8" t="s">
        <v>930</v>
      </c>
      <c r="B89" s="8" t="s">
        <v>932</v>
      </c>
      <c r="C89" s="8"/>
      <c r="D89" s="8"/>
      <c r="E89" s="8"/>
      <c r="F89" s="8"/>
      <c r="G89" s="8"/>
      <c r="H89" s="8"/>
      <c r="I89" s="8"/>
      <c r="J89" s="8"/>
      <c r="K89" s="8"/>
      <c r="L89" s="8"/>
      <c r="M89" s="8"/>
      <c r="N89" s="8"/>
      <c r="O89" s="8"/>
      <c r="P89" s="8"/>
      <c r="Q89" s="8"/>
      <c r="R89" s="8"/>
      <c r="S89" s="8"/>
      <c r="T89" s="8"/>
      <c r="U89" s="8"/>
    </row>
    <row r="90" spans="1:21" ht="31.5">
      <c r="A90" s="8" t="s">
        <v>938</v>
      </c>
      <c r="B90" s="8" t="s">
        <v>940</v>
      </c>
      <c r="C90" s="8"/>
      <c r="D90" s="8"/>
      <c r="E90" s="8"/>
      <c r="F90" s="8"/>
      <c r="G90" s="8"/>
      <c r="H90" s="8"/>
      <c r="I90" s="8"/>
      <c r="J90" s="8"/>
      <c r="K90" s="8"/>
      <c r="L90" s="8"/>
      <c r="M90" s="8"/>
      <c r="N90" s="8"/>
      <c r="O90" s="8"/>
      <c r="P90" s="8"/>
      <c r="Q90" s="8"/>
      <c r="R90" s="8"/>
      <c r="S90" s="8"/>
      <c r="T90" s="8"/>
      <c r="U90" s="8"/>
    </row>
    <row r="91" spans="1:21" ht="31.5">
      <c r="A91" s="8" t="s">
        <v>947</v>
      </c>
      <c r="B91" s="8" t="s">
        <v>949</v>
      </c>
      <c r="C91" s="8"/>
      <c r="D91" s="8"/>
      <c r="E91" s="8"/>
      <c r="F91" s="8"/>
      <c r="G91" s="8"/>
      <c r="H91" s="8"/>
      <c r="I91" s="8"/>
      <c r="J91" s="8"/>
      <c r="K91" s="8"/>
      <c r="L91" s="8"/>
      <c r="M91" s="8"/>
      <c r="N91" s="8"/>
      <c r="O91" s="8"/>
      <c r="P91" s="8"/>
      <c r="Q91" s="8"/>
      <c r="R91" s="8"/>
      <c r="S91" s="8"/>
      <c r="T91" s="8"/>
      <c r="U91" s="8"/>
    </row>
    <row r="92" spans="1:21" ht="31.5">
      <c r="A92" s="8" t="s">
        <v>956</v>
      </c>
      <c r="B92" s="8" t="s">
        <v>958</v>
      </c>
      <c r="C92" s="8"/>
      <c r="D92" s="8"/>
      <c r="E92" s="8"/>
      <c r="F92" s="8"/>
      <c r="G92" s="8"/>
      <c r="H92" s="8"/>
      <c r="I92" s="8"/>
      <c r="J92" s="8"/>
      <c r="K92" s="8"/>
      <c r="L92" s="8"/>
      <c r="M92" s="8"/>
      <c r="N92" s="8"/>
      <c r="O92" s="8"/>
      <c r="P92" s="8"/>
      <c r="Q92" s="8"/>
      <c r="R92" s="8"/>
      <c r="S92" s="8"/>
      <c r="T92" s="8"/>
      <c r="U92" s="8"/>
    </row>
    <row r="93" spans="1:21" ht="31.5">
      <c r="A93" s="8" t="s">
        <v>965</v>
      </c>
      <c r="B93" s="8" t="s">
        <v>967</v>
      </c>
      <c r="C93" s="8"/>
      <c r="D93" s="8"/>
      <c r="E93" s="8"/>
      <c r="F93" s="8"/>
      <c r="G93" s="8"/>
      <c r="H93" s="8"/>
      <c r="I93" s="8"/>
      <c r="J93" s="8"/>
      <c r="K93" s="8"/>
      <c r="L93" s="8"/>
      <c r="M93" s="8"/>
      <c r="N93" s="8"/>
      <c r="O93" s="8"/>
      <c r="P93" s="8"/>
      <c r="Q93" s="8"/>
      <c r="R93" s="8"/>
      <c r="S93" s="8"/>
      <c r="T93" s="8"/>
      <c r="U93" s="8"/>
    </row>
    <row r="94" spans="1:21" ht="31.5">
      <c r="A94" s="8" t="s">
        <v>974</v>
      </c>
      <c r="B94" s="8" t="s">
        <v>976</v>
      </c>
      <c r="C94" s="8"/>
      <c r="D94" s="8"/>
      <c r="E94" s="8"/>
      <c r="F94" s="8"/>
      <c r="G94" s="8"/>
      <c r="H94" s="8"/>
      <c r="I94" s="8"/>
      <c r="J94" s="8"/>
      <c r="K94" s="8"/>
      <c r="L94" s="8"/>
      <c r="M94" s="8"/>
      <c r="N94" s="8"/>
      <c r="O94" s="8"/>
      <c r="P94" s="8"/>
      <c r="Q94" s="8"/>
      <c r="R94" s="8"/>
      <c r="S94" s="8"/>
      <c r="T94" s="8"/>
      <c r="U94" s="8"/>
    </row>
    <row r="95" spans="1:21" ht="31.5">
      <c r="A95" s="8" t="s">
        <v>983</v>
      </c>
      <c r="B95" s="8" t="s">
        <v>985</v>
      </c>
      <c r="C95" s="8"/>
      <c r="D95" s="8"/>
      <c r="E95" s="8"/>
      <c r="F95" s="8"/>
      <c r="G95" s="8"/>
      <c r="H95" s="8"/>
      <c r="I95" s="8"/>
      <c r="J95" s="8"/>
      <c r="K95" s="8"/>
      <c r="L95" s="8"/>
      <c r="M95" s="8"/>
      <c r="N95" s="8"/>
      <c r="O95" s="8"/>
      <c r="P95" s="8"/>
      <c r="Q95" s="8"/>
      <c r="R95" s="8"/>
      <c r="S95" s="8"/>
      <c r="T95" s="8"/>
      <c r="U95" s="8"/>
    </row>
    <row r="96" spans="1:21" ht="31.5">
      <c r="A96" s="8" t="s">
        <v>991</v>
      </c>
      <c r="B96" s="8" t="s">
        <v>993</v>
      </c>
      <c r="C96" s="8"/>
      <c r="D96" s="8"/>
      <c r="E96" s="8"/>
      <c r="F96" s="8"/>
      <c r="G96" s="8"/>
      <c r="H96" s="8"/>
      <c r="I96" s="8"/>
      <c r="J96" s="8"/>
      <c r="K96" s="8"/>
      <c r="L96" s="8"/>
      <c r="M96" s="8"/>
      <c r="N96" s="8"/>
      <c r="O96" s="8"/>
      <c r="P96" s="8"/>
      <c r="Q96" s="8"/>
      <c r="R96" s="8"/>
      <c r="S96" s="8"/>
      <c r="T96" s="8"/>
      <c r="U96" s="8"/>
    </row>
    <row r="97" spans="1:21" ht="31.5">
      <c r="A97" s="8" t="s">
        <v>999</v>
      </c>
      <c r="B97" s="8" t="s">
        <v>1001</v>
      </c>
      <c r="C97" s="8"/>
      <c r="D97" s="8"/>
      <c r="E97" s="8"/>
      <c r="F97" s="8"/>
      <c r="G97" s="8"/>
      <c r="H97" s="8"/>
      <c r="I97" s="8"/>
      <c r="J97" s="8"/>
      <c r="K97" s="8"/>
      <c r="L97" s="8"/>
      <c r="M97" s="8"/>
      <c r="N97" s="8"/>
      <c r="O97" s="8"/>
      <c r="P97" s="8"/>
      <c r="Q97" s="8"/>
      <c r="R97" s="8"/>
      <c r="S97" s="8"/>
      <c r="T97" s="8"/>
      <c r="U97" s="8"/>
    </row>
  </sheetData>
  <mergeCells count="1">
    <mergeCell ref="A1:U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J97"/>
  <sheetViews>
    <sheetView workbookViewId="0">
      <selection activeCell="D9" sqref="D9"/>
    </sheetView>
  </sheetViews>
  <sheetFormatPr defaultRowHeight="15.75"/>
  <cols>
    <col min="1" max="1" width="11" style="2" customWidth="1"/>
    <col min="2" max="2" width="48" style="2" customWidth="1"/>
    <col min="3" max="5" width="60" style="2" customWidth="1"/>
    <col min="6" max="6" width="58" style="2" customWidth="1"/>
    <col min="7" max="7" width="50" style="2" customWidth="1"/>
    <col min="8" max="8" width="42" style="2" customWidth="1"/>
    <col min="9" max="9" width="48" style="2" customWidth="1"/>
    <col min="10" max="10" width="30" style="2" customWidth="1"/>
    <col min="11" max="16384" width="9" style="2"/>
  </cols>
  <sheetData>
    <row r="1" spans="1:10" s="7" customFormat="1" ht="20.25">
      <c r="A1" s="16" t="s">
        <v>1071</v>
      </c>
      <c r="B1" s="16"/>
      <c r="C1" s="16"/>
      <c r="D1" s="16"/>
      <c r="E1" s="16"/>
      <c r="F1" s="16"/>
      <c r="G1" s="16"/>
      <c r="H1" s="16"/>
      <c r="I1" s="16"/>
      <c r="J1" s="16"/>
    </row>
    <row r="3" spans="1:10" s="6" customFormat="1" ht="18.75">
      <c r="A3" s="5" t="s">
        <v>165</v>
      </c>
      <c r="B3" s="5" t="s">
        <v>168</v>
      </c>
      <c r="C3" s="5" t="s">
        <v>1072</v>
      </c>
      <c r="D3" s="5" t="s">
        <v>1073</v>
      </c>
      <c r="E3" s="5" t="s">
        <v>1074</v>
      </c>
      <c r="F3" s="5" t="s">
        <v>1075</v>
      </c>
      <c r="G3" s="5" t="s">
        <v>1076</v>
      </c>
      <c r="H3" s="5" t="s">
        <v>1077</v>
      </c>
      <c r="I3" s="5" t="s">
        <v>1078</v>
      </c>
      <c r="J3" s="5" t="s">
        <v>1026</v>
      </c>
    </row>
    <row r="4" spans="1:10" ht="47.25">
      <c r="A4" s="8" t="s">
        <v>181</v>
      </c>
      <c r="B4" s="8" t="s">
        <v>183</v>
      </c>
      <c r="C4" s="8" t="s">
        <v>1954</v>
      </c>
      <c r="D4" s="8" t="s">
        <v>1955</v>
      </c>
      <c r="E4" s="8" t="s">
        <v>1956</v>
      </c>
      <c r="F4" s="8" t="s">
        <v>1957</v>
      </c>
      <c r="G4" s="8" t="s">
        <v>1958</v>
      </c>
      <c r="H4" s="8" t="s">
        <v>1959</v>
      </c>
      <c r="I4" s="8" t="s">
        <v>1960</v>
      </c>
      <c r="J4" s="8" t="s">
        <v>1961</v>
      </c>
    </row>
    <row r="5" spans="1:10" ht="63">
      <c r="A5" s="8" t="s">
        <v>194</v>
      </c>
      <c r="B5" s="8" t="s">
        <v>196</v>
      </c>
      <c r="C5" s="8" t="s">
        <v>1962</v>
      </c>
      <c r="D5" s="8" t="s">
        <v>1963</v>
      </c>
      <c r="E5" s="8" t="s">
        <v>1964</v>
      </c>
      <c r="F5" s="8" t="s">
        <v>1965</v>
      </c>
      <c r="G5" s="8" t="s">
        <v>1966</v>
      </c>
      <c r="H5" s="8" t="s">
        <v>1967</v>
      </c>
      <c r="I5" s="8" t="s">
        <v>1968</v>
      </c>
      <c r="J5" s="8" t="s">
        <v>1969</v>
      </c>
    </row>
    <row r="6" spans="1:10" ht="63">
      <c r="A6" s="8" t="s">
        <v>202</v>
      </c>
      <c r="B6" s="8" t="s">
        <v>204</v>
      </c>
      <c r="C6" s="8" t="s">
        <v>1970</v>
      </c>
      <c r="D6" s="8" t="s">
        <v>1971</v>
      </c>
      <c r="E6" s="8" t="s">
        <v>1972</v>
      </c>
      <c r="F6" s="8" t="s">
        <v>1973</v>
      </c>
      <c r="G6" s="8" t="s">
        <v>1966</v>
      </c>
      <c r="H6" s="8" t="s">
        <v>1974</v>
      </c>
      <c r="I6" s="8" t="s">
        <v>1975</v>
      </c>
      <c r="J6" s="8" t="s">
        <v>1976</v>
      </c>
    </row>
    <row r="7" spans="1:10" ht="47.25">
      <c r="A7" s="8" t="s">
        <v>211</v>
      </c>
      <c r="B7" s="8" t="s">
        <v>213</v>
      </c>
      <c r="C7" s="8" t="s">
        <v>1977</v>
      </c>
      <c r="D7" s="8" t="s">
        <v>1978</v>
      </c>
      <c r="E7" s="8" t="s">
        <v>1979</v>
      </c>
      <c r="F7" s="8" t="s">
        <v>1957</v>
      </c>
      <c r="G7" s="8" t="s">
        <v>1958</v>
      </c>
      <c r="H7" s="8" t="s">
        <v>1980</v>
      </c>
      <c r="I7" s="8" t="s">
        <v>1981</v>
      </c>
      <c r="J7" s="8" t="s">
        <v>1982</v>
      </c>
    </row>
    <row r="8" spans="1:10" ht="63">
      <c r="A8" s="8" t="s">
        <v>221</v>
      </c>
      <c r="B8" s="8" t="s">
        <v>223</v>
      </c>
      <c r="C8" s="8" t="s">
        <v>1983</v>
      </c>
      <c r="D8" s="8" t="s">
        <v>1963</v>
      </c>
      <c r="E8" s="8" t="s">
        <v>1984</v>
      </c>
      <c r="F8" s="8" t="s">
        <v>1965</v>
      </c>
      <c r="G8" s="8" t="s">
        <v>1966</v>
      </c>
      <c r="H8" s="8" t="s">
        <v>1985</v>
      </c>
      <c r="I8" s="8" t="s">
        <v>1986</v>
      </c>
      <c r="J8" s="8" t="s">
        <v>1987</v>
      </c>
    </row>
    <row r="9" spans="1:10" ht="47.25">
      <c r="A9" s="8" t="s">
        <v>230</v>
      </c>
      <c r="B9" s="8" t="s">
        <v>232</v>
      </c>
      <c r="C9" s="8" t="s">
        <v>1988</v>
      </c>
      <c r="D9" s="8" t="s">
        <v>1989</v>
      </c>
      <c r="E9" s="8" t="s">
        <v>1979</v>
      </c>
      <c r="F9" s="8" t="s">
        <v>1990</v>
      </c>
      <c r="G9" s="8" t="s">
        <v>1958</v>
      </c>
      <c r="H9" s="8" t="s">
        <v>1959</v>
      </c>
      <c r="I9" s="8" t="s">
        <v>1991</v>
      </c>
      <c r="J9" s="8" t="s">
        <v>1992</v>
      </c>
    </row>
    <row r="10" spans="1:10" ht="47.25">
      <c r="A10" s="8" t="s">
        <v>240</v>
      </c>
      <c r="B10" s="8" t="s">
        <v>242</v>
      </c>
      <c r="C10" s="8" t="s">
        <v>1993</v>
      </c>
      <c r="D10" s="8" t="s">
        <v>1994</v>
      </c>
      <c r="E10" s="8" t="s">
        <v>1995</v>
      </c>
      <c r="F10" s="8" t="s">
        <v>1996</v>
      </c>
      <c r="G10" s="8" t="s">
        <v>1958</v>
      </c>
      <c r="H10" s="8" t="s">
        <v>1997</v>
      </c>
      <c r="I10" s="8" t="s">
        <v>1998</v>
      </c>
      <c r="J10" s="8" t="s">
        <v>1999</v>
      </c>
    </row>
    <row r="11" spans="1:10" ht="47.25">
      <c r="A11" s="8" t="s">
        <v>250</v>
      </c>
      <c r="B11" s="8" t="s">
        <v>252</v>
      </c>
      <c r="C11" s="8" t="s">
        <v>2000</v>
      </c>
      <c r="D11" s="8" t="s">
        <v>1978</v>
      </c>
      <c r="E11" s="8" t="s">
        <v>1979</v>
      </c>
      <c r="F11" s="8" t="s">
        <v>1957</v>
      </c>
      <c r="G11" s="8" t="s">
        <v>1958</v>
      </c>
      <c r="H11" s="8" t="s">
        <v>1980</v>
      </c>
      <c r="I11" s="8" t="s">
        <v>1981</v>
      </c>
      <c r="J11" s="8" t="s">
        <v>2001</v>
      </c>
    </row>
    <row r="12" spans="1:10" ht="47.25">
      <c r="A12" s="8" t="s">
        <v>259</v>
      </c>
      <c r="B12" s="8" t="s">
        <v>261</v>
      </c>
      <c r="C12" s="8" t="s">
        <v>2002</v>
      </c>
      <c r="D12" s="8" t="s">
        <v>1978</v>
      </c>
      <c r="E12" s="8" t="s">
        <v>1979</v>
      </c>
      <c r="F12" s="8" t="s">
        <v>1957</v>
      </c>
      <c r="G12" s="8" t="s">
        <v>1958</v>
      </c>
      <c r="H12" s="8" t="s">
        <v>1980</v>
      </c>
      <c r="I12" s="8" t="s">
        <v>1981</v>
      </c>
      <c r="J12" s="8" t="s">
        <v>2003</v>
      </c>
    </row>
    <row r="13" spans="1:10" ht="47.25">
      <c r="A13" s="8" t="s">
        <v>268</v>
      </c>
      <c r="B13" s="8" t="s">
        <v>270</v>
      </c>
      <c r="C13" s="8" t="s">
        <v>2004</v>
      </c>
      <c r="D13" s="8" t="s">
        <v>2005</v>
      </c>
      <c r="E13" s="8" t="s">
        <v>2006</v>
      </c>
      <c r="F13" s="8" t="s">
        <v>1973</v>
      </c>
      <c r="G13" s="8" t="s">
        <v>1958</v>
      </c>
      <c r="H13" s="8" t="s">
        <v>2007</v>
      </c>
      <c r="I13" s="8" t="s">
        <v>2008</v>
      </c>
      <c r="J13" s="8" t="s">
        <v>2009</v>
      </c>
    </row>
    <row r="14" spans="1:10" ht="47.25">
      <c r="A14" s="8" t="s">
        <v>277</v>
      </c>
      <c r="B14" s="8" t="s">
        <v>279</v>
      </c>
      <c r="C14" s="8" t="s">
        <v>2010</v>
      </c>
      <c r="D14" s="8" t="s">
        <v>1955</v>
      </c>
      <c r="E14" s="8" t="s">
        <v>1979</v>
      </c>
      <c r="F14" s="8" t="s">
        <v>1957</v>
      </c>
      <c r="G14" s="8" t="s">
        <v>1958</v>
      </c>
      <c r="H14" s="8" t="s">
        <v>1980</v>
      </c>
      <c r="I14" s="8" t="s">
        <v>1960</v>
      </c>
      <c r="J14" s="8" t="s">
        <v>2011</v>
      </c>
    </row>
    <row r="15" spans="1:10" ht="47.25">
      <c r="A15" s="8" t="s">
        <v>285</v>
      </c>
      <c r="B15" s="8" t="s">
        <v>287</v>
      </c>
      <c r="C15" s="8" t="s">
        <v>2012</v>
      </c>
      <c r="D15" s="8" t="s">
        <v>2013</v>
      </c>
      <c r="E15" s="8" t="s">
        <v>2014</v>
      </c>
      <c r="F15" s="8" t="s">
        <v>1957</v>
      </c>
      <c r="G15" s="8" t="s">
        <v>1958</v>
      </c>
      <c r="H15" s="8" t="s">
        <v>2007</v>
      </c>
      <c r="I15" s="8" t="s">
        <v>1981</v>
      </c>
      <c r="J15" s="8" t="s">
        <v>2015</v>
      </c>
    </row>
    <row r="16" spans="1:10" ht="47.25">
      <c r="A16" s="8" t="s">
        <v>294</v>
      </c>
      <c r="B16" s="8" t="s">
        <v>296</v>
      </c>
      <c r="C16" s="8" t="s">
        <v>2016</v>
      </c>
      <c r="D16" s="8" t="s">
        <v>2017</v>
      </c>
      <c r="E16" s="8" t="s">
        <v>2018</v>
      </c>
      <c r="F16" s="8" t="s">
        <v>2019</v>
      </c>
      <c r="G16" s="8" t="s">
        <v>1966</v>
      </c>
      <c r="H16" s="8" t="s">
        <v>2020</v>
      </c>
      <c r="I16" s="8" t="s">
        <v>2021</v>
      </c>
      <c r="J16" s="8" t="s">
        <v>2022</v>
      </c>
    </row>
    <row r="17" spans="1:10" ht="47.25">
      <c r="A17" s="8" t="s">
        <v>304</v>
      </c>
      <c r="B17" s="8" t="s">
        <v>306</v>
      </c>
      <c r="C17" s="14" t="s">
        <v>2023</v>
      </c>
      <c r="D17" s="14" t="s">
        <v>2024</v>
      </c>
      <c r="E17" s="14" t="s">
        <v>2023</v>
      </c>
      <c r="F17" s="14" t="s">
        <v>2024</v>
      </c>
      <c r="G17" s="14" t="s">
        <v>2024</v>
      </c>
      <c r="H17" s="14" t="s">
        <v>2024</v>
      </c>
      <c r="I17" s="14" t="s">
        <v>2024</v>
      </c>
      <c r="J17" s="14" t="s">
        <v>2025</v>
      </c>
    </row>
    <row r="18" spans="1:10" ht="47.25">
      <c r="A18" s="8" t="s">
        <v>315</v>
      </c>
      <c r="B18" s="8" t="s">
        <v>317</v>
      </c>
      <c r="C18" s="15" t="s">
        <v>2026</v>
      </c>
      <c r="D18" s="15" t="s">
        <v>2027</v>
      </c>
      <c r="E18" s="15" t="s">
        <v>2028</v>
      </c>
      <c r="F18" s="15" t="s">
        <v>2029</v>
      </c>
      <c r="G18" s="15" t="s">
        <v>2030</v>
      </c>
      <c r="H18" s="15" t="s">
        <v>2031</v>
      </c>
      <c r="I18" s="15" t="s">
        <v>2032</v>
      </c>
      <c r="J18" s="15" t="s">
        <v>2033</v>
      </c>
    </row>
    <row r="19" spans="1:10" ht="31.5">
      <c r="A19" s="8" t="s">
        <v>324</v>
      </c>
      <c r="B19" s="8" t="s">
        <v>326</v>
      </c>
      <c r="C19" s="8" t="s">
        <v>2034</v>
      </c>
      <c r="D19" s="8" t="s">
        <v>2035</v>
      </c>
      <c r="E19" s="8" t="s">
        <v>2036</v>
      </c>
      <c r="F19" s="8" t="s">
        <v>2019</v>
      </c>
      <c r="G19" s="8" t="s">
        <v>1966</v>
      </c>
      <c r="H19" s="8" t="s">
        <v>2037</v>
      </c>
      <c r="I19" s="8" t="s">
        <v>2038</v>
      </c>
      <c r="J19" s="8" t="s">
        <v>2039</v>
      </c>
    </row>
    <row r="20" spans="1:10" ht="47.25">
      <c r="A20" s="8" t="s">
        <v>332</v>
      </c>
      <c r="B20" s="8" t="s">
        <v>334</v>
      </c>
      <c r="C20" s="8" t="s">
        <v>2040</v>
      </c>
      <c r="D20" s="8" t="s">
        <v>1978</v>
      </c>
      <c r="E20" s="8" t="s">
        <v>1979</v>
      </c>
      <c r="F20" s="8" t="s">
        <v>1957</v>
      </c>
      <c r="G20" s="8" t="s">
        <v>1958</v>
      </c>
      <c r="H20" s="8" t="s">
        <v>2007</v>
      </c>
      <c r="I20" s="8" t="s">
        <v>1981</v>
      </c>
      <c r="J20" s="8" t="s">
        <v>2041</v>
      </c>
    </row>
    <row r="21" spans="1:10" ht="47.25">
      <c r="A21" s="8" t="s">
        <v>340</v>
      </c>
      <c r="B21" s="8" t="s">
        <v>342</v>
      </c>
      <c r="C21" s="8" t="s">
        <v>2042</v>
      </c>
      <c r="D21" s="8" t="s">
        <v>2043</v>
      </c>
      <c r="E21" s="8" t="s">
        <v>2044</v>
      </c>
      <c r="F21" s="8" t="s">
        <v>1957</v>
      </c>
      <c r="G21" s="8" t="s">
        <v>1958</v>
      </c>
      <c r="H21" s="8" t="s">
        <v>1967</v>
      </c>
      <c r="I21" s="8" t="s">
        <v>1981</v>
      </c>
      <c r="J21" s="8" t="s">
        <v>2045</v>
      </c>
    </row>
    <row r="22" spans="1:10" ht="47.25">
      <c r="A22" s="8" t="s">
        <v>348</v>
      </c>
      <c r="B22" s="8" t="s">
        <v>350</v>
      </c>
      <c r="C22" s="8" t="s">
        <v>2046</v>
      </c>
      <c r="D22" s="8" t="s">
        <v>2047</v>
      </c>
      <c r="E22" s="8" t="s">
        <v>2048</v>
      </c>
      <c r="F22" s="8" t="s">
        <v>2049</v>
      </c>
      <c r="G22" s="8" t="s">
        <v>1958</v>
      </c>
      <c r="H22" s="8" t="s">
        <v>2007</v>
      </c>
      <c r="I22" s="8" t="s">
        <v>2050</v>
      </c>
      <c r="J22" s="8" t="s">
        <v>2051</v>
      </c>
    </row>
    <row r="23" spans="1:10" ht="47.25">
      <c r="A23" s="8" t="s">
        <v>356</v>
      </c>
      <c r="B23" s="8" t="s">
        <v>358</v>
      </c>
      <c r="C23" s="8" t="s">
        <v>2052</v>
      </c>
      <c r="D23" s="8" t="s">
        <v>1978</v>
      </c>
      <c r="E23" s="8" t="s">
        <v>1979</v>
      </c>
      <c r="F23" s="8" t="s">
        <v>2053</v>
      </c>
      <c r="G23" s="8" t="s">
        <v>1958</v>
      </c>
      <c r="H23" s="8" t="s">
        <v>1980</v>
      </c>
      <c r="I23" s="8" t="s">
        <v>1981</v>
      </c>
      <c r="J23" s="8" t="s">
        <v>2054</v>
      </c>
    </row>
    <row r="24" spans="1:10" ht="47.25">
      <c r="A24" s="8" t="s">
        <v>364</v>
      </c>
      <c r="B24" s="8" t="s">
        <v>366</v>
      </c>
      <c r="C24" s="8" t="s">
        <v>2055</v>
      </c>
      <c r="D24" s="8" t="s">
        <v>1989</v>
      </c>
      <c r="E24" s="8" t="s">
        <v>2056</v>
      </c>
      <c r="F24" s="8" t="s">
        <v>1990</v>
      </c>
      <c r="G24" s="8" t="s">
        <v>1958</v>
      </c>
      <c r="H24" s="8" t="s">
        <v>1980</v>
      </c>
      <c r="I24" s="8" t="s">
        <v>2057</v>
      </c>
      <c r="J24" s="8" t="s">
        <v>2058</v>
      </c>
    </row>
    <row r="25" spans="1:10" ht="47.25">
      <c r="A25" s="8" t="s">
        <v>372</v>
      </c>
      <c r="B25" s="8" t="s">
        <v>374</v>
      </c>
      <c r="C25" s="8" t="s">
        <v>2059</v>
      </c>
      <c r="D25" s="8" t="s">
        <v>2060</v>
      </c>
      <c r="E25" s="8" t="s">
        <v>2061</v>
      </c>
      <c r="F25" s="8" t="s">
        <v>2053</v>
      </c>
      <c r="G25" s="8" t="s">
        <v>1958</v>
      </c>
      <c r="H25" s="8" t="s">
        <v>2062</v>
      </c>
      <c r="I25" s="8" t="s">
        <v>1981</v>
      </c>
      <c r="J25" s="8" t="s">
        <v>2063</v>
      </c>
    </row>
    <row r="26" spans="1:10" ht="47.25">
      <c r="A26" s="8" t="s">
        <v>380</v>
      </c>
      <c r="B26" s="8" t="s">
        <v>382</v>
      </c>
      <c r="C26" s="8" t="s">
        <v>2064</v>
      </c>
      <c r="D26" s="8" t="s">
        <v>2065</v>
      </c>
      <c r="E26" s="8" t="s">
        <v>2066</v>
      </c>
      <c r="F26" s="8" t="s">
        <v>2067</v>
      </c>
      <c r="G26" s="8" t="s">
        <v>2068</v>
      </c>
      <c r="H26" s="8" t="s">
        <v>2007</v>
      </c>
      <c r="I26" s="8" t="s">
        <v>2069</v>
      </c>
      <c r="J26" s="8" t="s">
        <v>2070</v>
      </c>
    </row>
    <row r="27" spans="1:10" ht="47.25">
      <c r="A27" s="8" t="s">
        <v>389</v>
      </c>
      <c r="B27" s="8" t="s">
        <v>391</v>
      </c>
      <c r="C27" s="8" t="s">
        <v>2071</v>
      </c>
      <c r="D27" s="8" t="s">
        <v>1955</v>
      </c>
      <c r="E27" s="8" t="s">
        <v>1979</v>
      </c>
      <c r="F27" s="8" t="s">
        <v>1957</v>
      </c>
      <c r="G27" s="8" t="s">
        <v>1958</v>
      </c>
      <c r="H27" s="8" t="s">
        <v>1959</v>
      </c>
      <c r="I27" s="8" t="s">
        <v>1960</v>
      </c>
      <c r="J27" s="8" t="s">
        <v>2072</v>
      </c>
    </row>
    <row r="28" spans="1:10" ht="63">
      <c r="A28" s="8" t="s">
        <v>397</v>
      </c>
      <c r="B28" s="8" t="s">
        <v>399</v>
      </c>
      <c r="C28" s="8" t="s">
        <v>2073</v>
      </c>
      <c r="D28" s="8" t="s">
        <v>2074</v>
      </c>
      <c r="E28" s="8" t="s">
        <v>2075</v>
      </c>
      <c r="F28" s="8" t="s">
        <v>2076</v>
      </c>
      <c r="G28" s="8" t="s">
        <v>1966</v>
      </c>
      <c r="H28" s="8" t="s">
        <v>2077</v>
      </c>
      <c r="I28" s="8" t="s">
        <v>2078</v>
      </c>
      <c r="J28" s="8" t="s">
        <v>2051</v>
      </c>
    </row>
    <row r="29" spans="1:10" ht="47.25">
      <c r="A29" s="8" t="s">
        <v>405</v>
      </c>
      <c r="B29" s="8" t="s">
        <v>407</v>
      </c>
      <c r="C29" s="8" t="s">
        <v>2079</v>
      </c>
      <c r="D29" s="8" t="s">
        <v>2080</v>
      </c>
      <c r="E29" s="8" t="s">
        <v>2081</v>
      </c>
      <c r="F29" s="8" t="s">
        <v>2082</v>
      </c>
      <c r="G29" s="8" t="s">
        <v>2083</v>
      </c>
      <c r="H29" s="8" t="s">
        <v>2007</v>
      </c>
      <c r="I29" s="8" t="s">
        <v>2084</v>
      </c>
      <c r="J29" s="8" t="s">
        <v>2085</v>
      </c>
    </row>
    <row r="30" spans="1:10" ht="47.25">
      <c r="A30" s="8" t="s">
        <v>414</v>
      </c>
      <c r="B30" s="8" t="s">
        <v>416</v>
      </c>
      <c r="C30" s="8" t="s">
        <v>2086</v>
      </c>
      <c r="D30" s="8" t="s">
        <v>2080</v>
      </c>
      <c r="E30" s="8" t="s">
        <v>2087</v>
      </c>
      <c r="F30" s="8" t="s">
        <v>2088</v>
      </c>
      <c r="G30" s="8" t="s">
        <v>2083</v>
      </c>
      <c r="H30" s="8" t="s">
        <v>1959</v>
      </c>
      <c r="I30" s="8" t="s">
        <v>2089</v>
      </c>
      <c r="J30" s="8" t="s">
        <v>2058</v>
      </c>
    </row>
    <row r="31" spans="1:10" ht="47.25">
      <c r="A31" s="8" t="s">
        <v>423</v>
      </c>
      <c r="B31" s="8" t="s">
        <v>425</v>
      </c>
      <c r="C31" s="8" t="s">
        <v>2090</v>
      </c>
      <c r="D31" s="8" t="s">
        <v>2091</v>
      </c>
      <c r="E31" s="8" t="s">
        <v>2092</v>
      </c>
      <c r="F31" s="8" t="s">
        <v>1957</v>
      </c>
      <c r="G31" s="8" t="s">
        <v>2083</v>
      </c>
      <c r="H31" s="8" t="s">
        <v>2007</v>
      </c>
      <c r="I31" s="8" t="s">
        <v>1981</v>
      </c>
      <c r="J31" s="8" t="s">
        <v>2093</v>
      </c>
    </row>
    <row r="32" spans="1:10" ht="31.5">
      <c r="A32" s="8" t="s">
        <v>432</v>
      </c>
      <c r="B32" s="8" t="s">
        <v>434</v>
      </c>
      <c r="C32" s="8" t="s">
        <v>2094</v>
      </c>
      <c r="D32" s="8" t="s">
        <v>2095</v>
      </c>
      <c r="E32" s="8" t="s">
        <v>2096</v>
      </c>
      <c r="F32" s="8" t="s">
        <v>1957</v>
      </c>
      <c r="G32" s="8" t="s">
        <v>2097</v>
      </c>
      <c r="H32" s="8" t="s">
        <v>2098</v>
      </c>
      <c r="I32" s="8" t="s">
        <v>2099</v>
      </c>
      <c r="J32" s="8" t="s">
        <v>2100</v>
      </c>
    </row>
    <row r="33" spans="1:10" ht="47.25">
      <c r="A33" s="8" t="s">
        <v>442</v>
      </c>
      <c r="B33" s="8" t="s">
        <v>444</v>
      </c>
      <c r="C33" s="8" t="s">
        <v>2101</v>
      </c>
      <c r="D33" s="8" t="s">
        <v>2102</v>
      </c>
      <c r="E33" s="8" t="s">
        <v>2103</v>
      </c>
      <c r="F33" s="8" t="s">
        <v>2104</v>
      </c>
      <c r="G33" s="8" t="s">
        <v>2105</v>
      </c>
      <c r="H33" s="8" t="s">
        <v>2007</v>
      </c>
      <c r="I33" s="8" t="s">
        <v>2106</v>
      </c>
      <c r="J33" s="8" t="s">
        <v>2107</v>
      </c>
    </row>
    <row r="34" spans="1:10" ht="31.5">
      <c r="A34" s="8" t="s">
        <v>451</v>
      </c>
      <c r="B34" s="8" t="s">
        <v>453</v>
      </c>
      <c r="C34" s="15" t="s">
        <v>2108</v>
      </c>
      <c r="D34" s="15" t="s">
        <v>2027</v>
      </c>
      <c r="E34" s="15" t="s">
        <v>2109</v>
      </c>
      <c r="F34" s="15" t="s">
        <v>2029</v>
      </c>
      <c r="G34" s="15" t="s">
        <v>2030</v>
      </c>
      <c r="H34" s="15" t="s">
        <v>2031</v>
      </c>
      <c r="I34" s="15" t="s">
        <v>2032</v>
      </c>
      <c r="J34" s="15" t="s">
        <v>2110</v>
      </c>
    </row>
    <row r="35" spans="1:10" ht="47.25">
      <c r="A35" s="8" t="s">
        <v>462</v>
      </c>
      <c r="B35" s="8" t="s">
        <v>464</v>
      </c>
      <c r="C35" s="8" t="s">
        <v>2111</v>
      </c>
      <c r="D35" s="8" t="s">
        <v>1978</v>
      </c>
      <c r="E35" s="8" t="s">
        <v>1979</v>
      </c>
      <c r="F35" s="8" t="s">
        <v>1957</v>
      </c>
      <c r="G35" s="8" t="s">
        <v>2083</v>
      </c>
      <c r="H35" s="8" t="s">
        <v>2007</v>
      </c>
      <c r="I35" s="8" t="s">
        <v>1981</v>
      </c>
      <c r="J35" s="8" t="s">
        <v>2112</v>
      </c>
    </row>
    <row r="36" spans="1:10" ht="47.25">
      <c r="A36" s="8" t="s">
        <v>470</v>
      </c>
      <c r="B36" s="8" t="s">
        <v>472</v>
      </c>
      <c r="C36" s="15" t="s">
        <v>2113</v>
      </c>
      <c r="D36" s="15" t="s">
        <v>2027</v>
      </c>
      <c r="E36" s="15" t="s">
        <v>2114</v>
      </c>
      <c r="F36" s="15" t="s">
        <v>2029</v>
      </c>
      <c r="G36" s="15" t="s">
        <v>2030</v>
      </c>
      <c r="H36" s="15" t="s">
        <v>2031</v>
      </c>
      <c r="I36" s="15" t="s">
        <v>2032</v>
      </c>
      <c r="J36" s="15" t="s">
        <v>2115</v>
      </c>
    </row>
    <row r="37" spans="1:10" ht="47.25">
      <c r="A37" s="8" t="s">
        <v>480</v>
      </c>
      <c r="B37" s="8" t="s">
        <v>482</v>
      </c>
      <c r="C37" s="8" t="s">
        <v>2116</v>
      </c>
      <c r="D37" s="8" t="s">
        <v>2080</v>
      </c>
      <c r="E37" s="8" t="s">
        <v>2117</v>
      </c>
      <c r="F37" s="8" t="s">
        <v>2088</v>
      </c>
      <c r="G37" s="8" t="s">
        <v>2083</v>
      </c>
      <c r="H37" s="8" t="s">
        <v>1974</v>
      </c>
      <c r="I37" s="8" t="s">
        <v>2084</v>
      </c>
      <c r="J37" s="8" t="s">
        <v>2118</v>
      </c>
    </row>
    <row r="38" spans="1:10" ht="47.25">
      <c r="A38" s="8" t="s">
        <v>489</v>
      </c>
      <c r="B38" s="8" t="s">
        <v>491</v>
      </c>
      <c r="C38" s="8" t="s">
        <v>2111</v>
      </c>
      <c r="D38" s="8" t="s">
        <v>2080</v>
      </c>
      <c r="E38" s="8" t="s">
        <v>2119</v>
      </c>
      <c r="F38" s="8" t="s">
        <v>2082</v>
      </c>
      <c r="G38" s="8" t="s">
        <v>2083</v>
      </c>
      <c r="H38" s="8" t="s">
        <v>2007</v>
      </c>
      <c r="I38" s="8" t="s">
        <v>2084</v>
      </c>
      <c r="J38" s="8" t="s">
        <v>2120</v>
      </c>
    </row>
    <row r="39" spans="1:10" ht="47.25">
      <c r="A39" s="8" t="s">
        <v>497</v>
      </c>
      <c r="B39" s="8" t="s">
        <v>499</v>
      </c>
      <c r="C39" s="8" t="s">
        <v>2121</v>
      </c>
      <c r="D39" s="8" t="s">
        <v>1963</v>
      </c>
      <c r="E39" s="8" t="s">
        <v>2122</v>
      </c>
      <c r="F39" s="8" t="s">
        <v>2123</v>
      </c>
      <c r="G39" s="8" t="s">
        <v>2124</v>
      </c>
      <c r="H39" s="8" t="s">
        <v>2020</v>
      </c>
      <c r="I39" s="8" t="s">
        <v>1986</v>
      </c>
      <c r="J39" s="8" t="s">
        <v>2125</v>
      </c>
    </row>
    <row r="40" spans="1:10" ht="47.25">
      <c r="A40" s="8" t="s">
        <v>505</v>
      </c>
      <c r="B40" s="8" t="s">
        <v>507</v>
      </c>
      <c r="C40" s="8" t="s">
        <v>2111</v>
      </c>
      <c r="D40" s="8" t="s">
        <v>1978</v>
      </c>
      <c r="E40" s="8" t="s">
        <v>1979</v>
      </c>
      <c r="F40" s="8" t="s">
        <v>1957</v>
      </c>
      <c r="G40" s="8" t="s">
        <v>2083</v>
      </c>
      <c r="H40" s="8" t="s">
        <v>2007</v>
      </c>
      <c r="I40" s="8" t="s">
        <v>1981</v>
      </c>
      <c r="J40" s="8" t="s">
        <v>2126</v>
      </c>
    </row>
    <row r="41" spans="1:10" ht="47.25">
      <c r="A41" s="8" t="s">
        <v>514</v>
      </c>
      <c r="B41" s="8" t="s">
        <v>516</v>
      </c>
      <c r="C41" s="8" t="s">
        <v>2127</v>
      </c>
      <c r="D41" s="8" t="s">
        <v>2080</v>
      </c>
      <c r="E41" s="8" t="s">
        <v>2128</v>
      </c>
      <c r="F41" s="8" t="s">
        <v>2088</v>
      </c>
      <c r="G41" s="8" t="s">
        <v>2083</v>
      </c>
      <c r="H41" s="8" t="s">
        <v>2007</v>
      </c>
      <c r="I41" s="8" t="s">
        <v>2084</v>
      </c>
      <c r="J41" s="8" t="s">
        <v>2129</v>
      </c>
    </row>
    <row r="42" spans="1:10" ht="47.25">
      <c r="A42" s="8" t="s">
        <v>523</v>
      </c>
      <c r="B42" s="8" t="s">
        <v>525</v>
      </c>
      <c r="C42" s="8" t="s">
        <v>2111</v>
      </c>
      <c r="D42" s="8" t="s">
        <v>1978</v>
      </c>
      <c r="E42" s="8" t="s">
        <v>1979</v>
      </c>
      <c r="F42" s="8" t="s">
        <v>1957</v>
      </c>
      <c r="G42" s="8" t="s">
        <v>2083</v>
      </c>
      <c r="H42" s="8" t="s">
        <v>2007</v>
      </c>
      <c r="I42" s="8" t="s">
        <v>1981</v>
      </c>
      <c r="J42" s="8" t="s">
        <v>2130</v>
      </c>
    </row>
    <row r="43" spans="1:10" ht="47.25">
      <c r="A43" s="8" t="s">
        <v>532</v>
      </c>
      <c r="B43" s="8" t="s">
        <v>534</v>
      </c>
      <c r="C43" s="15" t="s">
        <v>2131</v>
      </c>
      <c r="D43" s="15" t="s">
        <v>2027</v>
      </c>
      <c r="E43" s="15" t="s">
        <v>2131</v>
      </c>
      <c r="F43" s="15" t="s">
        <v>2029</v>
      </c>
      <c r="G43" s="15" t="s">
        <v>2030</v>
      </c>
      <c r="H43" s="15" t="s">
        <v>2031</v>
      </c>
      <c r="I43" s="15" t="s">
        <v>2032</v>
      </c>
      <c r="J43" s="15" t="s">
        <v>2132</v>
      </c>
    </row>
    <row r="44" spans="1:10" ht="78.75">
      <c r="A44" s="8" t="s">
        <v>541</v>
      </c>
      <c r="B44" s="8" t="s">
        <v>543</v>
      </c>
      <c r="C44" s="8" t="s">
        <v>2133</v>
      </c>
      <c r="D44" s="8" t="s">
        <v>2134</v>
      </c>
      <c r="E44" s="8" t="s">
        <v>2135</v>
      </c>
      <c r="F44" s="8" t="s">
        <v>2136</v>
      </c>
      <c r="G44" s="8" t="s">
        <v>2097</v>
      </c>
      <c r="H44" s="8" t="s">
        <v>2137</v>
      </c>
      <c r="I44" s="8" t="s">
        <v>2138</v>
      </c>
      <c r="J44" s="8" t="s">
        <v>2139</v>
      </c>
    </row>
    <row r="45" spans="1:10" ht="47.25">
      <c r="A45" s="8" t="s">
        <v>550</v>
      </c>
      <c r="B45" s="8" t="s">
        <v>552</v>
      </c>
      <c r="C45" s="8" t="s">
        <v>2111</v>
      </c>
      <c r="D45" s="8" t="s">
        <v>2140</v>
      </c>
      <c r="E45" s="8" t="s">
        <v>2141</v>
      </c>
      <c r="F45" s="8" t="s">
        <v>2142</v>
      </c>
      <c r="G45" s="8" t="s">
        <v>2143</v>
      </c>
      <c r="H45" s="8" t="s">
        <v>1974</v>
      </c>
      <c r="I45" s="8" t="s">
        <v>2144</v>
      </c>
      <c r="J45" s="8" t="s">
        <v>2145</v>
      </c>
    </row>
    <row r="46" spans="1:10" ht="47.25">
      <c r="A46" s="8" t="s">
        <v>560</v>
      </c>
      <c r="B46" s="8" t="s">
        <v>562</v>
      </c>
      <c r="C46" s="8" t="s">
        <v>2146</v>
      </c>
      <c r="D46" s="8" t="s">
        <v>2140</v>
      </c>
      <c r="E46" s="8" t="s">
        <v>2147</v>
      </c>
      <c r="F46" s="8" t="s">
        <v>2142</v>
      </c>
      <c r="G46" s="8" t="s">
        <v>2143</v>
      </c>
      <c r="H46" s="8" t="s">
        <v>1974</v>
      </c>
      <c r="I46" s="8" t="s">
        <v>2148</v>
      </c>
      <c r="J46" s="8" t="s">
        <v>2149</v>
      </c>
    </row>
    <row r="47" spans="1:10" ht="47.25">
      <c r="A47" s="8" t="s">
        <v>569</v>
      </c>
      <c r="B47" s="8" t="s">
        <v>571</v>
      </c>
      <c r="C47" s="8" t="s">
        <v>2150</v>
      </c>
      <c r="D47" s="8" t="s">
        <v>2151</v>
      </c>
      <c r="E47" s="8" t="s">
        <v>2152</v>
      </c>
      <c r="F47" s="8" t="s">
        <v>2142</v>
      </c>
      <c r="G47" s="8" t="s">
        <v>2143</v>
      </c>
      <c r="H47" s="8" t="s">
        <v>1959</v>
      </c>
      <c r="I47" s="8" t="s">
        <v>2153</v>
      </c>
      <c r="J47" s="8" t="s">
        <v>2154</v>
      </c>
    </row>
    <row r="48" spans="1:10" ht="47.25">
      <c r="A48" s="8" t="s">
        <v>578</v>
      </c>
      <c r="B48" s="8" t="s">
        <v>580</v>
      </c>
      <c r="C48" s="8" t="s">
        <v>2111</v>
      </c>
      <c r="D48" s="8" t="s">
        <v>2095</v>
      </c>
      <c r="E48" s="8" t="s">
        <v>2155</v>
      </c>
      <c r="F48" s="8" t="s">
        <v>1957</v>
      </c>
      <c r="G48" s="8" t="s">
        <v>2143</v>
      </c>
      <c r="H48" s="8" t="s">
        <v>2098</v>
      </c>
      <c r="I48" s="8" t="s">
        <v>2099</v>
      </c>
      <c r="J48" s="8" t="s">
        <v>2120</v>
      </c>
    </row>
    <row r="49" spans="1:10" ht="47.25">
      <c r="A49" s="8" t="s">
        <v>586</v>
      </c>
      <c r="B49" s="8" t="s">
        <v>588</v>
      </c>
      <c r="C49" s="8" t="s">
        <v>2156</v>
      </c>
      <c r="D49" s="8" t="s">
        <v>2017</v>
      </c>
      <c r="E49" s="8" t="s">
        <v>2157</v>
      </c>
      <c r="F49" s="8" t="s">
        <v>2019</v>
      </c>
      <c r="G49" s="8" t="s">
        <v>2143</v>
      </c>
      <c r="H49" s="8" t="s">
        <v>2158</v>
      </c>
      <c r="I49" s="8" t="s">
        <v>2021</v>
      </c>
      <c r="J49" s="8" t="s">
        <v>2159</v>
      </c>
    </row>
    <row r="50" spans="1:10" ht="47.25">
      <c r="A50" s="8" t="s">
        <v>595</v>
      </c>
      <c r="B50" s="8" t="s">
        <v>597</v>
      </c>
      <c r="C50" s="8" t="s">
        <v>2111</v>
      </c>
      <c r="D50" s="8" t="s">
        <v>2160</v>
      </c>
      <c r="E50" s="8" t="s">
        <v>2161</v>
      </c>
      <c r="F50" s="8" t="s">
        <v>2162</v>
      </c>
      <c r="G50" s="8" t="s">
        <v>2163</v>
      </c>
      <c r="H50" s="8" t="s">
        <v>1997</v>
      </c>
      <c r="I50" s="8" t="s">
        <v>2164</v>
      </c>
      <c r="J50" s="8" t="s">
        <v>2165</v>
      </c>
    </row>
    <row r="51" spans="1:10" ht="47.25">
      <c r="A51" s="8" t="s">
        <v>603</v>
      </c>
      <c r="B51" s="8" t="s">
        <v>605</v>
      </c>
      <c r="C51" s="8" t="s">
        <v>2166</v>
      </c>
      <c r="D51" s="8" t="s">
        <v>2047</v>
      </c>
      <c r="E51" s="8" t="s">
        <v>2167</v>
      </c>
      <c r="F51" s="8" t="s">
        <v>2168</v>
      </c>
      <c r="G51" s="8" t="s">
        <v>2163</v>
      </c>
      <c r="H51" s="8" t="s">
        <v>2007</v>
      </c>
      <c r="I51" s="8" t="s">
        <v>2050</v>
      </c>
      <c r="J51" s="8" t="s">
        <v>2169</v>
      </c>
    </row>
    <row r="52" spans="1:10" ht="78.75">
      <c r="A52" s="8" t="s">
        <v>611</v>
      </c>
      <c r="B52" s="8" t="s">
        <v>613</v>
      </c>
      <c r="C52" s="8" t="s">
        <v>2170</v>
      </c>
      <c r="D52" s="8" t="s">
        <v>2095</v>
      </c>
      <c r="E52" s="8" t="s">
        <v>2171</v>
      </c>
      <c r="F52" s="8" t="s">
        <v>1957</v>
      </c>
      <c r="G52" s="8" t="s">
        <v>2143</v>
      </c>
      <c r="H52" s="8" t="s">
        <v>2172</v>
      </c>
      <c r="I52" s="8" t="s">
        <v>2173</v>
      </c>
      <c r="J52" s="8" t="s">
        <v>2174</v>
      </c>
    </row>
    <row r="53" spans="1:10" ht="47.25">
      <c r="A53" s="8" t="s">
        <v>620</v>
      </c>
      <c r="B53" s="8" t="s">
        <v>622</v>
      </c>
      <c r="C53" s="8" t="s">
        <v>2175</v>
      </c>
      <c r="D53" s="8" t="s">
        <v>2095</v>
      </c>
      <c r="E53" s="8" t="s">
        <v>2176</v>
      </c>
      <c r="F53" s="8" t="s">
        <v>1957</v>
      </c>
      <c r="G53" s="8" t="s">
        <v>2143</v>
      </c>
      <c r="H53" s="8" t="s">
        <v>2098</v>
      </c>
      <c r="I53" s="8" t="s">
        <v>2173</v>
      </c>
      <c r="J53" s="8" t="s">
        <v>2177</v>
      </c>
    </row>
    <row r="54" spans="1:10" ht="47.25">
      <c r="A54" s="8" t="s">
        <v>628</v>
      </c>
      <c r="B54" s="8" t="s">
        <v>630</v>
      </c>
      <c r="C54" s="8" t="s">
        <v>2178</v>
      </c>
      <c r="D54" s="8" t="s">
        <v>2095</v>
      </c>
      <c r="E54" s="8" t="s">
        <v>2179</v>
      </c>
      <c r="F54" s="8" t="s">
        <v>2053</v>
      </c>
      <c r="G54" s="8" t="s">
        <v>2143</v>
      </c>
      <c r="H54" s="8" t="s">
        <v>2180</v>
      </c>
      <c r="I54" s="8" t="s">
        <v>2099</v>
      </c>
      <c r="J54" s="8" t="s">
        <v>2181</v>
      </c>
    </row>
    <row r="55" spans="1:10" ht="47.25">
      <c r="A55" s="8" t="s">
        <v>637</v>
      </c>
      <c r="B55" s="8" t="s">
        <v>639</v>
      </c>
      <c r="C55" s="8" t="s">
        <v>2182</v>
      </c>
      <c r="D55" s="8" t="s">
        <v>2095</v>
      </c>
      <c r="E55" s="8" t="s">
        <v>2183</v>
      </c>
      <c r="F55" s="8" t="s">
        <v>1957</v>
      </c>
      <c r="G55" s="8" t="s">
        <v>2143</v>
      </c>
      <c r="H55" s="8" t="s">
        <v>2184</v>
      </c>
      <c r="I55" s="8" t="s">
        <v>2173</v>
      </c>
      <c r="J55" s="8" t="s">
        <v>2185</v>
      </c>
    </row>
    <row r="56" spans="1:10" ht="47.25">
      <c r="A56" s="8" t="s">
        <v>646</v>
      </c>
      <c r="B56" s="8" t="s">
        <v>648</v>
      </c>
      <c r="C56" s="8" t="s">
        <v>2186</v>
      </c>
      <c r="D56" s="8" t="s">
        <v>2140</v>
      </c>
      <c r="E56" s="8" t="s">
        <v>2187</v>
      </c>
      <c r="F56" s="8" t="s">
        <v>2142</v>
      </c>
      <c r="G56" s="8" t="s">
        <v>2143</v>
      </c>
      <c r="H56" s="8" t="s">
        <v>2098</v>
      </c>
      <c r="I56" s="8" t="s">
        <v>2148</v>
      </c>
      <c r="J56" s="8" t="s">
        <v>2188</v>
      </c>
    </row>
    <row r="57" spans="1:10" ht="47.25">
      <c r="A57" s="8" t="s">
        <v>654</v>
      </c>
      <c r="B57" s="8" t="s">
        <v>656</v>
      </c>
      <c r="C57" s="8" t="s">
        <v>2189</v>
      </c>
      <c r="D57" s="8" t="s">
        <v>1971</v>
      </c>
      <c r="E57" s="8" t="s">
        <v>2190</v>
      </c>
      <c r="F57" s="8" t="s">
        <v>1973</v>
      </c>
      <c r="G57" s="8" t="s">
        <v>2163</v>
      </c>
      <c r="H57" s="8" t="s">
        <v>2007</v>
      </c>
      <c r="I57" s="8" t="s">
        <v>2191</v>
      </c>
      <c r="J57" s="8" t="s">
        <v>2192</v>
      </c>
    </row>
    <row r="58" spans="1:10" ht="47.25">
      <c r="A58" s="8" t="s">
        <v>662</v>
      </c>
      <c r="B58" s="8" t="s">
        <v>664</v>
      </c>
      <c r="C58" s="8" t="s">
        <v>2193</v>
      </c>
      <c r="D58" s="8" t="s">
        <v>1955</v>
      </c>
      <c r="E58" s="8" t="s">
        <v>2194</v>
      </c>
      <c r="F58" s="8" t="s">
        <v>2053</v>
      </c>
      <c r="G58" s="8" t="s">
        <v>2143</v>
      </c>
      <c r="H58" s="8" t="s">
        <v>1974</v>
      </c>
      <c r="I58" s="8" t="s">
        <v>1960</v>
      </c>
      <c r="J58" s="8" t="s">
        <v>2195</v>
      </c>
    </row>
    <row r="59" spans="1:10" ht="47.25">
      <c r="A59" s="8" t="s">
        <v>671</v>
      </c>
      <c r="B59" s="8" t="s">
        <v>673</v>
      </c>
      <c r="C59" s="8" t="s">
        <v>2196</v>
      </c>
      <c r="D59" s="8" t="s">
        <v>2197</v>
      </c>
      <c r="E59" s="8" t="s">
        <v>2198</v>
      </c>
      <c r="F59" s="8" t="s">
        <v>2053</v>
      </c>
      <c r="G59" s="8" t="s">
        <v>2143</v>
      </c>
      <c r="H59" s="8" t="s">
        <v>2062</v>
      </c>
      <c r="I59" s="8" t="s">
        <v>1981</v>
      </c>
      <c r="J59" s="8" t="s">
        <v>2199</v>
      </c>
    </row>
    <row r="60" spans="1:10" ht="47.25">
      <c r="A60" s="8" t="s">
        <v>680</v>
      </c>
      <c r="B60" s="8" t="s">
        <v>682</v>
      </c>
      <c r="C60" s="8" t="s">
        <v>2200</v>
      </c>
      <c r="D60" s="8" t="s">
        <v>2201</v>
      </c>
      <c r="E60" s="8" t="s">
        <v>2202</v>
      </c>
      <c r="F60" s="8" t="s">
        <v>2203</v>
      </c>
      <c r="G60" s="8" t="s">
        <v>2204</v>
      </c>
      <c r="H60" s="8" t="s">
        <v>2062</v>
      </c>
      <c r="I60" s="8" t="s">
        <v>2205</v>
      </c>
      <c r="J60" s="8" t="s">
        <v>2206</v>
      </c>
    </row>
    <row r="61" spans="1:10" ht="47.25">
      <c r="A61" s="8" t="s">
        <v>689</v>
      </c>
      <c r="B61" s="8" t="s">
        <v>691</v>
      </c>
      <c r="C61" s="8" t="s">
        <v>2207</v>
      </c>
      <c r="D61" s="8" t="s">
        <v>2140</v>
      </c>
      <c r="E61" s="8" t="s">
        <v>2208</v>
      </c>
      <c r="F61" s="8" t="s">
        <v>2142</v>
      </c>
      <c r="G61" s="8" t="s">
        <v>2143</v>
      </c>
      <c r="H61" s="8" t="s">
        <v>1974</v>
      </c>
      <c r="I61" s="8" t="s">
        <v>2148</v>
      </c>
      <c r="J61" s="8" t="s">
        <v>2209</v>
      </c>
    </row>
    <row r="62" spans="1:10" ht="47.25">
      <c r="A62" s="8" t="s">
        <v>698</v>
      </c>
      <c r="B62" s="8" t="s">
        <v>700</v>
      </c>
      <c r="C62" s="8" t="s">
        <v>2210</v>
      </c>
      <c r="D62" s="8" t="s">
        <v>2095</v>
      </c>
      <c r="E62" s="8" t="s">
        <v>2211</v>
      </c>
      <c r="F62" s="8" t="s">
        <v>2053</v>
      </c>
      <c r="G62" s="8" t="s">
        <v>2143</v>
      </c>
      <c r="H62" s="8" t="s">
        <v>2212</v>
      </c>
      <c r="I62" s="8" t="s">
        <v>2173</v>
      </c>
      <c r="J62" s="8" t="s">
        <v>2213</v>
      </c>
    </row>
    <row r="63" spans="1:10" ht="47.25">
      <c r="A63" s="8" t="s">
        <v>708</v>
      </c>
      <c r="B63" s="8" t="s">
        <v>710</v>
      </c>
      <c r="C63" s="8" t="s">
        <v>2214</v>
      </c>
      <c r="D63" s="8" t="s">
        <v>1955</v>
      </c>
      <c r="E63" s="8" t="s">
        <v>1979</v>
      </c>
      <c r="F63" s="8" t="s">
        <v>1957</v>
      </c>
      <c r="G63" s="8" t="s">
        <v>2143</v>
      </c>
      <c r="H63" s="8" t="s">
        <v>1959</v>
      </c>
      <c r="I63" s="8" t="s">
        <v>1960</v>
      </c>
      <c r="J63" s="8" t="s">
        <v>2215</v>
      </c>
    </row>
    <row r="64" spans="1:10" ht="47.25">
      <c r="A64" s="8" t="s">
        <v>717</v>
      </c>
      <c r="B64" s="8" t="s">
        <v>719</v>
      </c>
      <c r="C64" s="8" t="s">
        <v>2216</v>
      </c>
      <c r="D64" s="8" t="s">
        <v>2095</v>
      </c>
      <c r="E64" s="8" t="s">
        <v>2217</v>
      </c>
      <c r="F64" s="8" t="s">
        <v>2053</v>
      </c>
      <c r="G64" s="8" t="s">
        <v>2143</v>
      </c>
      <c r="H64" s="8" t="s">
        <v>2007</v>
      </c>
      <c r="I64" s="8" t="s">
        <v>2099</v>
      </c>
      <c r="J64" s="8" t="s">
        <v>2218</v>
      </c>
    </row>
    <row r="65" spans="1:10" ht="47.25">
      <c r="A65" s="8" t="s">
        <v>725</v>
      </c>
      <c r="B65" s="8" t="s">
        <v>727</v>
      </c>
      <c r="C65" s="8" t="s">
        <v>2219</v>
      </c>
      <c r="D65" s="8" t="s">
        <v>2065</v>
      </c>
      <c r="E65" s="8" t="s">
        <v>2220</v>
      </c>
      <c r="F65" s="8" t="s">
        <v>2067</v>
      </c>
      <c r="G65" s="8" t="s">
        <v>2221</v>
      </c>
      <c r="H65" s="8" t="s">
        <v>2007</v>
      </c>
      <c r="I65" s="8" t="s">
        <v>2069</v>
      </c>
      <c r="J65" s="8" t="s">
        <v>2222</v>
      </c>
    </row>
    <row r="66" spans="1:10" ht="63">
      <c r="A66" s="8" t="s">
        <v>733</v>
      </c>
      <c r="B66" s="8" t="s">
        <v>735</v>
      </c>
      <c r="C66" s="8" t="s">
        <v>2223</v>
      </c>
      <c r="D66" s="8" t="s">
        <v>2224</v>
      </c>
      <c r="E66" s="8" t="s">
        <v>2225</v>
      </c>
      <c r="F66" s="8" t="s">
        <v>2142</v>
      </c>
      <c r="G66" s="8" t="s">
        <v>2143</v>
      </c>
      <c r="H66" s="8" t="s">
        <v>2226</v>
      </c>
      <c r="I66" s="8" t="s">
        <v>2227</v>
      </c>
      <c r="J66" s="8" t="s">
        <v>2228</v>
      </c>
    </row>
    <row r="67" spans="1:10" ht="63">
      <c r="A67" s="8" t="s">
        <v>741</v>
      </c>
      <c r="B67" s="8" t="s">
        <v>743</v>
      </c>
      <c r="C67" s="15" t="s">
        <v>2229</v>
      </c>
      <c r="D67" s="15" t="s">
        <v>2095</v>
      </c>
      <c r="E67" s="15" t="s">
        <v>2230</v>
      </c>
      <c r="F67" s="15" t="s">
        <v>1957</v>
      </c>
      <c r="G67" s="15" t="s">
        <v>2030</v>
      </c>
      <c r="H67" s="15" t="s">
        <v>2098</v>
      </c>
      <c r="I67" s="15" t="s">
        <v>2231</v>
      </c>
      <c r="J67" s="15" t="s">
        <v>2232</v>
      </c>
    </row>
    <row r="68" spans="1:10" ht="47.25">
      <c r="A68" s="8" t="s">
        <v>750</v>
      </c>
      <c r="B68" s="8" t="s">
        <v>752</v>
      </c>
      <c r="C68" s="8" t="s">
        <v>2233</v>
      </c>
      <c r="D68" s="8" t="s">
        <v>2234</v>
      </c>
      <c r="E68" s="8" t="s">
        <v>2235</v>
      </c>
      <c r="F68" s="8" t="s">
        <v>2053</v>
      </c>
      <c r="G68" s="8" t="s">
        <v>2236</v>
      </c>
      <c r="H68" s="8" t="s">
        <v>1974</v>
      </c>
      <c r="I68" s="8" t="s">
        <v>2237</v>
      </c>
      <c r="J68" s="8" t="s">
        <v>2238</v>
      </c>
    </row>
    <row r="69" spans="1:10" ht="47.25">
      <c r="A69" s="8" t="s">
        <v>759</v>
      </c>
      <c r="B69" s="8" t="s">
        <v>761</v>
      </c>
      <c r="C69" s="8" t="s">
        <v>2239</v>
      </c>
      <c r="D69" s="8" t="s">
        <v>2240</v>
      </c>
      <c r="E69" s="8" t="s">
        <v>2241</v>
      </c>
      <c r="F69" s="8" t="s">
        <v>2142</v>
      </c>
      <c r="G69" s="8" t="s">
        <v>2242</v>
      </c>
      <c r="H69" s="8" t="s">
        <v>2243</v>
      </c>
      <c r="I69" s="8" t="s">
        <v>2244</v>
      </c>
      <c r="J69" s="8" t="s">
        <v>2245</v>
      </c>
    </row>
    <row r="70" spans="1:10" ht="47.25">
      <c r="A70" s="8" t="s">
        <v>768</v>
      </c>
      <c r="B70" s="8" t="s">
        <v>770</v>
      </c>
      <c r="C70" s="8" t="s">
        <v>2246</v>
      </c>
      <c r="D70" s="8" t="s">
        <v>2247</v>
      </c>
      <c r="E70" s="8" t="s">
        <v>2248</v>
      </c>
      <c r="F70" s="8" t="s">
        <v>1957</v>
      </c>
      <c r="G70" s="8" t="s">
        <v>2242</v>
      </c>
      <c r="H70" s="8" t="s">
        <v>2249</v>
      </c>
      <c r="I70" s="8" t="s">
        <v>2250</v>
      </c>
      <c r="J70" s="8" t="s">
        <v>2251</v>
      </c>
    </row>
    <row r="71" spans="1:10" ht="47.25">
      <c r="A71" s="8" t="s">
        <v>777</v>
      </c>
      <c r="B71" s="8" t="s">
        <v>779</v>
      </c>
      <c r="C71" s="8" t="s">
        <v>2111</v>
      </c>
      <c r="D71" s="8" t="s">
        <v>2201</v>
      </c>
      <c r="E71" s="8" t="s">
        <v>2252</v>
      </c>
      <c r="F71" s="8" t="s">
        <v>2203</v>
      </c>
      <c r="G71" s="8" t="s">
        <v>2236</v>
      </c>
      <c r="H71" s="8" t="s">
        <v>2062</v>
      </c>
      <c r="I71" s="8" t="s">
        <v>2253</v>
      </c>
      <c r="J71" s="8" t="s">
        <v>2145</v>
      </c>
    </row>
    <row r="72" spans="1:10" ht="47.25">
      <c r="A72" s="8" t="s">
        <v>786</v>
      </c>
      <c r="B72" s="8" t="s">
        <v>788</v>
      </c>
      <c r="C72" s="8" t="s">
        <v>2254</v>
      </c>
      <c r="D72" s="8" t="s">
        <v>2247</v>
      </c>
      <c r="E72" s="8" t="s">
        <v>2255</v>
      </c>
      <c r="F72" s="8" t="s">
        <v>2053</v>
      </c>
      <c r="G72" s="8" t="s">
        <v>2242</v>
      </c>
      <c r="H72" s="8" t="s">
        <v>1974</v>
      </c>
      <c r="I72" s="8" t="s">
        <v>2256</v>
      </c>
      <c r="J72" s="8" t="s">
        <v>2257</v>
      </c>
    </row>
    <row r="73" spans="1:10" ht="47.25">
      <c r="A73" s="8" t="s">
        <v>794</v>
      </c>
      <c r="B73" s="8" t="s">
        <v>796</v>
      </c>
      <c r="C73" s="8" t="s">
        <v>2258</v>
      </c>
      <c r="D73" s="8" t="s">
        <v>1955</v>
      </c>
      <c r="E73" s="8" t="s">
        <v>1979</v>
      </c>
      <c r="F73" s="8" t="s">
        <v>1957</v>
      </c>
      <c r="G73" s="8" t="s">
        <v>2242</v>
      </c>
      <c r="H73" s="8" t="s">
        <v>2259</v>
      </c>
      <c r="I73" s="8" t="s">
        <v>1960</v>
      </c>
      <c r="J73" s="8" t="s">
        <v>2260</v>
      </c>
    </row>
    <row r="74" spans="1:10" ht="63">
      <c r="A74" s="8" t="s">
        <v>802</v>
      </c>
      <c r="B74" s="8" t="s">
        <v>804</v>
      </c>
      <c r="C74" s="8" t="s">
        <v>2261</v>
      </c>
      <c r="D74" s="8" t="s">
        <v>2234</v>
      </c>
      <c r="E74" s="8" t="s">
        <v>2262</v>
      </c>
      <c r="F74" s="8" t="s">
        <v>2053</v>
      </c>
      <c r="G74" s="8" t="s">
        <v>2236</v>
      </c>
      <c r="H74" s="8" t="s">
        <v>2263</v>
      </c>
      <c r="I74" s="8" t="s">
        <v>2237</v>
      </c>
      <c r="J74" s="8" t="s">
        <v>2264</v>
      </c>
    </row>
    <row r="75" spans="1:10" ht="47.25">
      <c r="A75" s="8" t="s">
        <v>810</v>
      </c>
      <c r="B75" s="8" t="s">
        <v>812</v>
      </c>
      <c r="C75" s="8" t="s">
        <v>2265</v>
      </c>
      <c r="D75" s="8" t="s">
        <v>2247</v>
      </c>
      <c r="E75" s="8" t="s">
        <v>2266</v>
      </c>
      <c r="F75" s="8" t="s">
        <v>2053</v>
      </c>
      <c r="G75" s="8" t="s">
        <v>2242</v>
      </c>
      <c r="H75" s="8" t="s">
        <v>2062</v>
      </c>
      <c r="I75" s="8" t="s">
        <v>2250</v>
      </c>
      <c r="J75" s="8" t="s">
        <v>2267</v>
      </c>
    </row>
    <row r="76" spans="1:10" ht="47.25">
      <c r="A76" s="8" t="s">
        <v>819</v>
      </c>
      <c r="B76" s="8" t="s">
        <v>821</v>
      </c>
      <c r="C76" s="8" t="s">
        <v>2268</v>
      </c>
      <c r="D76" s="8" t="s">
        <v>2269</v>
      </c>
      <c r="E76" s="8" t="s">
        <v>2270</v>
      </c>
      <c r="F76" s="8" t="s">
        <v>2271</v>
      </c>
      <c r="G76" s="8" t="s">
        <v>2272</v>
      </c>
      <c r="H76" s="8" t="s">
        <v>1974</v>
      </c>
      <c r="I76" s="8" t="s">
        <v>2273</v>
      </c>
      <c r="J76" s="8" t="s">
        <v>2274</v>
      </c>
    </row>
    <row r="77" spans="1:10" ht="47.25">
      <c r="A77" s="8" t="s">
        <v>827</v>
      </c>
      <c r="B77" s="8" t="s">
        <v>829</v>
      </c>
      <c r="C77" s="8" t="s">
        <v>2275</v>
      </c>
      <c r="D77" s="8" t="s">
        <v>2005</v>
      </c>
      <c r="E77" s="8" t="s">
        <v>2276</v>
      </c>
      <c r="F77" s="8" t="s">
        <v>1973</v>
      </c>
      <c r="G77" s="8" t="s">
        <v>2272</v>
      </c>
      <c r="H77" s="8" t="s">
        <v>2007</v>
      </c>
      <c r="I77" s="8" t="s">
        <v>2008</v>
      </c>
      <c r="J77" s="8" t="s">
        <v>2277</v>
      </c>
    </row>
    <row r="78" spans="1:10" ht="63">
      <c r="A78" s="8" t="s">
        <v>836</v>
      </c>
      <c r="B78" s="8" t="s">
        <v>838</v>
      </c>
      <c r="C78" s="8" t="s">
        <v>2278</v>
      </c>
      <c r="D78" s="8" t="s">
        <v>2247</v>
      </c>
      <c r="E78" s="8" t="s">
        <v>2279</v>
      </c>
      <c r="F78" s="8" t="s">
        <v>2053</v>
      </c>
      <c r="G78" s="8" t="s">
        <v>2242</v>
      </c>
      <c r="H78" s="8" t="s">
        <v>2259</v>
      </c>
      <c r="I78" s="8" t="s">
        <v>2256</v>
      </c>
      <c r="J78" s="8" t="s">
        <v>2280</v>
      </c>
    </row>
    <row r="79" spans="1:10" ht="47.25">
      <c r="A79" s="8" t="s">
        <v>845</v>
      </c>
      <c r="B79" s="8" t="s">
        <v>847</v>
      </c>
      <c r="C79" s="8" t="s">
        <v>2281</v>
      </c>
      <c r="D79" s="8" t="s">
        <v>2282</v>
      </c>
      <c r="E79" s="8" t="s">
        <v>2283</v>
      </c>
      <c r="F79" s="8" t="s">
        <v>1957</v>
      </c>
      <c r="G79" s="8" t="s">
        <v>2242</v>
      </c>
      <c r="H79" s="8" t="s">
        <v>2007</v>
      </c>
      <c r="I79" s="8" t="s">
        <v>1981</v>
      </c>
      <c r="J79" s="8" t="s">
        <v>2284</v>
      </c>
    </row>
    <row r="80" spans="1:10" ht="47.25">
      <c r="A80" s="8" t="s">
        <v>854</v>
      </c>
      <c r="B80" s="8" t="s">
        <v>856</v>
      </c>
      <c r="C80" s="8" t="s">
        <v>2285</v>
      </c>
      <c r="D80" s="8" t="s">
        <v>2247</v>
      </c>
      <c r="E80" s="8" t="s">
        <v>2286</v>
      </c>
      <c r="F80" s="8" t="s">
        <v>2053</v>
      </c>
      <c r="G80" s="8" t="s">
        <v>2242</v>
      </c>
      <c r="H80" s="8" t="s">
        <v>1974</v>
      </c>
      <c r="I80" s="8" t="s">
        <v>2250</v>
      </c>
      <c r="J80" s="8" t="s">
        <v>2287</v>
      </c>
    </row>
    <row r="81" spans="1:10" ht="47.25">
      <c r="A81" s="8" t="s">
        <v>863</v>
      </c>
      <c r="B81" s="8" t="s">
        <v>865</v>
      </c>
      <c r="C81" s="8" t="s">
        <v>2288</v>
      </c>
      <c r="D81" s="8" t="s">
        <v>2095</v>
      </c>
      <c r="E81" s="8" t="s">
        <v>2289</v>
      </c>
      <c r="F81" s="8" t="s">
        <v>1957</v>
      </c>
      <c r="G81" s="8" t="s">
        <v>2236</v>
      </c>
      <c r="H81" s="8" t="s">
        <v>2098</v>
      </c>
      <c r="I81" s="8" t="s">
        <v>2173</v>
      </c>
      <c r="J81" s="8" t="s">
        <v>2290</v>
      </c>
    </row>
    <row r="82" spans="1:10" ht="47.25">
      <c r="A82" s="8" t="s">
        <v>871</v>
      </c>
      <c r="B82" s="8" t="s">
        <v>873</v>
      </c>
      <c r="C82" s="8" t="s">
        <v>2291</v>
      </c>
      <c r="D82" s="8" t="s">
        <v>2247</v>
      </c>
      <c r="E82" s="8" t="s">
        <v>2292</v>
      </c>
      <c r="F82" s="8" t="s">
        <v>2053</v>
      </c>
      <c r="G82" s="8" t="s">
        <v>2242</v>
      </c>
      <c r="H82" s="8" t="s">
        <v>1974</v>
      </c>
      <c r="I82" s="8" t="s">
        <v>2256</v>
      </c>
      <c r="J82" s="8" t="s">
        <v>2293</v>
      </c>
    </row>
    <row r="83" spans="1:10" ht="47.25">
      <c r="A83" s="8" t="s">
        <v>879</v>
      </c>
      <c r="B83" s="8" t="s">
        <v>881</v>
      </c>
      <c r="C83" s="8" t="s">
        <v>2294</v>
      </c>
      <c r="D83" s="8" t="s">
        <v>2247</v>
      </c>
      <c r="E83" s="8" t="s">
        <v>2295</v>
      </c>
      <c r="F83" s="8" t="s">
        <v>2053</v>
      </c>
      <c r="G83" s="8" t="s">
        <v>2242</v>
      </c>
      <c r="H83" s="8" t="s">
        <v>1974</v>
      </c>
      <c r="I83" s="8" t="s">
        <v>2256</v>
      </c>
      <c r="J83" s="8" t="s">
        <v>2296</v>
      </c>
    </row>
    <row r="84" spans="1:10" ht="47.25">
      <c r="A84" s="8" t="s">
        <v>888</v>
      </c>
      <c r="B84" s="8" t="s">
        <v>890</v>
      </c>
      <c r="C84" s="8" t="s">
        <v>2297</v>
      </c>
      <c r="D84" s="8" t="s">
        <v>2247</v>
      </c>
      <c r="E84" s="8" t="s">
        <v>2298</v>
      </c>
      <c r="F84" s="8" t="s">
        <v>2053</v>
      </c>
      <c r="G84" s="8" t="s">
        <v>2242</v>
      </c>
      <c r="H84" s="8" t="s">
        <v>2062</v>
      </c>
      <c r="I84" s="8" t="s">
        <v>2256</v>
      </c>
      <c r="J84" s="8" t="s">
        <v>2287</v>
      </c>
    </row>
    <row r="85" spans="1:10" ht="63">
      <c r="A85" s="8" t="s">
        <v>896</v>
      </c>
      <c r="B85" s="8" t="s">
        <v>898</v>
      </c>
      <c r="C85" s="8" t="s">
        <v>2299</v>
      </c>
      <c r="D85" s="8" t="s">
        <v>2300</v>
      </c>
      <c r="E85" s="8" t="s">
        <v>2301</v>
      </c>
      <c r="F85" s="8" t="s">
        <v>1957</v>
      </c>
      <c r="G85" s="8" t="s">
        <v>2242</v>
      </c>
      <c r="H85" s="8" t="s">
        <v>2263</v>
      </c>
      <c r="I85" s="8" t="s">
        <v>1981</v>
      </c>
      <c r="J85" s="8" t="s">
        <v>2302</v>
      </c>
    </row>
    <row r="86" spans="1:10" ht="47.25">
      <c r="A86" s="8" t="s">
        <v>904</v>
      </c>
      <c r="B86" s="8" t="s">
        <v>906</v>
      </c>
      <c r="C86" s="8" t="s">
        <v>2111</v>
      </c>
      <c r="D86" s="8" t="s">
        <v>2303</v>
      </c>
      <c r="E86" s="8" t="s">
        <v>2304</v>
      </c>
      <c r="F86" s="8" t="s">
        <v>1957</v>
      </c>
      <c r="G86" s="8" t="s">
        <v>2242</v>
      </c>
      <c r="H86" s="8" t="s">
        <v>2007</v>
      </c>
      <c r="I86" s="8" t="s">
        <v>1981</v>
      </c>
      <c r="J86" s="8" t="s">
        <v>2305</v>
      </c>
    </row>
    <row r="87" spans="1:10" ht="47.25">
      <c r="A87" s="8" t="s">
        <v>913</v>
      </c>
      <c r="B87" s="8" t="s">
        <v>915</v>
      </c>
      <c r="C87" s="8" t="s">
        <v>2306</v>
      </c>
      <c r="D87" s="8" t="s">
        <v>2095</v>
      </c>
      <c r="E87" s="8" t="s">
        <v>2307</v>
      </c>
      <c r="F87" s="8" t="s">
        <v>1957</v>
      </c>
      <c r="G87" s="8" t="s">
        <v>2236</v>
      </c>
      <c r="H87" s="8" t="s">
        <v>2259</v>
      </c>
      <c r="I87" s="8" t="s">
        <v>2099</v>
      </c>
      <c r="J87" s="8" t="s">
        <v>2308</v>
      </c>
    </row>
    <row r="88" spans="1:10" ht="47.25">
      <c r="A88" s="8" t="s">
        <v>922</v>
      </c>
      <c r="B88" s="8" t="s">
        <v>924</v>
      </c>
      <c r="C88" s="8" t="s">
        <v>2309</v>
      </c>
      <c r="D88" s="8" t="s">
        <v>2247</v>
      </c>
      <c r="E88" s="8" t="s">
        <v>2310</v>
      </c>
      <c r="F88" s="8" t="s">
        <v>2053</v>
      </c>
      <c r="G88" s="8" t="s">
        <v>2242</v>
      </c>
      <c r="H88" s="8" t="s">
        <v>1974</v>
      </c>
      <c r="I88" s="8" t="s">
        <v>2256</v>
      </c>
      <c r="J88" s="8" t="s">
        <v>2311</v>
      </c>
    </row>
    <row r="89" spans="1:10" ht="47.25">
      <c r="A89" s="8" t="s">
        <v>930</v>
      </c>
      <c r="B89" s="8" t="s">
        <v>932</v>
      </c>
      <c r="C89" s="8" t="s">
        <v>2111</v>
      </c>
      <c r="D89" s="8" t="s">
        <v>1978</v>
      </c>
      <c r="E89" s="8" t="s">
        <v>1979</v>
      </c>
      <c r="F89" s="8" t="s">
        <v>1957</v>
      </c>
      <c r="G89" s="8" t="s">
        <v>2242</v>
      </c>
      <c r="H89" s="8" t="s">
        <v>2007</v>
      </c>
      <c r="I89" s="8" t="s">
        <v>1981</v>
      </c>
      <c r="J89" s="8" t="s">
        <v>2312</v>
      </c>
    </row>
    <row r="90" spans="1:10" ht="47.25">
      <c r="A90" s="8" t="s">
        <v>938</v>
      </c>
      <c r="B90" s="8" t="s">
        <v>940</v>
      </c>
      <c r="C90" s="8" t="s">
        <v>2111</v>
      </c>
      <c r="D90" s="8" t="s">
        <v>2247</v>
      </c>
      <c r="E90" s="8" t="s">
        <v>2313</v>
      </c>
      <c r="F90" s="8" t="s">
        <v>2053</v>
      </c>
      <c r="G90" s="8" t="s">
        <v>2242</v>
      </c>
      <c r="H90" s="8" t="s">
        <v>2259</v>
      </c>
      <c r="I90" s="8" t="s">
        <v>2250</v>
      </c>
      <c r="J90" s="8" t="s">
        <v>2314</v>
      </c>
    </row>
    <row r="91" spans="1:10" ht="47.25">
      <c r="A91" s="8" t="s">
        <v>947</v>
      </c>
      <c r="B91" s="8" t="s">
        <v>949</v>
      </c>
      <c r="C91" s="8" t="s">
        <v>2111</v>
      </c>
      <c r="D91" s="8" t="s">
        <v>2315</v>
      </c>
      <c r="E91" s="8" t="s">
        <v>2316</v>
      </c>
      <c r="F91" s="8" t="s">
        <v>1957</v>
      </c>
      <c r="G91" s="8" t="s">
        <v>2242</v>
      </c>
      <c r="H91" s="8" t="s">
        <v>2007</v>
      </c>
      <c r="I91" s="8" t="s">
        <v>1981</v>
      </c>
      <c r="J91" s="8" t="s">
        <v>2312</v>
      </c>
    </row>
    <row r="92" spans="1:10" ht="47.25">
      <c r="A92" s="8" t="s">
        <v>956</v>
      </c>
      <c r="B92" s="8" t="s">
        <v>958</v>
      </c>
      <c r="C92" s="8" t="s">
        <v>2317</v>
      </c>
      <c r="D92" s="8" t="s">
        <v>2247</v>
      </c>
      <c r="E92" s="8" t="s">
        <v>2318</v>
      </c>
      <c r="F92" s="8" t="s">
        <v>2053</v>
      </c>
      <c r="G92" s="8" t="s">
        <v>2242</v>
      </c>
      <c r="H92" s="8" t="s">
        <v>1974</v>
      </c>
      <c r="I92" s="8" t="s">
        <v>2256</v>
      </c>
      <c r="J92" s="8" t="s">
        <v>2319</v>
      </c>
    </row>
    <row r="93" spans="1:10" ht="31.5">
      <c r="A93" s="8" t="s">
        <v>965</v>
      </c>
      <c r="B93" s="8" t="s">
        <v>967</v>
      </c>
      <c r="C93" s="8" t="s">
        <v>2320</v>
      </c>
      <c r="D93" s="8" t="s">
        <v>2005</v>
      </c>
      <c r="E93" s="8" t="s">
        <v>2321</v>
      </c>
      <c r="F93" s="8" t="s">
        <v>1973</v>
      </c>
      <c r="G93" s="8" t="s">
        <v>2272</v>
      </c>
      <c r="H93" s="8" t="s">
        <v>1959</v>
      </c>
      <c r="I93" s="8" t="s">
        <v>2322</v>
      </c>
      <c r="J93" s="8" t="s">
        <v>2323</v>
      </c>
    </row>
    <row r="94" spans="1:10" ht="47.25">
      <c r="A94" s="8" t="s">
        <v>974</v>
      </c>
      <c r="B94" s="8" t="s">
        <v>976</v>
      </c>
      <c r="C94" s="8" t="s">
        <v>2324</v>
      </c>
      <c r="D94" s="8" t="s">
        <v>2247</v>
      </c>
      <c r="E94" s="8" t="s">
        <v>2325</v>
      </c>
      <c r="F94" s="8" t="s">
        <v>2053</v>
      </c>
      <c r="G94" s="8" t="s">
        <v>2242</v>
      </c>
      <c r="H94" s="8" t="s">
        <v>2326</v>
      </c>
      <c r="I94" s="8" t="s">
        <v>2250</v>
      </c>
      <c r="J94" s="8" t="s">
        <v>2327</v>
      </c>
    </row>
    <row r="95" spans="1:10" ht="47.25">
      <c r="A95" s="8" t="s">
        <v>983</v>
      </c>
      <c r="B95" s="8" t="s">
        <v>985</v>
      </c>
      <c r="C95" s="8" t="s">
        <v>2328</v>
      </c>
      <c r="D95" s="8" t="s">
        <v>2247</v>
      </c>
      <c r="E95" s="8" t="s">
        <v>2329</v>
      </c>
      <c r="F95" s="8" t="s">
        <v>2053</v>
      </c>
      <c r="G95" s="8" t="s">
        <v>2242</v>
      </c>
      <c r="H95" s="8" t="s">
        <v>1974</v>
      </c>
      <c r="I95" s="8" t="s">
        <v>2250</v>
      </c>
      <c r="J95" s="8" t="s">
        <v>2330</v>
      </c>
    </row>
    <row r="96" spans="1:10" ht="47.25">
      <c r="A96" s="8" t="s">
        <v>991</v>
      </c>
      <c r="B96" s="8" t="s">
        <v>993</v>
      </c>
      <c r="C96" s="8" t="s">
        <v>2331</v>
      </c>
      <c r="D96" s="8" t="s">
        <v>2247</v>
      </c>
      <c r="E96" s="8" t="s">
        <v>2332</v>
      </c>
      <c r="F96" s="8" t="s">
        <v>2053</v>
      </c>
      <c r="G96" s="8" t="s">
        <v>2242</v>
      </c>
      <c r="H96" s="8" t="s">
        <v>1974</v>
      </c>
      <c r="I96" s="8" t="s">
        <v>2256</v>
      </c>
      <c r="J96" s="8" t="s">
        <v>2333</v>
      </c>
    </row>
    <row r="97" spans="1:10" ht="47.25">
      <c r="A97" s="8" t="s">
        <v>999</v>
      </c>
      <c r="B97" s="8" t="s">
        <v>1001</v>
      </c>
      <c r="C97" s="8" t="s">
        <v>2334</v>
      </c>
      <c r="D97" s="8" t="s">
        <v>2335</v>
      </c>
      <c r="E97" s="8" t="s">
        <v>1979</v>
      </c>
      <c r="F97" s="8" t="s">
        <v>2336</v>
      </c>
      <c r="G97" s="8" t="s">
        <v>2272</v>
      </c>
      <c r="H97" s="8" t="s">
        <v>2007</v>
      </c>
      <c r="I97" s="8" t="s">
        <v>2337</v>
      </c>
      <c r="J97" s="8" t="s">
        <v>2338</v>
      </c>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K943"/>
  <sheetViews>
    <sheetView workbookViewId="0">
      <selection activeCell="C4" sqref="C4:K943"/>
    </sheetView>
  </sheetViews>
  <sheetFormatPr defaultRowHeight="15.75"/>
  <cols>
    <col min="1" max="1" width="11" style="2" customWidth="1"/>
    <col min="2" max="4" width="28" style="2" customWidth="1"/>
    <col min="5" max="5" width="14" style="2" customWidth="1"/>
    <col min="6" max="6" width="28" style="2" customWidth="1"/>
    <col min="7" max="7" width="22" style="2" customWidth="1"/>
    <col min="8" max="8" width="54" style="2" customWidth="1"/>
    <col min="9" max="9" width="28" style="2" customWidth="1"/>
    <col min="10" max="10" width="22" style="2" customWidth="1"/>
    <col min="11" max="11" width="18" style="2" customWidth="1"/>
    <col min="12" max="16384" width="9" style="2"/>
  </cols>
  <sheetData>
    <row r="1" spans="1:11" s="7" customFormat="1" ht="20.25">
      <c r="A1" s="16" t="s">
        <v>1079</v>
      </c>
      <c r="B1" s="16"/>
      <c r="C1" s="16"/>
      <c r="D1" s="16"/>
      <c r="E1" s="16"/>
      <c r="F1" s="16"/>
      <c r="G1" s="16"/>
      <c r="H1" s="16"/>
      <c r="I1" s="16"/>
      <c r="J1" s="16"/>
      <c r="K1" s="16"/>
    </row>
    <row r="3" spans="1:11" s="6" customFormat="1" ht="37.5">
      <c r="A3" s="5" t="s">
        <v>165</v>
      </c>
      <c r="B3" s="5" t="s">
        <v>1080</v>
      </c>
      <c r="C3" s="5" t="s">
        <v>1081</v>
      </c>
      <c r="D3" s="5" t="s">
        <v>1082</v>
      </c>
      <c r="E3" s="5" t="s">
        <v>1083</v>
      </c>
      <c r="F3" s="5" t="s">
        <v>1084</v>
      </c>
      <c r="G3" s="5" t="s">
        <v>1085</v>
      </c>
      <c r="H3" s="5" t="s">
        <v>1086</v>
      </c>
      <c r="I3" s="5" t="s">
        <v>1087</v>
      </c>
      <c r="J3" s="5" t="s">
        <v>1088</v>
      </c>
      <c r="K3" s="5" t="s">
        <v>1089</v>
      </c>
    </row>
    <row r="4" spans="1:11" ht="47.25">
      <c r="A4" s="4" t="s">
        <v>181</v>
      </c>
      <c r="B4" s="4" t="s">
        <v>1028</v>
      </c>
      <c r="C4" s="8" t="s">
        <v>41</v>
      </c>
      <c r="D4" s="8" t="s">
        <v>41</v>
      </c>
      <c r="E4" s="8" t="s">
        <v>48</v>
      </c>
      <c r="F4" s="8" t="s">
        <v>41</v>
      </c>
      <c r="G4" s="8" t="s">
        <v>63</v>
      </c>
      <c r="H4" s="8" t="s">
        <v>2339</v>
      </c>
      <c r="I4" s="8" t="s">
        <v>2340</v>
      </c>
      <c r="J4" s="8" t="s">
        <v>2341</v>
      </c>
      <c r="K4" s="8" t="s">
        <v>2342</v>
      </c>
    </row>
    <row r="5" spans="1:11" ht="47.25">
      <c r="A5" s="4" t="s">
        <v>181</v>
      </c>
      <c r="B5" s="4" t="s">
        <v>1030</v>
      </c>
      <c r="C5" s="8" t="s">
        <v>57</v>
      </c>
      <c r="D5" s="8" t="s">
        <v>57</v>
      </c>
      <c r="E5" s="8" t="s">
        <v>48</v>
      </c>
      <c r="F5" s="8" t="s">
        <v>57</v>
      </c>
      <c r="G5" s="8" t="s">
        <v>63</v>
      </c>
      <c r="H5" s="8" t="s">
        <v>2343</v>
      </c>
      <c r="I5" s="8" t="s">
        <v>2344</v>
      </c>
      <c r="J5" s="8" t="s">
        <v>2341</v>
      </c>
      <c r="K5" s="8" t="s">
        <v>2342</v>
      </c>
    </row>
    <row r="6" spans="1:11" ht="47.25">
      <c r="A6" s="4" t="s">
        <v>181</v>
      </c>
      <c r="B6" s="4" t="s">
        <v>1032</v>
      </c>
      <c r="C6" s="8" t="s">
        <v>125</v>
      </c>
      <c r="D6" s="8" t="s">
        <v>125</v>
      </c>
      <c r="E6" s="8" t="s">
        <v>48</v>
      </c>
      <c r="F6" s="8" t="s">
        <v>125</v>
      </c>
      <c r="G6" s="8" t="s">
        <v>63</v>
      </c>
      <c r="H6" s="8" t="s">
        <v>2345</v>
      </c>
      <c r="I6" s="8" t="s">
        <v>2346</v>
      </c>
      <c r="J6" s="8" t="s">
        <v>2341</v>
      </c>
      <c r="K6" s="8" t="s">
        <v>2342</v>
      </c>
    </row>
    <row r="7" spans="1:11" ht="47.25">
      <c r="A7" s="4" t="s">
        <v>181</v>
      </c>
      <c r="B7" s="4" t="s">
        <v>1034</v>
      </c>
      <c r="C7" s="8" t="s">
        <v>86</v>
      </c>
      <c r="D7" s="8" t="s">
        <v>86</v>
      </c>
      <c r="E7" s="8" t="s">
        <v>48</v>
      </c>
      <c r="F7" s="8" t="s">
        <v>86</v>
      </c>
      <c r="G7" s="8" t="s">
        <v>63</v>
      </c>
      <c r="H7" s="8" t="s">
        <v>2347</v>
      </c>
      <c r="I7" s="8" t="s">
        <v>2348</v>
      </c>
      <c r="J7" s="8" t="s">
        <v>2341</v>
      </c>
      <c r="K7" s="8" t="s">
        <v>2342</v>
      </c>
    </row>
    <row r="8" spans="1:11" ht="47.25">
      <c r="A8" s="4" t="s">
        <v>181</v>
      </c>
      <c r="B8" s="4" t="s">
        <v>1038</v>
      </c>
      <c r="C8" s="8" t="s">
        <v>107</v>
      </c>
      <c r="D8" s="8" t="s">
        <v>107</v>
      </c>
      <c r="E8" s="8" t="s">
        <v>48</v>
      </c>
      <c r="F8" s="8" t="s">
        <v>107</v>
      </c>
      <c r="G8" s="8" t="s">
        <v>63</v>
      </c>
      <c r="H8" s="8" t="s">
        <v>2349</v>
      </c>
      <c r="I8" s="8" t="s">
        <v>2350</v>
      </c>
      <c r="J8" s="8" t="s">
        <v>2341</v>
      </c>
      <c r="K8" s="8" t="s">
        <v>2342</v>
      </c>
    </row>
    <row r="9" spans="1:11" ht="47.25">
      <c r="A9" s="4" t="s">
        <v>181</v>
      </c>
      <c r="B9" s="4" t="s">
        <v>1041</v>
      </c>
      <c r="C9" s="8" t="s">
        <v>49</v>
      </c>
      <c r="D9" s="8" t="s">
        <v>49</v>
      </c>
      <c r="E9" s="8" t="s">
        <v>48</v>
      </c>
      <c r="F9" s="8" t="s">
        <v>49</v>
      </c>
      <c r="G9" s="8" t="s">
        <v>63</v>
      </c>
      <c r="H9" s="8" t="s">
        <v>2351</v>
      </c>
      <c r="I9" s="8" t="s">
        <v>2350</v>
      </c>
      <c r="J9" s="8" t="s">
        <v>2341</v>
      </c>
      <c r="K9" s="8" t="s">
        <v>2342</v>
      </c>
    </row>
    <row r="10" spans="1:11" ht="126">
      <c r="A10" s="4" t="s">
        <v>181</v>
      </c>
      <c r="B10" s="4" t="s">
        <v>32</v>
      </c>
      <c r="C10" s="8" t="s">
        <v>99</v>
      </c>
      <c r="D10" s="8" t="s">
        <v>99</v>
      </c>
      <c r="E10" s="8" t="s">
        <v>48</v>
      </c>
      <c r="F10" s="8" t="s">
        <v>99</v>
      </c>
      <c r="G10" s="8" t="s">
        <v>63</v>
      </c>
      <c r="H10" s="8" t="s">
        <v>2352</v>
      </c>
      <c r="I10" s="8" t="s">
        <v>2350</v>
      </c>
      <c r="J10" s="8" t="s">
        <v>2341</v>
      </c>
      <c r="K10" s="8" t="s">
        <v>2342</v>
      </c>
    </row>
    <row r="11" spans="1:11" ht="47.25">
      <c r="A11" s="4" t="s">
        <v>181</v>
      </c>
      <c r="B11" s="4" t="s">
        <v>1090</v>
      </c>
      <c r="C11" s="8" t="s">
        <v>2353</v>
      </c>
      <c r="D11" s="8" t="s">
        <v>2353</v>
      </c>
      <c r="E11" s="8" t="s">
        <v>48</v>
      </c>
      <c r="F11" s="8" t="s">
        <v>2353</v>
      </c>
      <c r="G11" s="8" t="s">
        <v>63</v>
      </c>
      <c r="H11" s="8" t="s">
        <v>2354</v>
      </c>
      <c r="I11" s="8" t="s">
        <v>1617</v>
      </c>
      <c r="J11" s="8" t="s">
        <v>2341</v>
      </c>
      <c r="K11" s="8" t="s">
        <v>2342</v>
      </c>
    </row>
    <row r="12" spans="1:11" ht="141.75">
      <c r="A12" s="4" t="s">
        <v>181</v>
      </c>
      <c r="B12" s="4" t="s">
        <v>1091</v>
      </c>
      <c r="C12" s="8" t="s">
        <v>2355</v>
      </c>
      <c r="D12" s="8" t="s">
        <v>2355</v>
      </c>
      <c r="E12" s="8" t="s">
        <v>48</v>
      </c>
      <c r="F12" s="8" t="s">
        <v>2355</v>
      </c>
      <c r="G12" s="8" t="s">
        <v>63</v>
      </c>
      <c r="H12" s="8" t="s">
        <v>2356</v>
      </c>
      <c r="I12" s="8" t="s">
        <v>2357</v>
      </c>
      <c r="J12" s="8" t="s">
        <v>2341</v>
      </c>
      <c r="K12" s="8" t="s">
        <v>2342</v>
      </c>
    </row>
    <row r="13" spans="1:11" ht="47.25">
      <c r="A13" s="4" t="s">
        <v>181</v>
      </c>
      <c r="B13" s="4" t="s">
        <v>35</v>
      </c>
      <c r="C13" s="8" t="s">
        <v>50</v>
      </c>
      <c r="D13" s="8" t="s">
        <v>50</v>
      </c>
      <c r="E13" s="8" t="s">
        <v>48</v>
      </c>
      <c r="F13" s="8" t="s">
        <v>50</v>
      </c>
      <c r="G13" s="8" t="s">
        <v>63</v>
      </c>
      <c r="H13" s="8" t="s">
        <v>2358</v>
      </c>
      <c r="I13" s="8" t="s">
        <v>2359</v>
      </c>
      <c r="J13" s="8" t="s">
        <v>2341</v>
      </c>
      <c r="K13" s="8" t="s">
        <v>2342</v>
      </c>
    </row>
    <row r="14" spans="1:11" ht="47.25">
      <c r="A14" s="4" t="s">
        <v>194</v>
      </c>
      <c r="B14" s="4" t="s">
        <v>1028</v>
      </c>
      <c r="C14" s="8" t="s">
        <v>41</v>
      </c>
      <c r="D14" s="8" t="s">
        <v>41</v>
      </c>
      <c r="E14" s="8" t="s">
        <v>48</v>
      </c>
      <c r="F14" s="8" t="s">
        <v>41</v>
      </c>
      <c r="G14" s="8" t="s">
        <v>63</v>
      </c>
      <c r="H14" s="8" t="s">
        <v>2339</v>
      </c>
      <c r="I14" s="8" t="s">
        <v>2360</v>
      </c>
      <c r="J14" s="8" t="s">
        <v>2341</v>
      </c>
      <c r="K14" s="8" t="s">
        <v>2342</v>
      </c>
    </row>
    <row r="15" spans="1:11" ht="47.25">
      <c r="A15" s="4" t="s">
        <v>194</v>
      </c>
      <c r="B15" s="4" t="s">
        <v>1030</v>
      </c>
      <c r="C15" s="8" t="s">
        <v>57</v>
      </c>
      <c r="D15" s="8" t="s">
        <v>57</v>
      </c>
      <c r="E15" s="8" t="s">
        <v>48</v>
      </c>
      <c r="F15" s="8" t="s">
        <v>57</v>
      </c>
      <c r="G15" s="8" t="s">
        <v>63</v>
      </c>
      <c r="H15" s="8" t="s">
        <v>2343</v>
      </c>
      <c r="I15" s="8" t="s">
        <v>2361</v>
      </c>
      <c r="J15" s="8" t="s">
        <v>2341</v>
      </c>
      <c r="K15" s="8" t="s">
        <v>2342</v>
      </c>
    </row>
    <row r="16" spans="1:11" ht="47.25">
      <c r="A16" s="4" t="s">
        <v>194</v>
      </c>
      <c r="B16" s="4" t="s">
        <v>1032</v>
      </c>
      <c r="C16" s="8" t="s">
        <v>85</v>
      </c>
      <c r="D16" s="8" t="s">
        <v>85</v>
      </c>
      <c r="E16" s="8" t="s">
        <v>48</v>
      </c>
      <c r="F16" s="8" t="s">
        <v>85</v>
      </c>
      <c r="G16" s="8" t="s">
        <v>63</v>
      </c>
      <c r="H16" s="8" t="s">
        <v>2362</v>
      </c>
      <c r="I16" s="8" t="s">
        <v>2363</v>
      </c>
      <c r="J16" s="8" t="s">
        <v>2341</v>
      </c>
      <c r="K16" s="8" t="s">
        <v>2342</v>
      </c>
    </row>
    <row r="17" spans="1:11" ht="47.25">
      <c r="A17" s="4" t="s">
        <v>194</v>
      </c>
      <c r="B17" s="4" t="s">
        <v>1034</v>
      </c>
      <c r="C17" s="8" t="s">
        <v>59</v>
      </c>
      <c r="D17" s="8" t="s">
        <v>59</v>
      </c>
      <c r="E17" s="8" t="s">
        <v>48</v>
      </c>
      <c r="F17" s="8" t="s">
        <v>59</v>
      </c>
      <c r="G17" s="8" t="s">
        <v>63</v>
      </c>
      <c r="H17" s="8" t="s">
        <v>2364</v>
      </c>
      <c r="I17" s="8" t="s">
        <v>2365</v>
      </c>
      <c r="J17" s="8" t="s">
        <v>2341</v>
      </c>
      <c r="K17" s="8" t="s">
        <v>2342</v>
      </c>
    </row>
    <row r="18" spans="1:11" ht="47.25">
      <c r="A18" s="4" t="s">
        <v>194</v>
      </c>
      <c r="B18" s="4" t="s">
        <v>1038</v>
      </c>
      <c r="C18" s="8" t="s">
        <v>98</v>
      </c>
      <c r="D18" s="8" t="s">
        <v>98</v>
      </c>
      <c r="E18" s="8" t="s">
        <v>48</v>
      </c>
      <c r="F18" s="8" t="s">
        <v>98</v>
      </c>
      <c r="G18" s="8" t="s">
        <v>63</v>
      </c>
      <c r="H18" s="8" t="s">
        <v>2366</v>
      </c>
      <c r="I18" s="8" t="s">
        <v>2367</v>
      </c>
      <c r="J18" s="8" t="s">
        <v>2341</v>
      </c>
      <c r="K18" s="8" t="s">
        <v>2342</v>
      </c>
    </row>
    <row r="19" spans="1:11" ht="47.25">
      <c r="A19" s="4" t="s">
        <v>194</v>
      </c>
      <c r="B19" s="4" t="s">
        <v>1041</v>
      </c>
      <c r="C19" s="8" t="s">
        <v>49</v>
      </c>
      <c r="D19" s="8" t="s">
        <v>49</v>
      </c>
      <c r="E19" s="8" t="s">
        <v>48</v>
      </c>
      <c r="F19" s="8" t="s">
        <v>49</v>
      </c>
      <c r="G19" s="8" t="s">
        <v>63</v>
      </c>
      <c r="H19" s="8" t="s">
        <v>2351</v>
      </c>
      <c r="I19" s="8" t="s">
        <v>2367</v>
      </c>
      <c r="J19" s="8" t="s">
        <v>2341</v>
      </c>
      <c r="K19" s="8" t="s">
        <v>2342</v>
      </c>
    </row>
    <row r="20" spans="1:11" ht="126">
      <c r="A20" s="4" t="s">
        <v>194</v>
      </c>
      <c r="B20" s="4" t="s">
        <v>32</v>
      </c>
      <c r="C20" s="8" t="s">
        <v>99</v>
      </c>
      <c r="D20" s="8" t="s">
        <v>99</v>
      </c>
      <c r="E20" s="8" t="s">
        <v>48</v>
      </c>
      <c r="F20" s="8" t="s">
        <v>99</v>
      </c>
      <c r="G20" s="8" t="s">
        <v>63</v>
      </c>
      <c r="H20" s="8" t="s">
        <v>2368</v>
      </c>
      <c r="I20" s="8" t="s">
        <v>2367</v>
      </c>
      <c r="J20" s="8" t="s">
        <v>2341</v>
      </c>
      <c r="K20" s="8" t="s">
        <v>2342</v>
      </c>
    </row>
    <row r="21" spans="1:11" ht="47.25">
      <c r="A21" s="4" t="s">
        <v>194</v>
      </c>
      <c r="B21" s="4" t="s">
        <v>1090</v>
      </c>
      <c r="C21" s="8" t="s">
        <v>2353</v>
      </c>
      <c r="D21" s="8" t="s">
        <v>2353</v>
      </c>
      <c r="E21" s="8" t="s">
        <v>48</v>
      </c>
      <c r="F21" s="8" t="s">
        <v>2353</v>
      </c>
      <c r="G21" s="8" t="s">
        <v>63</v>
      </c>
      <c r="H21" s="8" t="s">
        <v>2354</v>
      </c>
      <c r="I21" s="8" t="s">
        <v>1617</v>
      </c>
      <c r="J21" s="8" t="s">
        <v>2341</v>
      </c>
      <c r="K21" s="8" t="s">
        <v>2342</v>
      </c>
    </row>
    <row r="22" spans="1:11" ht="141.75">
      <c r="A22" s="4" t="s">
        <v>194</v>
      </c>
      <c r="B22" s="4" t="s">
        <v>1091</v>
      </c>
      <c r="C22" s="8" t="s">
        <v>2355</v>
      </c>
      <c r="D22" s="8" t="s">
        <v>2355</v>
      </c>
      <c r="E22" s="8" t="s">
        <v>48</v>
      </c>
      <c r="F22" s="8" t="s">
        <v>2355</v>
      </c>
      <c r="G22" s="8" t="s">
        <v>63</v>
      </c>
      <c r="H22" s="8" t="s">
        <v>2369</v>
      </c>
      <c r="I22" s="8" t="s">
        <v>2370</v>
      </c>
      <c r="J22" s="8" t="s">
        <v>2341</v>
      </c>
      <c r="K22" s="8" t="s">
        <v>2342</v>
      </c>
    </row>
    <row r="23" spans="1:11" ht="47.25">
      <c r="A23" s="4" t="s">
        <v>194</v>
      </c>
      <c r="B23" s="4" t="s">
        <v>35</v>
      </c>
      <c r="C23" s="8" t="s">
        <v>65</v>
      </c>
      <c r="D23" s="8" t="s">
        <v>65</v>
      </c>
      <c r="E23" s="8" t="s">
        <v>48</v>
      </c>
      <c r="F23" s="8" t="s">
        <v>65</v>
      </c>
      <c r="G23" s="8" t="s">
        <v>63</v>
      </c>
      <c r="H23" s="8" t="s">
        <v>2371</v>
      </c>
      <c r="I23" s="8" t="s">
        <v>2372</v>
      </c>
      <c r="J23" s="8" t="s">
        <v>2341</v>
      </c>
      <c r="K23" s="8" t="s">
        <v>2342</v>
      </c>
    </row>
    <row r="24" spans="1:11" ht="47.25">
      <c r="A24" s="4" t="s">
        <v>202</v>
      </c>
      <c r="B24" s="4" t="s">
        <v>1028</v>
      </c>
      <c r="C24" s="8" t="s">
        <v>41</v>
      </c>
      <c r="D24" s="8" t="s">
        <v>41</v>
      </c>
      <c r="E24" s="8" t="s">
        <v>48</v>
      </c>
      <c r="F24" s="8" t="s">
        <v>41</v>
      </c>
      <c r="G24" s="8" t="s">
        <v>63</v>
      </c>
      <c r="H24" s="8" t="s">
        <v>2339</v>
      </c>
      <c r="I24" s="8" t="s">
        <v>2373</v>
      </c>
      <c r="J24" s="8" t="s">
        <v>2341</v>
      </c>
      <c r="K24" s="8" t="s">
        <v>2342</v>
      </c>
    </row>
    <row r="25" spans="1:11" ht="47.25">
      <c r="A25" s="4" t="s">
        <v>202</v>
      </c>
      <c r="B25" s="4" t="s">
        <v>1030</v>
      </c>
      <c r="C25" s="8" t="s">
        <v>57</v>
      </c>
      <c r="D25" s="8" t="s">
        <v>57</v>
      </c>
      <c r="E25" s="8" t="s">
        <v>48</v>
      </c>
      <c r="F25" s="8" t="s">
        <v>57</v>
      </c>
      <c r="G25" s="8" t="s">
        <v>63</v>
      </c>
      <c r="H25" s="8" t="s">
        <v>2343</v>
      </c>
      <c r="I25" s="8" t="s">
        <v>2374</v>
      </c>
      <c r="J25" s="8" t="s">
        <v>2341</v>
      </c>
      <c r="K25" s="8" t="s">
        <v>2342</v>
      </c>
    </row>
    <row r="26" spans="1:11" ht="47.25">
      <c r="A26" s="4" t="s">
        <v>202</v>
      </c>
      <c r="B26" s="4" t="s">
        <v>1032</v>
      </c>
      <c r="C26" s="8" t="s">
        <v>85</v>
      </c>
      <c r="D26" s="8" t="s">
        <v>85</v>
      </c>
      <c r="E26" s="8" t="s">
        <v>48</v>
      </c>
      <c r="F26" s="8" t="s">
        <v>85</v>
      </c>
      <c r="G26" s="8" t="s">
        <v>63</v>
      </c>
      <c r="H26" s="8" t="s">
        <v>2362</v>
      </c>
      <c r="I26" s="8" t="s">
        <v>2375</v>
      </c>
      <c r="J26" s="8" t="s">
        <v>2341</v>
      </c>
      <c r="K26" s="8" t="s">
        <v>2342</v>
      </c>
    </row>
    <row r="27" spans="1:11" ht="47.25">
      <c r="A27" s="4" t="s">
        <v>202</v>
      </c>
      <c r="B27" s="4" t="s">
        <v>1034</v>
      </c>
      <c r="C27" s="8" t="s">
        <v>59</v>
      </c>
      <c r="D27" s="8" t="s">
        <v>59</v>
      </c>
      <c r="E27" s="8" t="s">
        <v>48</v>
      </c>
      <c r="F27" s="8" t="s">
        <v>59</v>
      </c>
      <c r="G27" s="8" t="s">
        <v>63</v>
      </c>
      <c r="H27" s="8" t="s">
        <v>2364</v>
      </c>
      <c r="I27" s="8" t="s">
        <v>2376</v>
      </c>
      <c r="J27" s="8" t="s">
        <v>2341</v>
      </c>
      <c r="K27" s="8" t="s">
        <v>2342</v>
      </c>
    </row>
    <row r="28" spans="1:11" ht="47.25">
      <c r="A28" s="4" t="s">
        <v>202</v>
      </c>
      <c r="B28" s="4" t="s">
        <v>1038</v>
      </c>
      <c r="C28" s="8" t="s">
        <v>98</v>
      </c>
      <c r="D28" s="8" t="s">
        <v>98</v>
      </c>
      <c r="E28" s="8" t="s">
        <v>48</v>
      </c>
      <c r="F28" s="8" t="s">
        <v>98</v>
      </c>
      <c r="G28" s="8" t="s">
        <v>63</v>
      </c>
      <c r="H28" s="8" t="s">
        <v>2366</v>
      </c>
      <c r="I28" s="8" t="s">
        <v>2377</v>
      </c>
      <c r="J28" s="8" t="s">
        <v>2341</v>
      </c>
      <c r="K28" s="8" t="s">
        <v>2342</v>
      </c>
    </row>
    <row r="29" spans="1:11" ht="47.25">
      <c r="A29" s="4" t="s">
        <v>202</v>
      </c>
      <c r="B29" s="4" t="s">
        <v>1041</v>
      </c>
      <c r="C29" s="8" t="s">
        <v>49</v>
      </c>
      <c r="D29" s="8" t="s">
        <v>49</v>
      </c>
      <c r="E29" s="8" t="s">
        <v>48</v>
      </c>
      <c r="F29" s="8" t="s">
        <v>49</v>
      </c>
      <c r="G29" s="8" t="s">
        <v>63</v>
      </c>
      <c r="H29" s="8" t="s">
        <v>2351</v>
      </c>
      <c r="I29" s="8" t="s">
        <v>2377</v>
      </c>
      <c r="J29" s="8" t="s">
        <v>2341</v>
      </c>
      <c r="K29" s="8" t="s">
        <v>2342</v>
      </c>
    </row>
    <row r="30" spans="1:11" ht="126">
      <c r="A30" s="4" t="s">
        <v>202</v>
      </c>
      <c r="B30" s="4" t="s">
        <v>32</v>
      </c>
      <c r="C30" s="8" t="s">
        <v>99</v>
      </c>
      <c r="D30" s="8" t="s">
        <v>99</v>
      </c>
      <c r="E30" s="8" t="s">
        <v>48</v>
      </c>
      <c r="F30" s="8" t="s">
        <v>99</v>
      </c>
      <c r="G30" s="8" t="s">
        <v>63</v>
      </c>
      <c r="H30" s="8" t="s">
        <v>2378</v>
      </c>
      <c r="I30" s="8" t="s">
        <v>2377</v>
      </c>
      <c r="J30" s="8" t="s">
        <v>2341</v>
      </c>
      <c r="K30" s="8" t="s">
        <v>2342</v>
      </c>
    </row>
    <row r="31" spans="1:11" ht="47.25">
      <c r="A31" s="4" t="s">
        <v>202</v>
      </c>
      <c r="B31" s="4" t="s">
        <v>1090</v>
      </c>
      <c r="C31" s="8" t="s">
        <v>2353</v>
      </c>
      <c r="D31" s="8" t="s">
        <v>2353</v>
      </c>
      <c r="E31" s="8" t="s">
        <v>48</v>
      </c>
      <c r="F31" s="8" t="s">
        <v>2353</v>
      </c>
      <c r="G31" s="8" t="s">
        <v>63</v>
      </c>
      <c r="H31" s="8" t="s">
        <v>2354</v>
      </c>
      <c r="I31" s="8" t="s">
        <v>1617</v>
      </c>
      <c r="J31" s="8" t="s">
        <v>2341</v>
      </c>
      <c r="K31" s="8" t="s">
        <v>2342</v>
      </c>
    </row>
    <row r="32" spans="1:11" ht="141.75">
      <c r="A32" s="4" t="s">
        <v>202</v>
      </c>
      <c r="B32" s="4" t="s">
        <v>1091</v>
      </c>
      <c r="C32" s="8" t="s">
        <v>2355</v>
      </c>
      <c r="D32" s="8" t="s">
        <v>2355</v>
      </c>
      <c r="E32" s="8" t="s">
        <v>48</v>
      </c>
      <c r="F32" s="8" t="s">
        <v>2355</v>
      </c>
      <c r="G32" s="8" t="s">
        <v>63</v>
      </c>
      <c r="H32" s="8" t="s">
        <v>2379</v>
      </c>
      <c r="I32" s="8" t="s">
        <v>2380</v>
      </c>
      <c r="J32" s="8" t="s">
        <v>2341</v>
      </c>
      <c r="K32" s="8" t="s">
        <v>2342</v>
      </c>
    </row>
    <row r="33" spans="1:11" ht="47.25">
      <c r="A33" s="4" t="s">
        <v>202</v>
      </c>
      <c r="B33" s="4" t="s">
        <v>35</v>
      </c>
      <c r="C33" s="8" t="s">
        <v>65</v>
      </c>
      <c r="D33" s="8" t="s">
        <v>65</v>
      </c>
      <c r="E33" s="8" t="s">
        <v>48</v>
      </c>
      <c r="F33" s="8" t="s">
        <v>65</v>
      </c>
      <c r="G33" s="8" t="s">
        <v>63</v>
      </c>
      <c r="H33" s="8" t="s">
        <v>2371</v>
      </c>
      <c r="I33" s="8" t="s">
        <v>2381</v>
      </c>
      <c r="J33" s="8" t="s">
        <v>2341</v>
      </c>
      <c r="K33" s="8" t="s">
        <v>2342</v>
      </c>
    </row>
    <row r="34" spans="1:11" ht="47.25">
      <c r="A34" s="4" t="s">
        <v>211</v>
      </c>
      <c r="B34" s="4" t="s">
        <v>1028</v>
      </c>
      <c r="C34" s="8" t="s">
        <v>41</v>
      </c>
      <c r="D34" s="8" t="s">
        <v>41</v>
      </c>
      <c r="E34" s="8" t="s">
        <v>48</v>
      </c>
      <c r="F34" s="8" t="s">
        <v>41</v>
      </c>
      <c r="G34" s="8" t="s">
        <v>63</v>
      </c>
      <c r="H34" s="8" t="s">
        <v>2339</v>
      </c>
      <c r="I34" s="8" t="s">
        <v>2382</v>
      </c>
      <c r="J34" s="8" t="s">
        <v>2341</v>
      </c>
      <c r="K34" s="8" t="s">
        <v>2342</v>
      </c>
    </row>
    <row r="35" spans="1:11" ht="47.25">
      <c r="A35" s="4" t="s">
        <v>211</v>
      </c>
      <c r="B35" s="4" t="s">
        <v>1030</v>
      </c>
      <c r="C35" s="8" t="s">
        <v>57</v>
      </c>
      <c r="D35" s="8" t="s">
        <v>57</v>
      </c>
      <c r="E35" s="8" t="s">
        <v>48</v>
      </c>
      <c r="F35" s="8" t="s">
        <v>57</v>
      </c>
      <c r="G35" s="8" t="s">
        <v>63</v>
      </c>
      <c r="H35" s="8" t="s">
        <v>2343</v>
      </c>
      <c r="I35" s="8" t="s">
        <v>2383</v>
      </c>
      <c r="J35" s="8" t="s">
        <v>2341</v>
      </c>
      <c r="K35" s="8" t="s">
        <v>2342</v>
      </c>
    </row>
    <row r="36" spans="1:11" ht="47.25">
      <c r="A36" s="4" t="s">
        <v>211</v>
      </c>
      <c r="B36" s="4" t="s">
        <v>1032</v>
      </c>
      <c r="C36" s="8" t="s">
        <v>95</v>
      </c>
      <c r="D36" s="8" t="s">
        <v>95</v>
      </c>
      <c r="E36" s="8" t="s">
        <v>48</v>
      </c>
      <c r="F36" s="8" t="s">
        <v>95</v>
      </c>
      <c r="G36" s="8" t="s">
        <v>63</v>
      </c>
      <c r="H36" s="8" t="s">
        <v>2384</v>
      </c>
      <c r="I36" s="8" t="s">
        <v>2385</v>
      </c>
      <c r="J36" s="8" t="s">
        <v>2341</v>
      </c>
      <c r="K36" s="8" t="s">
        <v>2342</v>
      </c>
    </row>
    <row r="37" spans="1:11" ht="47.25">
      <c r="A37" s="4" t="s">
        <v>211</v>
      </c>
      <c r="B37" s="4" t="s">
        <v>1034</v>
      </c>
      <c r="C37" s="8" t="s">
        <v>59</v>
      </c>
      <c r="D37" s="8" t="s">
        <v>59</v>
      </c>
      <c r="E37" s="8" t="s">
        <v>48</v>
      </c>
      <c r="F37" s="8" t="s">
        <v>59</v>
      </c>
      <c r="G37" s="8" t="s">
        <v>63</v>
      </c>
      <c r="H37" s="8" t="s">
        <v>2364</v>
      </c>
      <c r="I37" s="8" t="s">
        <v>2386</v>
      </c>
      <c r="J37" s="8" t="s">
        <v>2341</v>
      </c>
      <c r="K37" s="8" t="s">
        <v>2342</v>
      </c>
    </row>
    <row r="38" spans="1:11" ht="47.25">
      <c r="A38" s="4" t="s">
        <v>211</v>
      </c>
      <c r="B38" s="4" t="s">
        <v>1038</v>
      </c>
      <c r="C38" s="8" t="s">
        <v>88</v>
      </c>
      <c r="D38" s="8" t="s">
        <v>88</v>
      </c>
      <c r="E38" s="8" t="s">
        <v>48</v>
      </c>
      <c r="F38" s="8" t="s">
        <v>88</v>
      </c>
      <c r="G38" s="8" t="s">
        <v>63</v>
      </c>
      <c r="H38" s="8" t="s">
        <v>2387</v>
      </c>
      <c r="I38" s="8" t="s">
        <v>2388</v>
      </c>
      <c r="J38" s="8" t="s">
        <v>2341</v>
      </c>
      <c r="K38" s="8" t="s">
        <v>2342</v>
      </c>
    </row>
    <row r="39" spans="1:11" ht="47.25">
      <c r="A39" s="4" t="s">
        <v>211</v>
      </c>
      <c r="B39" s="4" t="s">
        <v>1041</v>
      </c>
      <c r="C39" s="8" t="s">
        <v>49</v>
      </c>
      <c r="D39" s="8" t="s">
        <v>49</v>
      </c>
      <c r="E39" s="8" t="s">
        <v>48</v>
      </c>
      <c r="F39" s="8" t="s">
        <v>49</v>
      </c>
      <c r="G39" s="8" t="s">
        <v>63</v>
      </c>
      <c r="H39" s="8" t="s">
        <v>2351</v>
      </c>
      <c r="I39" s="8" t="s">
        <v>2388</v>
      </c>
      <c r="J39" s="8" t="s">
        <v>2341</v>
      </c>
      <c r="K39" s="8" t="s">
        <v>2342</v>
      </c>
    </row>
    <row r="40" spans="1:11" ht="110.25">
      <c r="A40" s="4" t="s">
        <v>211</v>
      </c>
      <c r="B40" s="4" t="s">
        <v>32</v>
      </c>
      <c r="C40" s="8" t="s">
        <v>77</v>
      </c>
      <c r="D40" s="8" t="s">
        <v>77</v>
      </c>
      <c r="E40" s="8" t="s">
        <v>48</v>
      </c>
      <c r="F40" s="8" t="s">
        <v>77</v>
      </c>
      <c r="G40" s="8" t="s">
        <v>63</v>
      </c>
      <c r="H40" s="8" t="s">
        <v>2389</v>
      </c>
      <c r="I40" s="8" t="s">
        <v>2388</v>
      </c>
      <c r="J40" s="8" t="s">
        <v>2341</v>
      </c>
      <c r="K40" s="8" t="s">
        <v>2342</v>
      </c>
    </row>
    <row r="41" spans="1:11" ht="47.25">
      <c r="A41" s="4" t="s">
        <v>211</v>
      </c>
      <c r="B41" s="4" t="s">
        <v>1090</v>
      </c>
      <c r="C41" s="8" t="s">
        <v>2353</v>
      </c>
      <c r="D41" s="8" t="s">
        <v>2353</v>
      </c>
      <c r="E41" s="8" t="s">
        <v>48</v>
      </c>
      <c r="F41" s="8" t="s">
        <v>2353</v>
      </c>
      <c r="G41" s="8" t="s">
        <v>63</v>
      </c>
      <c r="H41" s="8" t="s">
        <v>2354</v>
      </c>
      <c r="I41" s="8" t="s">
        <v>1617</v>
      </c>
      <c r="J41" s="8" t="s">
        <v>2341</v>
      </c>
      <c r="K41" s="8" t="s">
        <v>2342</v>
      </c>
    </row>
    <row r="42" spans="1:11" ht="141.75">
      <c r="A42" s="4" t="s">
        <v>211</v>
      </c>
      <c r="B42" s="4" t="s">
        <v>1091</v>
      </c>
      <c r="C42" s="8" t="s">
        <v>2390</v>
      </c>
      <c r="D42" s="8" t="s">
        <v>2390</v>
      </c>
      <c r="E42" s="8" t="s">
        <v>48</v>
      </c>
      <c r="F42" s="8" t="s">
        <v>2390</v>
      </c>
      <c r="G42" s="8" t="s">
        <v>63</v>
      </c>
      <c r="H42" s="8" t="s">
        <v>2391</v>
      </c>
      <c r="I42" s="8" t="s">
        <v>2392</v>
      </c>
      <c r="J42" s="8" t="s">
        <v>2341</v>
      </c>
      <c r="K42" s="8" t="s">
        <v>2342</v>
      </c>
    </row>
    <row r="43" spans="1:11" ht="47.25">
      <c r="A43" s="4" t="s">
        <v>211</v>
      </c>
      <c r="B43" s="4" t="s">
        <v>35</v>
      </c>
      <c r="C43" s="8" t="s">
        <v>50</v>
      </c>
      <c r="D43" s="8" t="s">
        <v>50</v>
      </c>
      <c r="E43" s="8" t="s">
        <v>48</v>
      </c>
      <c r="F43" s="8" t="s">
        <v>50</v>
      </c>
      <c r="G43" s="8" t="s">
        <v>63</v>
      </c>
      <c r="H43" s="8" t="s">
        <v>2358</v>
      </c>
      <c r="I43" s="8" t="s">
        <v>2393</v>
      </c>
      <c r="J43" s="8" t="s">
        <v>2341</v>
      </c>
      <c r="K43" s="8" t="s">
        <v>2342</v>
      </c>
    </row>
    <row r="44" spans="1:11" ht="47.25">
      <c r="A44" s="4" t="s">
        <v>221</v>
      </c>
      <c r="B44" s="4" t="s">
        <v>1028</v>
      </c>
      <c r="C44" s="8" t="s">
        <v>41</v>
      </c>
      <c r="D44" s="8" t="s">
        <v>41</v>
      </c>
      <c r="E44" s="8" t="s">
        <v>48</v>
      </c>
      <c r="F44" s="8" t="s">
        <v>41</v>
      </c>
      <c r="G44" s="8" t="s">
        <v>63</v>
      </c>
      <c r="H44" s="8" t="s">
        <v>2339</v>
      </c>
      <c r="I44" s="8" t="s">
        <v>2394</v>
      </c>
      <c r="J44" s="8" t="s">
        <v>2341</v>
      </c>
      <c r="K44" s="8" t="s">
        <v>2342</v>
      </c>
    </row>
    <row r="45" spans="1:11" ht="47.25">
      <c r="A45" s="4" t="s">
        <v>221</v>
      </c>
      <c r="B45" s="4" t="s">
        <v>1030</v>
      </c>
      <c r="C45" s="8" t="s">
        <v>57</v>
      </c>
      <c r="D45" s="8" t="s">
        <v>57</v>
      </c>
      <c r="E45" s="8" t="s">
        <v>48</v>
      </c>
      <c r="F45" s="8" t="s">
        <v>57</v>
      </c>
      <c r="G45" s="8" t="s">
        <v>63</v>
      </c>
      <c r="H45" s="8" t="s">
        <v>2343</v>
      </c>
      <c r="I45" s="8" t="s">
        <v>2395</v>
      </c>
      <c r="J45" s="8" t="s">
        <v>2341</v>
      </c>
      <c r="K45" s="8" t="s">
        <v>2342</v>
      </c>
    </row>
    <row r="46" spans="1:11" ht="47.25">
      <c r="A46" s="4" t="s">
        <v>221</v>
      </c>
      <c r="B46" s="4" t="s">
        <v>1032</v>
      </c>
      <c r="C46" s="8" t="s">
        <v>104</v>
      </c>
      <c r="D46" s="8" t="s">
        <v>104</v>
      </c>
      <c r="E46" s="8" t="s">
        <v>48</v>
      </c>
      <c r="F46" s="8" t="s">
        <v>104</v>
      </c>
      <c r="G46" s="8" t="s">
        <v>63</v>
      </c>
      <c r="H46" s="8" t="s">
        <v>2396</v>
      </c>
      <c r="I46" s="8" t="s">
        <v>2397</v>
      </c>
      <c r="J46" s="8" t="s">
        <v>2341</v>
      </c>
      <c r="K46" s="8" t="s">
        <v>2342</v>
      </c>
    </row>
    <row r="47" spans="1:11" ht="47.25">
      <c r="A47" s="4" t="s">
        <v>221</v>
      </c>
      <c r="B47" s="4" t="s">
        <v>1034</v>
      </c>
      <c r="C47" s="8" t="s">
        <v>59</v>
      </c>
      <c r="D47" s="8" t="s">
        <v>59</v>
      </c>
      <c r="E47" s="8" t="s">
        <v>48</v>
      </c>
      <c r="F47" s="8" t="s">
        <v>59</v>
      </c>
      <c r="G47" s="8" t="s">
        <v>63</v>
      </c>
      <c r="H47" s="8" t="s">
        <v>2364</v>
      </c>
      <c r="I47" s="8" t="s">
        <v>2398</v>
      </c>
      <c r="J47" s="8" t="s">
        <v>2341</v>
      </c>
      <c r="K47" s="8" t="s">
        <v>2342</v>
      </c>
    </row>
    <row r="48" spans="1:11" ht="47.25">
      <c r="A48" s="4" t="s">
        <v>221</v>
      </c>
      <c r="B48" s="4" t="s">
        <v>1038</v>
      </c>
      <c r="C48" s="8" t="s">
        <v>98</v>
      </c>
      <c r="D48" s="8" t="s">
        <v>98</v>
      </c>
      <c r="E48" s="8" t="s">
        <v>48</v>
      </c>
      <c r="F48" s="8" t="s">
        <v>98</v>
      </c>
      <c r="G48" s="8" t="s">
        <v>63</v>
      </c>
      <c r="H48" s="8" t="s">
        <v>2366</v>
      </c>
      <c r="I48" s="8" t="s">
        <v>2399</v>
      </c>
      <c r="J48" s="8" t="s">
        <v>2341</v>
      </c>
      <c r="K48" s="8" t="s">
        <v>2342</v>
      </c>
    </row>
    <row r="49" spans="1:11" ht="47.25">
      <c r="A49" s="4" t="s">
        <v>221</v>
      </c>
      <c r="B49" s="4" t="s">
        <v>1041</v>
      </c>
      <c r="C49" s="8" t="s">
        <v>49</v>
      </c>
      <c r="D49" s="8" t="s">
        <v>49</v>
      </c>
      <c r="E49" s="8" t="s">
        <v>48</v>
      </c>
      <c r="F49" s="8" t="s">
        <v>49</v>
      </c>
      <c r="G49" s="8" t="s">
        <v>63</v>
      </c>
      <c r="H49" s="8" t="s">
        <v>2351</v>
      </c>
      <c r="I49" s="8" t="s">
        <v>2399</v>
      </c>
      <c r="J49" s="8" t="s">
        <v>2341</v>
      </c>
      <c r="K49" s="8" t="s">
        <v>2342</v>
      </c>
    </row>
    <row r="50" spans="1:11" ht="110.25">
      <c r="A50" s="4" t="s">
        <v>221</v>
      </c>
      <c r="B50" s="4" t="s">
        <v>32</v>
      </c>
      <c r="C50" s="8" t="s">
        <v>89</v>
      </c>
      <c r="D50" s="8" t="s">
        <v>89</v>
      </c>
      <c r="E50" s="8" t="s">
        <v>48</v>
      </c>
      <c r="F50" s="8" t="s">
        <v>89</v>
      </c>
      <c r="G50" s="8" t="s">
        <v>63</v>
      </c>
      <c r="H50" s="8" t="s">
        <v>2400</v>
      </c>
      <c r="I50" s="8" t="s">
        <v>2399</v>
      </c>
      <c r="J50" s="8" t="s">
        <v>2341</v>
      </c>
      <c r="K50" s="8" t="s">
        <v>2342</v>
      </c>
    </row>
    <row r="51" spans="1:11" ht="47.25">
      <c r="A51" s="4" t="s">
        <v>221</v>
      </c>
      <c r="B51" s="4" t="s">
        <v>1090</v>
      </c>
      <c r="C51" s="8" t="s">
        <v>2353</v>
      </c>
      <c r="D51" s="8" t="s">
        <v>2353</v>
      </c>
      <c r="E51" s="8" t="s">
        <v>48</v>
      </c>
      <c r="F51" s="8" t="s">
        <v>2353</v>
      </c>
      <c r="G51" s="8" t="s">
        <v>63</v>
      </c>
      <c r="H51" s="8" t="s">
        <v>2354</v>
      </c>
      <c r="I51" s="8" t="s">
        <v>1617</v>
      </c>
      <c r="J51" s="8" t="s">
        <v>2341</v>
      </c>
      <c r="K51" s="8" t="s">
        <v>2342</v>
      </c>
    </row>
    <row r="52" spans="1:11" ht="141.75">
      <c r="A52" s="4" t="s">
        <v>221</v>
      </c>
      <c r="B52" s="4" t="s">
        <v>1091</v>
      </c>
      <c r="C52" s="8" t="s">
        <v>2401</v>
      </c>
      <c r="D52" s="8" t="s">
        <v>2401</v>
      </c>
      <c r="E52" s="8" t="s">
        <v>48</v>
      </c>
      <c r="F52" s="8" t="s">
        <v>2401</v>
      </c>
      <c r="G52" s="8" t="s">
        <v>63</v>
      </c>
      <c r="H52" s="8" t="s">
        <v>2402</v>
      </c>
      <c r="I52" s="8" t="s">
        <v>2403</v>
      </c>
      <c r="J52" s="8" t="s">
        <v>2341</v>
      </c>
      <c r="K52" s="8" t="s">
        <v>2342</v>
      </c>
    </row>
    <row r="53" spans="1:11" ht="47.25">
      <c r="A53" s="4" t="s">
        <v>221</v>
      </c>
      <c r="B53" s="4" t="s">
        <v>35</v>
      </c>
      <c r="C53" s="8" t="s">
        <v>50</v>
      </c>
      <c r="D53" s="8" t="s">
        <v>50</v>
      </c>
      <c r="E53" s="8" t="s">
        <v>48</v>
      </c>
      <c r="F53" s="8" t="s">
        <v>50</v>
      </c>
      <c r="G53" s="8" t="s">
        <v>63</v>
      </c>
      <c r="H53" s="8" t="s">
        <v>2358</v>
      </c>
      <c r="I53" s="8" t="s">
        <v>2404</v>
      </c>
      <c r="J53" s="8" t="s">
        <v>2341</v>
      </c>
      <c r="K53" s="8" t="s">
        <v>2342</v>
      </c>
    </row>
    <row r="54" spans="1:11" ht="47.25">
      <c r="A54" s="4" t="s">
        <v>230</v>
      </c>
      <c r="B54" s="4" t="s">
        <v>1028</v>
      </c>
      <c r="C54" s="8" t="s">
        <v>41</v>
      </c>
      <c r="D54" s="8" t="s">
        <v>41</v>
      </c>
      <c r="E54" s="8" t="s">
        <v>48</v>
      </c>
      <c r="F54" s="8" t="s">
        <v>41</v>
      </c>
      <c r="G54" s="8" t="s">
        <v>63</v>
      </c>
      <c r="H54" s="8" t="s">
        <v>2339</v>
      </c>
      <c r="I54" s="8" t="s">
        <v>2405</v>
      </c>
      <c r="J54" s="8" t="s">
        <v>2341</v>
      </c>
      <c r="K54" s="8" t="s">
        <v>2342</v>
      </c>
    </row>
    <row r="55" spans="1:11" ht="47.25">
      <c r="A55" s="4" t="s">
        <v>230</v>
      </c>
      <c r="B55" s="4" t="s">
        <v>1030</v>
      </c>
      <c r="C55" s="8" t="s">
        <v>57</v>
      </c>
      <c r="D55" s="8" t="s">
        <v>57</v>
      </c>
      <c r="E55" s="8" t="s">
        <v>48</v>
      </c>
      <c r="F55" s="8" t="s">
        <v>57</v>
      </c>
      <c r="G55" s="8" t="s">
        <v>63</v>
      </c>
      <c r="H55" s="8" t="s">
        <v>2343</v>
      </c>
      <c r="I55" s="8" t="s">
        <v>2406</v>
      </c>
      <c r="J55" s="8" t="s">
        <v>2341</v>
      </c>
      <c r="K55" s="8" t="s">
        <v>2342</v>
      </c>
    </row>
    <row r="56" spans="1:11" ht="47.25">
      <c r="A56" s="4" t="s">
        <v>230</v>
      </c>
      <c r="B56" s="4" t="s">
        <v>1032</v>
      </c>
      <c r="C56" s="8" t="s">
        <v>85</v>
      </c>
      <c r="D56" s="8" t="s">
        <v>85</v>
      </c>
      <c r="E56" s="8" t="s">
        <v>48</v>
      </c>
      <c r="F56" s="8" t="s">
        <v>85</v>
      </c>
      <c r="G56" s="8" t="s">
        <v>63</v>
      </c>
      <c r="H56" s="8" t="s">
        <v>2362</v>
      </c>
      <c r="I56" s="8" t="s">
        <v>2407</v>
      </c>
      <c r="J56" s="8" t="s">
        <v>2341</v>
      </c>
      <c r="K56" s="8" t="s">
        <v>2342</v>
      </c>
    </row>
    <row r="57" spans="1:11" ht="47.25">
      <c r="A57" s="4" t="s">
        <v>230</v>
      </c>
      <c r="B57" s="4" t="s">
        <v>1034</v>
      </c>
      <c r="C57" s="8" t="s">
        <v>59</v>
      </c>
      <c r="D57" s="8" t="s">
        <v>59</v>
      </c>
      <c r="E57" s="8" t="s">
        <v>48</v>
      </c>
      <c r="F57" s="8" t="s">
        <v>59</v>
      </c>
      <c r="G57" s="8" t="s">
        <v>63</v>
      </c>
      <c r="H57" s="8" t="s">
        <v>2364</v>
      </c>
      <c r="I57" s="8" t="s">
        <v>2408</v>
      </c>
      <c r="J57" s="8" t="s">
        <v>2341</v>
      </c>
      <c r="K57" s="8" t="s">
        <v>2342</v>
      </c>
    </row>
    <row r="58" spans="1:11" ht="47.25">
      <c r="A58" s="4" t="s">
        <v>230</v>
      </c>
      <c r="B58" s="4" t="s">
        <v>1038</v>
      </c>
      <c r="C58" s="8" t="s">
        <v>98</v>
      </c>
      <c r="D58" s="8" t="s">
        <v>98</v>
      </c>
      <c r="E58" s="8" t="s">
        <v>48</v>
      </c>
      <c r="F58" s="8" t="s">
        <v>98</v>
      </c>
      <c r="G58" s="8" t="s">
        <v>63</v>
      </c>
      <c r="H58" s="8" t="s">
        <v>2366</v>
      </c>
      <c r="I58" s="8" t="s">
        <v>2409</v>
      </c>
      <c r="J58" s="8" t="s">
        <v>2341</v>
      </c>
      <c r="K58" s="8" t="s">
        <v>2342</v>
      </c>
    </row>
    <row r="59" spans="1:11" ht="47.25">
      <c r="A59" s="4" t="s">
        <v>230</v>
      </c>
      <c r="B59" s="4" t="s">
        <v>1041</v>
      </c>
      <c r="C59" s="8" t="s">
        <v>49</v>
      </c>
      <c r="D59" s="8" t="s">
        <v>49</v>
      </c>
      <c r="E59" s="8" t="s">
        <v>48</v>
      </c>
      <c r="F59" s="8" t="s">
        <v>49</v>
      </c>
      <c r="G59" s="8" t="s">
        <v>63</v>
      </c>
      <c r="H59" s="8" t="s">
        <v>2351</v>
      </c>
      <c r="I59" s="8" t="s">
        <v>2409</v>
      </c>
      <c r="J59" s="8" t="s">
        <v>2341</v>
      </c>
      <c r="K59" s="8" t="s">
        <v>2342</v>
      </c>
    </row>
    <row r="60" spans="1:11" ht="126">
      <c r="A60" s="4" t="s">
        <v>230</v>
      </c>
      <c r="B60" s="4" t="s">
        <v>32</v>
      </c>
      <c r="C60" s="8" t="s">
        <v>99</v>
      </c>
      <c r="D60" s="8" t="s">
        <v>99</v>
      </c>
      <c r="E60" s="8" t="s">
        <v>48</v>
      </c>
      <c r="F60" s="8" t="s">
        <v>99</v>
      </c>
      <c r="G60" s="8" t="s">
        <v>63</v>
      </c>
      <c r="H60" s="8" t="s">
        <v>2410</v>
      </c>
      <c r="I60" s="8" t="s">
        <v>2409</v>
      </c>
      <c r="J60" s="8" t="s">
        <v>2341</v>
      </c>
      <c r="K60" s="8" t="s">
        <v>2342</v>
      </c>
    </row>
    <row r="61" spans="1:11" ht="47.25">
      <c r="A61" s="4" t="s">
        <v>230</v>
      </c>
      <c r="B61" s="4" t="s">
        <v>1090</v>
      </c>
      <c r="C61" s="8" t="s">
        <v>2353</v>
      </c>
      <c r="D61" s="8" t="s">
        <v>2353</v>
      </c>
      <c r="E61" s="8" t="s">
        <v>48</v>
      </c>
      <c r="F61" s="8" t="s">
        <v>2353</v>
      </c>
      <c r="G61" s="8" t="s">
        <v>63</v>
      </c>
      <c r="H61" s="8" t="s">
        <v>2354</v>
      </c>
      <c r="I61" s="8" t="s">
        <v>1617</v>
      </c>
      <c r="J61" s="8" t="s">
        <v>2341</v>
      </c>
      <c r="K61" s="8" t="s">
        <v>2342</v>
      </c>
    </row>
    <row r="62" spans="1:11" ht="141.75">
      <c r="A62" s="4" t="s">
        <v>230</v>
      </c>
      <c r="B62" s="4" t="s">
        <v>1091</v>
      </c>
      <c r="C62" s="8" t="s">
        <v>2355</v>
      </c>
      <c r="D62" s="8" t="s">
        <v>2355</v>
      </c>
      <c r="E62" s="8" t="s">
        <v>48</v>
      </c>
      <c r="F62" s="8" t="s">
        <v>2355</v>
      </c>
      <c r="G62" s="8" t="s">
        <v>63</v>
      </c>
      <c r="H62" s="8" t="s">
        <v>2411</v>
      </c>
      <c r="I62" s="8" t="s">
        <v>2412</v>
      </c>
      <c r="J62" s="8" t="s">
        <v>2341</v>
      </c>
      <c r="K62" s="8" t="s">
        <v>2342</v>
      </c>
    </row>
    <row r="63" spans="1:11" ht="47.25">
      <c r="A63" s="4" t="s">
        <v>230</v>
      </c>
      <c r="B63" s="4" t="s">
        <v>35</v>
      </c>
      <c r="C63" s="8" t="s">
        <v>65</v>
      </c>
      <c r="D63" s="8" t="s">
        <v>65</v>
      </c>
      <c r="E63" s="8" t="s">
        <v>48</v>
      </c>
      <c r="F63" s="8" t="s">
        <v>65</v>
      </c>
      <c r="G63" s="8" t="s">
        <v>63</v>
      </c>
      <c r="H63" s="8" t="s">
        <v>2371</v>
      </c>
      <c r="I63" s="8" t="s">
        <v>2413</v>
      </c>
      <c r="J63" s="8" t="s">
        <v>2341</v>
      </c>
      <c r="K63" s="8" t="s">
        <v>2342</v>
      </c>
    </row>
    <row r="64" spans="1:11" ht="47.25">
      <c r="A64" s="4" t="s">
        <v>240</v>
      </c>
      <c r="B64" s="4" t="s">
        <v>1028</v>
      </c>
      <c r="C64" s="8" t="s">
        <v>41</v>
      </c>
      <c r="D64" s="8" t="s">
        <v>41</v>
      </c>
      <c r="E64" s="8" t="s">
        <v>48</v>
      </c>
      <c r="F64" s="8" t="s">
        <v>41</v>
      </c>
      <c r="G64" s="8" t="s">
        <v>63</v>
      </c>
      <c r="H64" s="8" t="s">
        <v>2339</v>
      </c>
      <c r="I64" s="8" t="s">
        <v>2414</v>
      </c>
      <c r="J64" s="8" t="s">
        <v>2341</v>
      </c>
      <c r="K64" s="8" t="s">
        <v>2342</v>
      </c>
    </row>
    <row r="65" spans="1:11" ht="47.25">
      <c r="A65" s="4" t="s">
        <v>240</v>
      </c>
      <c r="B65" s="4" t="s">
        <v>1030</v>
      </c>
      <c r="C65" s="8" t="s">
        <v>57</v>
      </c>
      <c r="D65" s="8" t="s">
        <v>57</v>
      </c>
      <c r="E65" s="8" t="s">
        <v>48</v>
      </c>
      <c r="F65" s="8" t="s">
        <v>57</v>
      </c>
      <c r="G65" s="8" t="s">
        <v>63</v>
      </c>
      <c r="H65" s="8" t="s">
        <v>2343</v>
      </c>
      <c r="I65" s="8" t="s">
        <v>2415</v>
      </c>
      <c r="J65" s="8" t="s">
        <v>2341</v>
      </c>
      <c r="K65" s="8" t="s">
        <v>2342</v>
      </c>
    </row>
    <row r="66" spans="1:11" ht="47.25">
      <c r="A66" s="4" t="s">
        <v>240</v>
      </c>
      <c r="B66" s="4" t="s">
        <v>1032</v>
      </c>
      <c r="C66" s="8" t="s">
        <v>73</v>
      </c>
      <c r="D66" s="8" t="s">
        <v>73</v>
      </c>
      <c r="E66" s="8" t="s">
        <v>48</v>
      </c>
      <c r="F66" s="8" t="s">
        <v>73</v>
      </c>
      <c r="G66" s="8" t="s">
        <v>63</v>
      </c>
      <c r="H66" s="8" t="s">
        <v>2416</v>
      </c>
      <c r="I66" s="8" t="s">
        <v>2417</v>
      </c>
      <c r="J66" s="8" t="s">
        <v>2341</v>
      </c>
      <c r="K66" s="8" t="s">
        <v>2342</v>
      </c>
    </row>
    <row r="67" spans="1:11" ht="47.25">
      <c r="A67" s="4" t="s">
        <v>240</v>
      </c>
      <c r="B67" s="4" t="s">
        <v>1034</v>
      </c>
      <c r="C67" s="8" t="s">
        <v>59</v>
      </c>
      <c r="D67" s="8" t="s">
        <v>59</v>
      </c>
      <c r="E67" s="8" t="s">
        <v>48</v>
      </c>
      <c r="F67" s="8" t="s">
        <v>59</v>
      </c>
      <c r="G67" s="8" t="s">
        <v>63</v>
      </c>
      <c r="H67" s="8" t="s">
        <v>2364</v>
      </c>
      <c r="I67" s="8" t="s">
        <v>2418</v>
      </c>
      <c r="J67" s="8" t="s">
        <v>2341</v>
      </c>
      <c r="K67" s="8" t="s">
        <v>2342</v>
      </c>
    </row>
    <row r="68" spans="1:11" ht="47.25">
      <c r="A68" s="4" t="s">
        <v>240</v>
      </c>
      <c r="B68" s="4" t="s">
        <v>1038</v>
      </c>
      <c r="C68" s="8" t="s">
        <v>88</v>
      </c>
      <c r="D68" s="8" t="s">
        <v>88</v>
      </c>
      <c r="E68" s="8" t="s">
        <v>48</v>
      </c>
      <c r="F68" s="8" t="s">
        <v>88</v>
      </c>
      <c r="G68" s="8" t="s">
        <v>63</v>
      </c>
      <c r="H68" s="8" t="s">
        <v>2387</v>
      </c>
      <c r="I68" s="8" t="s">
        <v>2419</v>
      </c>
      <c r="J68" s="8" t="s">
        <v>2341</v>
      </c>
      <c r="K68" s="8" t="s">
        <v>2342</v>
      </c>
    </row>
    <row r="69" spans="1:11" ht="47.25">
      <c r="A69" s="4" t="s">
        <v>240</v>
      </c>
      <c r="B69" s="4" t="s">
        <v>1041</v>
      </c>
      <c r="C69" s="8" t="s">
        <v>49</v>
      </c>
      <c r="D69" s="8" t="s">
        <v>49</v>
      </c>
      <c r="E69" s="8" t="s">
        <v>48</v>
      </c>
      <c r="F69" s="8" t="s">
        <v>49</v>
      </c>
      <c r="G69" s="8" t="s">
        <v>63</v>
      </c>
      <c r="H69" s="8" t="s">
        <v>2351</v>
      </c>
      <c r="I69" s="8" t="s">
        <v>2419</v>
      </c>
      <c r="J69" s="8" t="s">
        <v>2341</v>
      </c>
      <c r="K69" s="8" t="s">
        <v>2342</v>
      </c>
    </row>
    <row r="70" spans="1:11" ht="94.5">
      <c r="A70" s="4" t="s">
        <v>240</v>
      </c>
      <c r="B70" s="4" t="s">
        <v>32</v>
      </c>
      <c r="C70" s="8" t="s">
        <v>77</v>
      </c>
      <c r="D70" s="8" t="s">
        <v>77</v>
      </c>
      <c r="E70" s="8" t="s">
        <v>48</v>
      </c>
      <c r="F70" s="8" t="s">
        <v>77</v>
      </c>
      <c r="G70" s="8" t="s">
        <v>63</v>
      </c>
      <c r="H70" s="8" t="s">
        <v>2420</v>
      </c>
      <c r="I70" s="8" t="s">
        <v>2419</v>
      </c>
      <c r="J70" s="8" t="s">
        <v>2341</v>
      </c>
      <c r="K70" s="8" t="s">
        <v>2342</v>
      </c>
    </row>
    <row r="71" spans="1:11" ht="47.25">
      <c r="A71" s="4" t="s">
        <v>240</v>
      </c>
      <c r="B71" s="4" t="s">
        <v>1090</v>
      </c>
      <c r="C71" s="8" t="s">
        <v>2353</v>
      </c>
      <c r="D71" s="8" t="s">
        <v>2353</v>
      </c>
      <c r="E71" s="8" t="s">
        <v>48</v>
      </c>
      <c r="F71" s="8" t="s">
        <v>2353</v>
      </c>
      <c r="G71" s="8" t="s">
        <v>63</v>
      </c>
      <c r="H71" s="8" t="s">
        <v>2354</v>
      </c>
      <c r="I71" s="8" t="s">
        <v>1617</v>
      </c>
      <c r="J71" s="8" t="s">
        <v>2341</v>
      </c>
      <c r="K71" s="8" t="s">
        <v>2342</v>
      </c>
    </row>
    <row r="72" spans="1:11" ht="141.75">
      <c r="A72" s="4" t="s">
        <v>240</v>
      </c>
      <c r="B72" s="4" t="s">
        <v>1091</v>
      </c>
      <c r="C72" s="8" t="s">
        <v>2390</v>
      </c>
      <c r="D72" s="8" t="s">
        <v>2390</v>
      </c>
      <c r="E72" s="8" t="s">
        <v>48</v>
      </c>
      <c r="F72" s="8" t="s">
        <v>2390</v>
      </c>
      <c r="G72" s="8" t="s">
        <v>63</v>
      </c>
      <c r="H72" s="8" t="s">
        <v>2421</v>
      </c>
      <c r="I72" s="8" t="s">
        <v>2422</v>
      </c>
      <c r="J72" s="8" t="s">
        <v>2341</v>
      </c>
      <c r="K72" s="8" t="s">
        <v>2342</v>
      </c>
    </row>
    <row r="73" spans="1:11" ht="47.25">
      <c r="A73" s="4" t="s">
        <v>240</v>
      </c>
      <c r="B73" s="4" t="s">
        <v>35</v>
      </c>
      <c r="C73" s="8" t="s">
        <v>65</v>
      </c>
      <c r="D73" s="8" t="s">
        <v>65</v>
      </c>
      <c r="E73" s="8" t="s">
        <v>48</v>
      </c>
      <c r="F73" s="8" t="s">
        <v>65</v>
      </c>
      <c r="G73" s="8" t="s">
        <v>63</v>
      </c>
      <c r="H73" s="8" t="s">
        <v>2371</v>
      </c>
      <c r="I73" s="8" t="s">
        <v>2423</v>
      </c>
      <c r="J73" s="8" t="s">
        <v>2341</v>
      </c>
      <c r="K73" s="8" t="s">
        <v>2342</v>
      </c>
    </row>
    <row r="74" spans="1:11" ht="47.25">
      <c r="A74" s="4" t="s">
        <v>250</v>
      </c>
      <c r="B74" s="4" t="s">
        <v>1028</v>
      </c>
      <c r="C74" s="8" t="s">
        <v>41</v>
      </c>
      <c r="D74" s="8" t="s">
        <v>41</v>
      </c>
      <c r="E74" s="8" t="s">
        <v>48</v>
      </c>
      <c r="F74" s="8" t="s">
        <v>41</v>
      </c>
      <c r="G74" s="8" t="s">
        <v>63</v>
      </c>
      <c r="H74" s="8" t="s">
        <v>2339</v>
      </c>
      <c r="I74" s="8" t="s">
        <v>2424</v>
      </c>
      <c r="J74" s="8" t="s">
        <v>2341</v>
      </c>
      <c r="K74" s="8" t="s">
        <v>2342</v>
      </c>
    </row>
    <row r="75" spans="1:11" ht="47.25">
      <c r="A75" s="4" t="s">
        <v>250</v>
      </c>
      <c r="B75" s="4" t="s">
        <v>1030</v>
      </c>
      <c r="C75" s="8" t="s">
        <v>57</v>
      </c>
      <c r="D75" s="8" t="s">
        <v>57</v>
      </c>
      <c r="E75" s="8" t="s">
        <v>48</v>
      </c>
      <c r="F75" s="8" t="s">
        <v>57</v>
      </c>
      <c r="G75" s="8" t="s">
        <v>63</v>
      </c>
      <c r="H75" s="8" t="s">
        <v>2343</v>
      </c>
      <c r="I75" s="8" t="s">
        <v>2425</v>
      </c>
      <c r="J75" s="8" t="s">
        <v>2341</v>
      </c>
      <c r="K75" s="8" t="s">
        <v>2342</v>
      </c>
    </row>
    <row r="76" spans="1:11" ht="47.25">
      <c r="A76" s="4" t="s">
        <v>250</v>
      </c>
      <c r="B76" s="4" t="s">
        <v>1032</v>
      </c>
      <c r="C76" s="8" t="s">
        <v>104</v>
      </c>
      <c r="D76" s="8" t="s">
        <v>104</v>
      </c>
      <c r="E76" s="8" t="s">
        <v>48</v>
      </c>
      <c r="F76" s="8" t="s">
        <v>104</v>
      </c>
      <c r="G76" s="8" t="s">
        <v>63</v>
      </c>
      <c r="H76" s="8" t="s">
        <v>2396</v>
      </c>
      <c r="I76" s="8" t="s">
        <v>2426</v>
      </c>
      <c r="J76" s="8" t="s">
        <v>2341</v>
      </c>
      <c r="K76" s="8" t="s">
        <v>2342</v>
      </c>
    </row>
    <row r="77" spans="1:11" ht="47.25">
      <c r="A77" s="4" t="s">
        <v>250</v>
      </c>
      <c r="B77" s="4" t="s">
        <v>1034</v>
      </c>
      <c r="C77" s="8" t="s">
        <v>59</v>
      </c>
      <c r="D77" s="8" t="s">
        <v>59</v>
      </c>
      <c r="E77" s="8" t="s">
        <v>48</v>
      </c>
      <c r="F77" s="8" t="s">
        <v>59</v>
      </c>
      <c r="G77" s="8" t="s">
        <v>63</v>
      </c>
      <c r="H77" s="8" t="s">
        <v>2364</v>
      </c>
      <c r="I77" s="8" t="s">
        <v>2427</v>
      </c>
      <c r="J77" s="8" t="s">
        <v>2341</v>
      </c>
      <c r="K77" s="8" t="s">
        <v>2342</v>
      </c>
    </row>
    <row r="78" spans="1:11" ht="47.25">
      <c r="A78" s="4" t="s">
        <v>250</v>
      </c>
      <c r="B78" s="4" t="s">
        <v>1038</v>
      </c>
      <c r="C78" s="8" t="s">
        <v>88</v>
      </c>
      <c r="D78" s="8" t="s">
        <v>88</v>
      </c>
      <c r="E78" s="8" t="s">
        <v>48</v>
      </c>
      <c r="F78" s="8" t="s">
        <v>88</v>
      </c>
      <c r="G78" s="8" t="s">
        <v>63</v>
      </c>
      <c r="H78" s="8" t="s">
        <v>2387</v>
      </c>
      <c r="I78" s="8" t="s">
        <v>2428</v>
      </c>
      <c r="J78" s="8" t="s">
        <v>2341</v>
      </c>
      <c r="K78" s="8" t="s">
        <v>2342</v>
      </c>
    </row>
    <row r="79" spans="1:11" ht="47.25">
      <c r="A79" s="4" t="s">
        <v>250</v>
      </c>
      <c r="B79" s="4" t="s">
        <v>1041</v>
      </c>
      <c r="C79" s="8" t="s">
        <v>49</v>
      </c>
      <c r="D79" s="8" t="s">
        <v>49</v>
      </c>
      <c r="E79" s="8" t="s">
        <v>48</v>
      </c>
      <c r="F79" s="8" t="s">
        <v>49</v>
      </c>
      <c r="G79" s="8" t="s">
        <v>63</v>
      </c>
      <c r="H79" s="8" t="s">
        <v>2351</v>
      </c>
      <c r="I79" s="8" t="s">
        <v>2428</v>
      </c>
      <c r="J79" s="8" t="s">
        <v>2341</v>
      </c>
      <c r="K79" s="8" t="s">
        <v>2342</v>
      </c>
    </row>
    <row r="80" spans="1:11" ht="110.25">
      <c r="A80" s="4" t="s">
        <v>250</v>
      </c>
      <c r="B80" s="4" t="s">
        <v>32</v>
      </c>
      <c r="C80" s="8" t="s">
        <v>77</v>
      </c>
      <c r="D80" s="8" t="s">
        <v>77</v>
      </c>
      <c r="E80" s="8" t="s">
        <v>48</v>
      </c>
      <c r="F80" s="8" t="s">
        <v>77</v>
      </c>
      <c r="G80" s="8" t="s">
        <v>63</v>
      </c>
      <c r="H80" s="8" t="s">
        <v>2429</v>
      </c>
      <c r="I80" s="8" t="s">
        <v>2428</v>
      </c>
      <c r="J80" s="8" t="s">
        <v>2341</v>
      </c>
      <c r="K80" s="8" t="s">
        <v>2342</v>
      </c>
    </row>
    <row r="81" spans="1:11" ht="47.25">
      <c r="A81" s="4" t="s">
        <v>250</v>
      </c>
      <c r="B81" s="4" t="s">
        <v>1090</v>
      </c>
      <c r="C81" s="8" t="s">
        <v>2353</v>
      </c>
      <c r="D81" s="8" t="s">
        <v>2353</v>
      </c>
      <c r="E81" s="8" t="s">
        <v>48</v>
      </c>
      <c r="F81" s="8" t="s">
        <v>2353</v>
      </c>
      <c r="G81" s="8" t="s">
        <v>63</v>
      </c>
      <c r="H81" s="8" t="s">
        <v>2354</v>
      </c>
      <c r="I81" s="8" t="s">
        <v>1617</v>
      </c>
      <c r="J81" s="8" t="s">
        <v>2341</v>
      </c>
      <c r="K81" s="8" t="s">
        <v>2342</v>
      </c>
    </row>
    <row r="82" spans="1:11" ht="141.75">
      <c r="A82" s="4" t="s">
        <v>250</v>
      </c>
      <c r="B82" s="4" t="s">
        <v>1091</v>
      </c>
      <c r="C82" s="8" t="s">
        <v>2390</v>
      </c>
      <c r="D82" s="8" t="s">
        <v>2390</v>
      </c>
      <c r="E82" s="8" t="s">
        <v>48</v>
      </c>
      <c r="F82" s="8" t="s">
        <v>2390</v>
      </c>
      <c r="G82" s="8" t="s">
        <v>63</v>
      </c>
      <c r="H82" s="8" t="s">
        <v>2430</v>
      </c>
      <c r="I82" s="8" t="s">
        <v>2431</v>
      </c>
      <c r="J82" s="8" t="s">
        <v>2341</v>
      </c>
      <c r="K82" s="8" t="s">
        <v>2342</v>
      </c>
    </row>
    <row r="83" spans="1:11" ht="47.25">
      <c r="A83" s="4" t="s">
        <v>250</v>
      </c>
      <c r="B83" s="4" t="s">
        <v>35</v>
      </c>
      <c r="C83" s="8" t="s">
        <v>50</v>
      </c>
      <c r="D83" s="8" t="s">
        <v>50</v>
      </c>
      <c r="E83" s="8" t="s">
        <v>48</v>
      </c>
      <c r="F83" s="8" t="s">
        <v>50</v>
      </c>
      <c r="G83" s="8" t="s">
        <v>63</v>
      </c>
      <c r="H83" s="8" t="s">
        <v>2358</v>
      </c>
      <c r="I83" s="8" t="s">
        <v>2432</v>
      </c>
      <c r="J83" s="8" t="s">
        <v>2341</v>
      </c>
      <c r="K83" s="8" t="s">
        <v>2342</v>
      </c>
    </row>
    <row r="84" spans="1:11" ht="47.25">
      <c r="A84" s="4" t="s">
        <v>259</v>
      </c>
      <c r="B84" s="4" t="s">
        <v>1028</v>
      </c>
      <c r="C84" s="8" t="s">
        <v>41</v>
      </c>
      <c r="D84" s="8" t="s">
        <v>41</v>
      </c>
      <c r="E84" s="8" t="s">
        <v>48</v>
      </c>
      <c r="F84" s="8" t="s">
        <v>41</v>
      </c>
      <c r="G84" s="8" t="s">
        <v>63</v>
      </c>
      <c r="H84" s="8" t="s">
        <v>2339</v>
      </c>
      <c r="I84" s="8" t="s">
        <v>2433</v>
      </c>
      <c r="J84" s="8" t="s">
        <v>2341</v>
      </c>
      <c r="K84" s="8" t="s">
        <v>2342</v>
      </c>
    </row>
    <row r="85" spans="1:11" ht="47.25">
      <c r="A85" s="4" t="s">
        <v>259</v>
      </c>
      <c r="B85" s="4" t="s">
        <v>1030</v>
      </c>
      <c r="C85" s="8" t="s">
        <v>57</v>
      </c>
      <c r="D85" s="8" t="s">
        <v>57</v>
      </c>
      <c r="E85" s="8" t="s">
        <v>48</v>
      </c>
      <c r="F85" s="8" t="s">
        <v>57</v>
      </c>
      <c r="G85" s="8" t="s">
        <v>63</v>
      </c>
      <c r="H85" s="8" t="s">
        <v>2343</v>
      </c>
      <c r="I85" s="8" t="s">
        <v>2434</v>
      </c>
      <c r="J85" s="8" t="s">
        <v>2341</v>
      </c>
      <c r="K85" s="8" t="s">
        <v>2342</v>
      </c>
    </row>
    <row r="86" spans="1:11" ht="47.25">
      <c r="A86" s="4" t="s">
        <v>259</v>
      </c>
      <c r="B86" s="4" t="s">
        <v>1032</v>
      </c>
      <c r="C86" s="8" t="s">
        <v>85</v>
      </c>
      <c r="D86" s="8" t="s">
        <v>85</v>
      </c>
      <c r="E86" s="8" t="s">
        <v>48</v>
      </c>
      <c r="F86" s="8" t="s">
        <v>85</v>
      </c>
      <c r="G86" s="8" t="s">
        <v>63</v>
      </c>
      <c r="H86" s="8" t="s">
        <v>2362</v>
      </c>
      <c r="I86" s="8" t="s">
        <v>2435</v>
      </c>
      <c r="J86" s="8" t="s">
        <v>2341</v>
      </c>
      <c r="K86" s="8" t="s">
        <v>2342</v>
      </c>
    </row>
    <row r="87" spans="1:11" ht="47.25">
      <c r="A87" s="4" t="s">
        <v>259</v>
      </c>
      <c r="B87" s="4" t="s">
        <v>1034</v>
      </c>
      <c r="C87" s="8" t="s">
        <v>59</v>
      </c>
      <c r="D87" s="8" t="s">
        <v>59</v>
      </c>
      <c r="E87" s="8" t="s">
        <v>48</v>
      </c>
      <c r="F87" s="8" t="s">
        <v>59</v>
      </c>
      <c r="G87" s="8" t="s">
        <v>63</v>
      </c>
      <c r="H87" s="8" t="s">
        <v>2364</v>
      </c>
      <c r="I87" s="8" t="s">
        <v>2436</v>
      </c>
      <c r="J87" s="8" t="s">
        <v>2341</v>
      </c>
      <c r="K87" s="8" t="s">
        <v>2342</v>
      </c>
    </row>
    <row r="88" spans="1:11" ht="47.25">
      <c r="A88" s="4" t="s">
        <v>259</v>
      </c>
      <c r="B88" s="4" t="s">
        <v>1038</v>
      </c>
      <c r="C88" s="8" t="s">
        <v>98</v>
      </c>
      <c r="D88" s="8" t="s">
        <v>98</v>
      </c>
      <c r="E88" s="8" t="s">
        <v>48</v>
      </c>
      <c r="F88" s="8" t="s">
        <v>98</v>
      </c>
      <c r="G88" s="8" t="s">
        <v>63</v>
      </c>
      <c r="H88" s="8" t="s">
        <v>2366</v>
      </c>
      <c r="I88" s="8" t="s">
        <v>2437</v>
      </c>
      <c r="J88" s="8" t="s">
        <v>2341</v>
      </c>
      <c r="K88" s="8" t="s">
        <v>2342</v>
      </c>
    </row>
    <row r="89" spans="1:11" ht="47.25">
      <c r="A89" s="4" t="s">
        <v>259</v>
      </c>
      <c r="B89" s="4" t="s">
        <v>1041</v>
      </c>
      <c r="C89" s="8" t="s">
        <v>49</v>
      </c>
      <c r="D89" s="8" t="s">
        <v>49</v>
      </c>
      <c r="E89" s="8" t="s">
        <v>48</v>
      </c>
      <c r="F89" s="8" t="s">
        <v>49</v>
      </c>
      <c r="G89" s="8" t="s">
        <v>63</v>
      </c>
      <c r="H89" s="8" t="s">
        <v>2351</v>
      </c>
      <c r="I89" s="8" t="s">
        <v>2437</v>
      </c>
      <c r="J89" s="8" t="s">
        <v>2341</v>
      </c>
      <c r="K89" s="8" t="s">
        <v>2342</v>
      </c>
    </row>
    <row r="90" spans="1:11" ht="126">
      <c r="A90" s="4" t="s">
        <v>259</v>
      </c>
      <c r="B90" s="4" t="s">
        <v>32</v>
      </c>
      <c r="C90" s="8" t="s">
        <v>99</v>
      </c>
      <c r="D90" s="8" t="s">
        <v>99</v>
      </c>
      <c r="E90" s="8" t="s">
        <v>48</v>
      </c>
      <c r="F90" s="8" t="s">
        <v>99</v>
      </c>
      <c r="G90" s="8" t="s">
        <v>63</v>
      </c>
      <c r="H90" s="8" t="s">
        <v>2438</v>
      </c>
      <c r="I90" s="8" t="s">
        <v>2437</v>
      </c>
      <c r="J90" s="8" t="s">
        <v>2341</v>
      </c>
      <c r="K90" s="8" t="s">
        <v>2342</v>
      </c>
    </row>
    <row r="91" spans="1:11" ht="47.25">
      <c r="A91" s="4" t="s">
        <v>259</v>
      </c>
      <c r="B91" s="4" t="s">
        <v>1090</v>
      </c>
      <c r="C91" s="8" t="s">
        <v>2353</v>
      </c>
      <c r="D91" s="8" t="s">
        <v>2353</v>
      </c>
      <c r="E91" s="8" t="s">
        <v>48</v>
      </c>
      <c r="F91" s="8" t="s">
        <v>2353</v>
      </c>
      <c r="G91" s="8" t="s">
        <v>63</v>
      </c>
      <c r="H91" s="8" t="s">
        <v>2354</v>
      </c>
      <c r="I91" s="8" t="s">
        <v>1617</v>
      </c>
      <c r="J91" s="8" t="s">
        <v>2341</v>
      </c>
      <c r="K91" s="8" t="s">
        <v>2342</v>
      </c>
    </row>
    <row r="92" spans="1:11" ht="141.75">
      <c r="A92" s="4" t="s">
        <v>259</v>
      </c>
      <c r="B92" s="4" t="s">
        <v>1091</v>
      </c>
      <c r="C92" s="8" t="s">
        <v>2355</v>
      </c>
      <c r="D92" s="8" t="s">
        <v>2355</v>
      </c>
      <c r="E92" s="8" t="s">
        <v>48</v>
      </c>
      <c r="F92" s="8" t="s">
        <v>2355</v>
      </c>
      <c r="G92" s="8" t="s">
        <v>63</v>
      </c>
      <c r="H92" s="8" t="s">
        <v>2439</v>
      </c>
      <c r="I92" s="8" t="s">
        <v>2440</v>
      </c>
      <c r="J92" s="8" t="s">
        <v>2341</v>
      </c>
      <c r="K92" s="8" t="s">
        <v>2342</v>
      </c>
    </row>
    <row r="93" spans="1:11" ht="47.25">
      <c r="A93" s="4" t="s">
        <v>259</v>
      </c>
      <c r="B93" s="4" t="s">
        <v>35</v>
      </c>
      <c r="C93" s="8" t="s">
        <v>65</v>
      </c>
      <c r="D93" s="8" t="s">
        <v>65</v>
      </c>
      <c r="E93" s="8" t="s">
        <v>48</v>
      </c>
      <c r="F93" s="8" t="s">
        <v>65</v>
      </c>
      <c r="G93" s="8" t="s">
        <v>63</v>
      </c>
      <c r="H93" s="8" t="s">
        <v>2371</v>
      </c>
      <c r="I93" s="8" t="s">
        <v>2441</v>
      </c>
      <c r="J93" s="8" t="s">
        <v>2341</v>
      </c>
      <c r="K93" s="8" t="s">
        <v>2342</v>
      </c>
    </row>
    <row r="94" spans="1:11" ht="47.25">
      <c r="A94" s="4" t="s">
        <v>268</v>
      </c>
      <c r="B94" s="4" t="s">
        <v>1028</v>
      </c>
      <c r="C94" s="8" t="s">
        <v>41</v>
      </c>
      <c r="D94" s="8" t="s">
        <v>41</v>
      </c>
      <c r="E94" s="8" t="s">
        <v>48</v>
      </c>
      <c r="F94" s="8" t="s">
        <v>41</v>
      </c>
      <c r="G94" s="8" t="s">
        <v>63</v>
      </c>
      <c r="H94" s="8" t="s">
        <v>2339</v>
      </c>
      <c r="I94" s="8" t="s">
        <v>2442</v>
      </c>
      <c r="J94" s="8" t="s">
        <v>2341</v>
      </c>
      <c r="K94" s="8" t="s">
        <v>2342</v>
      </c>
    </row>
    <row r="95" spans="1:11" ht="47.25">
      <c r="A95" s="4" t="s">
        <v>268</v>
      </c>
      <c r="B95" s="4" t="s">
        <v>1030</v>
      </c>
      <c r="C95" s="8" t="s">
        <v>57</v>
      </c>
      <c r="D95" s="8" t="s">
        <v>57</v>
      </c>
      <c r="E95" s="8" t="s">
        <v>48</v>
      </c>
      <c r="F95" s="8" t="s">
        <v>57</v>
      </c>
      <c r="G95" s="8" t="s">
        <v>63</v>
      </c>
      <c r="H95" s="8" t="s">
        <v>2343</v>
      </c>
      <c r="I95" s="8" t="s">
        <v>2443</v>
      </c>
      <c r="J95" s="8" t="s">
        <v>2341</v>
      </c>
      <c r="K95" s="8" t="s">
        <v>2342</v>
      </c>
    </row>
    <row r="96" spans="1:11" ht="47.25">
      <c r="A96" s="4" t="s">
        <v>268</v>
      </c>
      <c r="B96" s="4" t="s">
        <v>1032</v>
      </c>
      <c r="C96" s="8" t="s">
        <v>73</v>
      </c>
      <c r="D96" s="8" t="s">
        <v>73</v>
      </c>
      <c r="E96" s="8" t="s">
        <v>48</v>
      </c>
      <c r="F96" s="8" t="s">
        <v>73</v>
      </c>
      <c r="G96" s="8" t="s">
        <v>63</v>
      </c>
      <c r="H96" s="8" t="s">
        <v>2416</v>
      </c>
      <c r="I96" s="8" t="s">
        <v>2444</v>
      </c>
      <c r="J96" s="8" t="s">
        <v>2341</v>
      </c>
      <c r="K96" s="8" t="s">
        <v>2342</v>
      </c>
    </row>
    <row r="97" spans="1:11" ht="47.25">
      <c r="A97" s="4" t="s">
        <v>268</v>
      </c>
      <c r="B97" s="4" t="s">
        <v>1034</v>
      </c>
      <c r="C97" s="8" t="s">
        <v>59</v>
      </c>
      <c r="D97" s="8" t="s">
        <v>59</v>
      </c>
      <c r="E97" s="8" t="s">
        <v>48</v>
      </c>
      <c r="F97" s="8" t="s">
        <v>59</v>
      </c>
      <c r="G97" s="8" t="s">
        <v>63</v>
      </c>
      <c r="H97" s="8" t="s">
        <v>2364</v>
      </c>
      <c r="I97" s="8" t="s">
        <v>2445</v>
      </c>
      <c r="J97" s="8" t="s">
        <v>2341</v>
      </c>
      <c r="K97" s="8" t="s">
        <v>2342</v>
      </c>
    </row>
    <row r="98" spans="1:11" ht="47.25">
      <c r="A98" s="4" t="s">
        <v>268</v>
      </c>
      <c r="B98" s="4" t="s">
        <v>1038</v>
      </c>
      <c r="C98" s="8" t="s">
        <v>98</v>
      </c>
      <c r="D98" s="8" t="s">
        <v>98</v>
      </c>
      <c r="E98" s="8" t="s">
        <v>48</v>
      </c>
      <c r="F98" s="8" t="s">
        <v>98</v>
      </c>
      <c r="G98" s="8" t="s">
        <v>63</v>
      </c>
      <c r="H98" s="8" t="s">
        <v>2366</v>
      </c>
      <c r="I98" s="8" t="s">
        <v>2446</v>
      </c>
      <c r="J98" s="8" t="s">
        <v>2341</v>
      </c>
      <c r="K98" s="8" t="s">
        <v>2342</v>
      </c>
    </row>
    <row r="99" spans="1:11" ht="47.25">
      <c r="A99" s="4" t="s">
        <v>268</v>
      </c>
      <c r="B99" s="4" t="s">
        <v>1041</v>
      </c>
      <c r="C99" s="8" t="s">
        <v>49</v>
      </c>
      <c r="D99" s="8" t="s">
        <v>49</v>
      </c>
      <c r="E99" s="8" t="s">
        <v>48</v>
      </c>
      <c r="F99" s="8" t="s">
        <v>49</v>
      </c>
      <c r="G99" s="8" t="s">
        <v>63</v>
      </c>
      <c r="H99" s="8" t="s">
        <v>2351</v>
      </c>
      <c r="I99" s="8" t="s">
        <v>2446</v>
      </c>
      <c r="J99" s="8" t="s">
        <v>2341</v>
      </c>
      <c r="K99" s="8" t="s">
        <v>2342</v>
      </c>
    </row>
    <row r="100" spans="1:11" ht="126">
      <c r="A100" s="4" t="s">
        <v>268</v>
      </c>
      <c r="B100" s="4" t="s">
        <v>32</v>
      </c>
      <c r="C100" s="8" t="s">
        <v>99</v>
      </c>
      <c r="D100" s="8" t="s">
        <v>99</v>
      </c>
      <c r="E100" s="8" t="s">
        <v>48</v>
      </c>
      <c r="F100" s="8" t="s">
        <v>99</v>
      </c>
      <c r="G100" s="8" t="s">
        <v>63</v>
      </c>
      <c r="H100" s="8" t="s">
        <v>2447</v>
      </c>
      <c r="I100" s="8" t="s">
        <v>2446</v>
      </c>
      <c r="J100" s="8" t="s">
        <v>2341</v>
      </c>
      <c r="K100" s="8" t="s">
        <v>2342</v>
      </c>
    </row>
    <row r="101" spans="1:11" ht="47.25">
      <c r="A101" s="4" t="s">
        <v>268</v>
      </c>
      <c r="B101" s="4" t="s">
        <v>1090</v>
      </c>
      <c r="C101" s="8" t="s">
        <v>2353</v>
      </c>
      <c r="D101" s="8" t="s">
        <v>2353</v>
      </c>
      <c r="E101" s="8" t="s">
        <v>48</v>
      </c>
      <c r="F101" s="8" t="s">
        <v>2353</v>
      </c>
      <c r="G101" s="8" t="s">
        <v>63</v>
      </c>
      <c r="H101" s="8" t="s">
        <v>2354</v>
      </c>
      <c r="I101" s="8" t="s">
        <v>1617</v>
      </c>
      <c r="J101" s="8" t="s">
        <v>2341</v>
      </c>
      <c r="K101" s="8" t="s">
        <v>2342</v>
      </c>
    </row>
    <row r="102" spans="1:11" ht="141.75">
      <c r="A102" s="4" t="s">
        <v>268</v>
      </c>
      <c r="B102" s="4" t="s">
        <v>1091</v>
      </c>
      <c r="C102" s="8" t="s">
        <v>2355</v>
      </c>
      <c r="D102" s="8" t="s">
        <v>2355</v>
      </c>
      <c r="E102" s="8" t="s">
        <v>48</v>
      </c>
      <c r="F102" s="8" t="s">
        <v>2355</v>
      </c>
      <c r="G102" s="8" t="s">
        <v>63</v>
      </c>
      <c r="H102" s="8" t="s">
        <v>2448</v>
      </c>
      <c r="I102" s="8" t="s">
        <v>2449</v>
      </c>
      <c r="J102" s="8" t="s">
        <v>2341</v>
      </c>
      <c r="K102" s="8" t="s">
        <v>2342</v>
      </c>
    </row>
    <row r="103" spans="1:11" ht="47.25">
      <c r="A103" s="4" t="s">
        <v>268</v>
      </c>
      <c r="B103" s="4" t="s">
        <v>35</v>
      </c>
      <c r="C103" s="8" t="s">
        <v>65</v>
      </c>
      <c r="D103" s="8" t="s">
        <v>65</v>
      </c>
      <c r="E103" s="8" t="s">
        <v>48</v>
      </c>
      <c r="F103" s="8" t="s">
        <v>65</v>
      </c>
      <c r="G103" s="8" t="s">
        <v>63</v>
      </c>
      <c r="H103" s="8" t="s">
        <v>2371</v>
      </c>
      <c r="I103" s="8" t="s">
        <v>2450</v>
      </c>
      <c r="J103" s="8" t="s">
        <v>2341</v>
      </c>
      <c r="K103" s="8" t="s">
        <v>2342</v>
      </c>
    </row>
    <row r="104" spans="1:11" ht="47.25">
      <c r="A104" s="4" t="s">
        <v>277</v>
      </c>
      <c r="B104" s="4" t="s">
        <v>1028</v>
      </c>
      <c r="C104" s="8" t="s">
        <v>41</v>
      </c>
      <c r="D104" s="8" t="s">
        <v>41</v>
      </c>
      <c r="E104" s="8" t="s">
        <v>48</v>
      </c>
      <c r="F104" s="8" t="s">
        <v>41</v>
      </c>
      <c r="G104" s="8" t="s">
        <v>63</v>
      </c>
      <c r="H104" s="8" t="s">
        <v>2339</v>
      </c>
      <c r="I104" s="8" t="s">
        <v>2451</v>
      </c>
      <c r="J104" s="8" t="s">
        <v>2341</v>
      </c>
      <c r="K104" s="8" t="s">
        <v>2342</v>
      </c>
    </row>
    <row r="105" spans="1:11" ht="47.25">
      <c r="A105" s="4" t="s">
        <v>277</v>
      </c>
      <c r="B105" s="4" t="s">
        <v>1030</v>
      </c>
      <c r="C105" s="8" t="s">
        <v>57</v>
      </c>
      <c r="D105" s="8" t="s">
        <v>57</v>
      </c>
      <c r="E105" s="8" t="s">
        <v>48</v>
      </c>
      <c r="F105" s="8" t="s">
        <v>57</v>
      </c>
      <c r="G105" s="8" t="s">
        <v>63</v>
      </c>
      <c r="H105" s="8" t="s">
        <v>2343</v>
      </c>
      <c r="I105" s="8" t="s">
        <v>2452</v>
      </c>
      <c r="J105" s="8" t="s">
        <v>2341</v>
      </c>
      <c r="K105" s="8" t="s">
        <v>2342</v>
      </c>
    </row>
    <row r="106" spans="1:11" ht="47.25">
      <c r="A106" s="4" t="s">
        <v>277</v>
      </c>
      <c r="B106" s="4" t="s">
        <v>1032</v>
      </c>
      <c r="C106" s="8" t="s">
        <v>104</v>
      </c>
      <c r="D106" s="8" t="s">
        <v>104</v>
      </c>
      <c r="E106" s="8" t="s">
        <v>48</v>
      </c>
      <c r="F106" s="8" t="s">
        <v>104</v>
      </c>
      <c r="G106" s="8" t="s">
        <v>63</v>
      </c>
      <c r="H106" s="8" t="s">
        <v>2396</v>
      </c>
      <c r="I106" s="8" t="s">
        <v>2453</v>
      </c>
      <c r="J106" s="8" t="s">
        <v>2341</v>
      </c>
      <c r="K106" s="8" t="s">
        <v>2342</v>
      </c>
    </row>
    <row r="107" spans="1:11" ht="47.25">
      <c r="A107" s="4" t="s">
        <v>277</v>
      </c>
      <c r="B107" s="4" t="s">
        <v>1034</v>
      </c>
      <c r="C107" s="8" t="s">
        <v>59</v>
      </c>
      <c r="D107" s="8" t="s">
        <v>59</v>
      </c>
      <c r="E107" s="8" t="s">
        <v>48</v>
      </c>
      <c r="F107" s="8" t="s">
        <v>59</v>
      </c>
      <c r="G107" s="8" t="s">
        <v>63</v>
      </c>
      <c r="H107" s="8" t="s">
        <v>2364</v>
      </c>
      <c r="I107" s="8" t="s">
        <v>2454</v>
      </c>
      <c r="J107" s="8" t="s">
        <v>2341</v>
      </c>
      <c r="K107" s="8" t="s">
        <v>2342</v>
      </c>
    </row>
    <row r="108" spans="1:11" ht="47.25">
      <c r="A108" s="4" t="s">
        <v>277</v>
      </c>
      <c r="B108" s="4" t="s">
        <v>1038</v>
      </c>
      <c r="C108" s="8" t="s">
        <v>88</v>
      </c>
      <c r="D108" s="8" t="s">
        <v>88</v>
      </c>
      <c r="E108" s="8" t="s">
        <v>48</v>
      </c>
      <c r="F108" s="8" t="s">
        <v>88</v>
      </c>
      <c r="G108" s="8" t="s">
        <v>63</v>
      </c>
      <c r="H108" s="8" t="s">
        <v>2387</v>
      </c>
      <c r="I108" s="8" t="s">
        <v>2455</v>
      </c>
      <c r="J108" s="8" t="s">
        <v>2341</v>
      </c>
      <c r="K108" s="8" t="s">
        <v>2342</v>
      </c>
    </row>
    <row r="109" spans="1:11" ht="47.25">
      <c r="A109" s="4" t="s">
        <v>277</v>
      </c>
      <c r="B109" s="4" t="s">
        <v>1041</v>
      </c>
      <c r="C109" s="8" t="s">
        <v>49</v>
      </c>
      <c r="D109" s="8" t="s">
        <v>49</v>
      </c>
      <c r="E109" s="8" t="s">
        <v>48</v>
      </c>
      <c r="F109" s="8" t="s">
        <v>49</v>
      </c>
      <c r="G109" s="8" t="s">
        <v>63</v>
      </c>
      <c r="H109" s="8" t="s">
        <v>2351</v>
      </c>
      <c r="I109" s="8" t="s">
        <v>2455</v>
      </c>
      <c r="J109" s="8" t="s">
        <v>2341</v>
      </c>
      <c r="K109" s="8" t="s">
        <v>2342</v>
      </c>
    </row>
    <row r="110" spans="1:11" ht="110.25">
      <c r="A110" s="4" t="s">
        <v>277</v>
      </c>
      <c r="B110" s="4" t="s">
        <v>32</v>
      </c>
      <c r="C110" s="8" t="s">
        <v>77</v>
      </c>
      <c r="D110" s="8" t="s">
        <v>77</v>
      </c>
      <c r="E110" s="8" t="s">
        <v>48</v>
      </c>
      <c r="F110" s="8" t="s">
        <v>77</v>
      </c>
      <c r="G110" s="8" t="s">
        <v>63</v>
      </c>
      <c r="H110" s="8" t="s">
        <v>2456</v>
      </c>
      <c r="I110" s="8" t="s">
        <v>2455</v>
      </c>
      <c r="J110" s="8" t="s">
        <v>2341</v>
      </c>
      <c r="K110" s="8" t="s">
        <v>2342</v>
      </c>
    </row>
    <row r="111" spans="1:11" ht="47.25">
      <c r="A111" s="4" t="s">
        <v>277</v>
      </c>
      <c r="B111" s="4" t="s">
        <v>1090</v>
      </c>
      <c r="C111" s="8" t="s">
        <v>2353</v>
      </c>
      <c r="D111" s="8" t="s">
        <v>2353</v>
      </c>
      <c r="E111" s="8" t="s">
        <v>48</v>
      </c>
      <c r="F111" s="8" t="s">
        <v>2353</v>
      </c>
      <c r="G111" s="8" t="s">
        <v>63</v>
      </c>
      <c r="H111" s="8" t="s">
        <v>2354</v>
      </c>
      <c r="I111" s="8" t="s">
        <v>1617</v>
      </c>
      <c r="J111" s="8" t="s">
        <v>2341</v>
      </c>
      <c r="K111" s="8" t="s">
        <v>2342</v>
      </c>
    </row>
    <row r="112" spans="1:11" ht="141.75">
      <c r="A112" s="4" t="s">
        <v>277</v>
      </c>
      <c r="B112" s="4" t="s">
        <v>1091</v>
      </c>
      <c r="C112" s="8" t="s">
        <v>2390</v>
      </c>
      <c r="D112" s="8" t="s">
        <v>2390</v>
      </c>
      <c r="E112" s="8" t="s">
        <v>48</v>
      </c>
      <c r="F112" s="8" t="s">
        <v>2390</v>
      </c>
      <c r="G112" s="8" t="s">
        <v>63</v>
      </c>
      <c r="H112" s="8" t="s">
        <v>2457</v>
      </c>
      <c r="I112" s="8" t="s">
        <v>2458</v>
      </c>
      <c r="J112" s="8" t="s">
        <v>2341</v>
      </c>
      <c r="K112" s="8" t="s">
        <v>2342</v>
      </c>
    </row>
    <row r="113" spans="1:11" ht="47.25">
      <c r="A113" s="4" t="s">
        <v>277</v>
      </c>
      <c r="B113" s="4" t="s">
        <v>35</v>
      </c>
      <c r="C113" s="8" t="s">
        <v>50</v>
      </c>
      <c r="D113" s="8" t="s">
        <v>50</v>
      </c>
      <c r="E113" s="8" t="s">
        <v>48</v>
      </c>
      <c r="F113" s="8" t="s">
        <v>50</v>
      </c>
      <c r="G113" s="8" t="s">
        <v>63</v>
      </c>
      <c r="H113" s="8" t="s">
        <v>2358</v>
      </c>
      <c r="I113" s="8" t="s">
        <v>2459</v>
      </c>
      <c r="J113" s="8" t="s">
        <v>2341</v>
      </c>
      <c r="K113" s="8" t="s">
        <v>2342</v>
      </c>
    </row>
    <row r="114" spans="1:11" ht="47.25">
      <c r="A114" s="4" t="s">
        <v>285</v>
      </c>
      <c r="B114" s="4" t="s">
        <v>1028</v>
      </c>
      <c r="C114" s="8" t="s">
        <v>41</v>
      </c>
      <c r="D114" s="8" t="s">
        <v>41</v>
      </c>
      <c r="E114" s="8" t="s">
        <v>48</v>
      </c>
      <c r="F114" s="8" t="s">
        <v>41</v>
      </c>
      <c r="G114" s="8" t="s">
        <v>63</v>
      </c>
      <c r="H114" s="8" t="s">
        <v>2339</v>
      </c>
      <c r="I114" s="8" t="s">
        <v>2460</v>
      </c>
      <c r="J114" s="8" t="s">
        <v>2341</v>
      </c>
      <c r="K114" s="8" t="s">
        <v>2342</v>
      </c>
    </row>
    <row r="115" spans="1:11" ht="47.25">
      <c r="A115" s="4" t="s">
        <v>285</v>
      </c>
      <c r="B115" s="4" t="s">
        <v>1030</v>
      </c>
      <c r="C115" s="8" t="s">
        <v>57</v>
      </c>
      <c r="D115" s="8" t="s">
        <v>57</v>
      </c>
      <c r="E115" s="8" t="s">
        <v>48</v>
      </c>
      <c r="F115" s="8" t="s">
        <v>57</v>
      </c>
      <c r="G115" s="8" t="s">
        <v>63</v>
      </c>
      <c r="H115" s="8" t="s">
        <v>2343</v>
      </c>
      <c r="I115" s="8" t="s">
        <v>2461</v>
      </c>
      <c r="J115" s="8" t="s">
        <v>2341</v>
      </c>
      <c r="K115" s="8" t="s">
        <v>2342</v>
      </c>
    </row>
    <row r="116" spans="1:11" ht="47.25">
      <c r="A116" s="4" t="s">
        <v>285</v>
      </c>
      <c r="B116" s="4" t="s">
        <v>1032</v>
      </c>
      <c r="C116" s="8" t="s">
        <v>85</v>
      </c>
      <c r="D116" s="8" t="s">
        <v>85</v>
      </c>
      <c r="E116" s="8" t="s">
        <v>48</v>
      </c>
      <c r="F116" s="8" t="s">
        <v>85</v>
      </c>
      <c r="G116" s="8" t="s">
        <v>63</v>
      </c>
      <c r="H116" s="8" t="s">
        <v>2362</v>
      </c>
      <c r="I116" s="8" t="s">
        <v>2462</v>
      </c>
      <c r="J116" s="8" t="s">
        <v>2341</v>
      </c>
      <c r="K116" s="8" t="s">
        <v>2342</v>
      </c>
    </row>
    <row r="117" spans="1:11" ht="47.25">
      <c r="A117" s="4" t="s">
        <v>285</v>
      </c>
      <c r="B117" s="4" t="s">
        <v>1034</v>
      </c>
      <c r="C117" s="8" t="s">
        <v>59</v>
      </c>
      <c r="D117" s="8" t="s">
        <v>59</v>
      </c>
      <c r="E117" s="8" t="s">
        <v>48</v>
      </c>
      <c r="F117" s="8" t="s">
        <v>59</v>
      </c>
      <c r="G117" s="8" t="s">
        <v>63</v>
      </c>
      <c r="H117" s="8" t="s">
        <v>2364</v>
      </c>
      <c r="I117" s="8" t="s">
        <v>2463</v>
      </c>
      <c r="J117" s="8" t="s">
        <v>2341</v>
      </c>
      <c r="K117" s="8" t="s">
        <v>2342</v>
      </c>
    </row>
    <row r="118" spans="1:11" ht="47.25">
      <c r="A118" s="4" t="s">
        <v>285</v>
      </c>
      <c r="B118" s="4" t="s">
        <v>1038</v>
      </c>
      <c r="C118" s="8" t="s">
        <v>98</v>
      </c>
      <c r="D118" s="8" t="s">
        <v>98</v>
      </c>
      <c r="E118" s="8" t="s">
        <v>48</v>
      </c>
      <c r="F118" s="8" t="s">
        <v>98</v>
      </c>
      <c r="G118" s="8" t="s">
        <v>63</v>
      </c>
      <c r="H118" s="8" t="s">
        <v>2366</v>
      </c>
      <c r="I118" s="8" t="s">
        <v>2464</v>
      </c>
      <c r="J118" s="8" t="s">
        <v>2341</v>
      </c>
      <c r="K118" s="8" t="s">
        <v>2342</v>
      </c>
    </row>
    <row r="119" spans="1:11" ht="47.25">
      <c r="A119" s="4" t="s">
        <v>285</v>
      </c>
      <c r="B119" s="4" t="s">
        <v>1041</v>
      </c>
      <c r="C119" s="8" t="s">
        <v>49</v>
      </c>
      <c r="D119" s="8" t="s">
        <v>49</v>
      </c>
      <c r="E119" s="8" t="s">
        <v>48</v>
      </c>
      <c r="F119" s="8" t="s">
        <v>49</v>
      </c>
      <c r="G119" s="8" t="s">
        <v>63</v>
      </c>
      <c r="H119" s="8" t="s">
        <v>2351</v>
      </c>
      <c r="I119" s="8" t="s">
        <v>2464</v>
      </c>
      <c r="J119" s="8" t="s">
        <v>2341</v>
      </c>
      <c r="K119" s="8" t="s">
        <v>2342</v>
      </c>
    </row>
    <row r="120" spans="1:11" ht="126">
      <c r="A120" s="4" t="s">
        <v>285</v>
      </c>
      <c r="B120" s="4" t="s">
        <v>32</v>
      </c>
      <c r="C120" s="8" t="s">
        <v>99</v>
      </c>
      <c r="D120" s="8" t="s">
        <v>99</v>
      </c>
      <c r="E120" s="8" t="s">
        <v>48</v>
      </c>
      <c r="F120" s="8" t="s">
        <v>99</v>
      </c>
      <c r="G120" s="8" t="s">
        <v>63</v>
      </c>
      <c r="H120" s="8" t="s">
        <v>2465</v>
      </c>
      <c r="I120" s="8" t="s">
        <v>2464</v>
      </c>
      <c r="J120" s="8" t="s">
        <v>2341</v>
      </c>
      <c r="K120" s="8" t="s">
        <v>2342</v>
      </c>
    </row>
    <row r="121" spans="1:11" ht="47.25">
      <c r="A121" s="4" t="s">
        <v>285</v>
      </c>
      <c r="B121" s="4" t="s">
        <v>1090</v>
      </c>
      <c r="C121" s="8" t="s">
        <v>2353</v>
      </c>
      <c r="D121" s="8" t="s">
        <v>2353</v>
      </c>
      <c r="E121" s="8" t="s">
        <v>48</v>
      </c>
      <c r="F121" s="8" t="s">
        <v>2353</v>
      </c>
      <c r="G121" s="8" t="s">
        <v>63</v>
      </c>
      <c r="H121" s="8" t="s">
        <v>2354</v>
      </c>
      <c r="I121" s="8" t="s">
        <v>1617</v>
      </c>
      <c r="J121" s="8" t="s">
        <v>2341</v>
      </c>
      <c r="K121" s="8" t="s">
        <v>2342</v>
      </c>
    </row>
    <row r="122" spans="1:11" ht="141.75">
      <c r="A122" s="4" t="s">
        <v>285</v>
      </c>
      <c r="B122" s="4" t="s">
        <v>1091</v>
      </c>
      <c r="C122" s="8" t="s">
        <v>2355</v>
      </c>
      <c r="D122" s="8" t="s">
        <v>2355</v>
      </c>
      <c r="E122" s="8" t="s">
        <v>48</v>
      </c>
      <c r="F122" s="8" t="s">
        <v>2355</v>
      </c>
      <c r="G122" s="8" t="s">
        <v>63</v>
      </c>
      <c r="H122" s="8" t="s">
        <v>2466</v>
      </c>
      <c r="I122" s="8" t="s">
        <v>2467</v>
      </c>
      <c r="J122" s="8" t="s">
        <v>2341</v>
      </c>
      <c r="K122" s="8" t="s">
        <v>2342</v>
      </c>
    </row>
    <row r="123" spans="1:11" ht="47.25">
      <c r="A123" s="4" t="s">
        <v>285</v>
      </c>
      <c r="B123" s="4" t="s">
        <v>35</v>
      </c>
      <c r="C123" s="8" t="s">
        <v>65</v>
      </c>
      <c r="D123" s="8" t="s">
        <v>65</v>
      </c>
      <c r="E123" s="8" t="s">
        <v>48</v>
      </c>
      <c r="F123" s="8" t="s">
        <v>65</v>
      </c>
      <c r="G123" s="8" t="s">
        <v>63</v>
      </c>
      <c r="H123" s="8" t="s">
        <v>2371</v>
      </c>
      <c r="I123" s="8" t="s">
        <v>2468</v>
      </c>
      <c r="J123" s="8" t="s">
        <v>2341</v>
      </c>
      <c r="K123" s="8" t="s">
        <v>2342</v>
      </c>
    </row>
    <row r="124" spans="1:11" ht="47.25">
      <c r="A124" s="4" t="s">
        <v>294</v>
      </c>
      <c r="B124" s="4" t="s">
        <v>1028</v>
      </c>
      <c r="C124" s="8" t="s">
        <v>41</v>
      </c>
      <c r="D124" s="8" t="s">
        <v>41</v>
      </c>
      <c r="E124" s="8" t="s">
        <v>48</v>
      </c>
      <c r="F124" s="8" t="s">
        <v>41</v>
      </c>
      <c r="G124" s="8" t="s">
        <v>63</v>
      </c>
      <c r="H124" s="8" t="s">
        <v>2339</v>
      </c>
      <c r="I124" s="8" t="s">
        <v>2469</v>
      </c>
      <c r="J124" s="8" t="s">
        <v>2341</v>
      </c>
      <c r="K124" s="8" t="s">
        <v>2342</v>
      </c>
    </row>
    <row r="125" spans="1:11" ht="47.25">
      <c r="A125" s="4" t="s">
        <v>294</v>
      </c>
      <c r="B125" s="4" t="s">
        <v>1030</v>
      </c>
      <c r="C125" s="8" t="s">
        <v>57</v>
      </c>
      <c r="D125" s="8" t="s">
        <v>57</v>
      </c>
      <c r="E125" s="8" t="s">
        <v>48</v>
      </c>
      <c r="F125" s="8" t="s">
        <v>57</v>
      </c>
      <c r="G125" s="8" t="s">
        <v>63</v>
      </c>
      <c r="H125" s="8" t="s">
        <v>2343</v>
      </c>
      <c r="I125" s="8" t="s">
        <v>2470</v>
      </c>
      <c r="J125" s="8" t="s">
        <v>2341</v>
      </c>
      <c r="K125" s="8" t="s">
        <v>2342</v>
      </c>
    </row>
    <row r="126" spans="1:11" ht="47.25">
      <c r="A126" s="4" t="s">
        <v>294</v>
      </c>
      <c r="B126" s="4" t="s">
        <v>1032</v>
      </c>
      <c r="C126" s="8" t="s">
        <v>85</v>
      </c>
      <c r="D126" s="8" t="s">
        <v>85</v>
      </c>
      <c r="E126" s="8" t="s">
        <v>48</v>
      </c>
      <c r="F126" s="8" t="s">
        <v>85</v>
      </c>
      <c r="G126" s="8" t="s">
        <v>63</v>
      </c>
      <c r="H126" s="8" t="s">
        <v>2362</v>
      </c>
      <c r="I126" s="8" t="s">
        <v>2471</v>
      </c>
      <c r="J126" s="8" t="s">
        <v>2341</v>
      </c>
      <c r="K126" s="8" t="s">
        <v>2342</v>
      </c>
    </row>
    <row r="127" spans="1:11" ht="47.25">
      <c r="A127" s="4" t="s">
        <v>294</v>
      </c>
      <c r="B127" s="4" t="s">
        <v>1034</v>
      </c>
      <c r="C127" s="8" t="s">
        <v>59</v>
      </c>
      <c r="D127" s="8" t="s">
        <v>59</v>
      </c>
      <c r="E127" s="8" t="s">
        <v>48</v>
      </c>
      <c r="F127" s="8" t="s">
        <v>59</v>
      </c>
      <c r="G127" s="8" t="s">
        <v>63</v>
      </c>
      <c r="H127" s="8" t="s">
        <v>2364</v>
      </c>
      <c r="I127" s="8" t="s">
        <v>2472</v>
      </c>
      <c r="J127" s="8" t="s">
        <v>2341</v>
      </c>
      <c r="K127" s="8" t="s">
        <v>2342</v>
      </c>
    </row>
    <row r="128" spans="1:11" ht="47.25">
      <c r="A128" s="4" t="s">
        <v>294</v>
      </c>
      <c r="B128" s="4" t="s">
        <v>1038</v>
      </c>
      <c r="C128" s="8" t="s">
        <v>127</v>
      </c>
      <c r="D128" s="8" t="s">
        <v>127</v>
      </c>
      <c r="E128" s="8" t="s">
        <v>48</v>
      </c>
      <c r="F128" s="8" t="s">
        <v>127</v>
      </c>
      <c r="G128" s="8" t="s">
        <v>63</v>
      </c>
      <c r="H128" s="8" t="s">
        <v>2473</v>
      </c>
      <c r="I128" s="8" t="s">
        <v>2474</v>
      </c>
      <c r="J128" s="8" t="s">
        <v>2341</v>
      </c>
      <c r="K128" s="8" t="s">
        <v>2342</v>
      </c>
    </row>
    <row r="129" spans="1:11" ht="47.25">
      <c r="A129" s="4" t="s">
        <v>294</v>
      </c>
      <c r="B129" s="4" t="s">
        <v>1041</v>
      </c>
      <c r="C129" s="8" t="s">
        <v>49</v>
      </c>
      <c r="D129" s="8" t="s">
        <v>49</v>
      </c>
      <c r="E129" s="8" t="s">
        <v>48</v>
      </c>
      <c r="F129" s="8" t="s">
        <v>49</v>
      </c>
      <c r="G129" s="8" t="s">
        <v>63</v>
      </c>
      <c r="H129" s="8" t="s">
        <v>2351</v>
      </c>
      <c r="I129" s="8" t="s">
        <v>2474</v>
      </c>
      <c r="J129" s="8" t="s">
        <v>2341</v>
      </c>
      <c r="K129" s="8" t="s">
        <v>2342</v>
      </c>
    </row>
    <row r="130" spans="1:11" ht="126">
      <c r="A130" s="4" t="s">
        <v>294</v>
      </c>
      <c r="B130" s="4" t="s">
        <v>32</v>
      </c>
      <c r="C130" s="8" t="s">
        <v>108</v>
      </c>
      <c r="D130" s="8" t="s">
        <v>108</v>
      </c>
      <c r="E130" s="8" t="s">
        <v>48</v>
      </c>
      <c r="F130" s="8" t="s">
        <v>108</v>
      </c>
      <c r="G130" s="8" t="s">
        <v>63</v>
      </c>
      <c r="H130" s="8" t="s">
        <v>2475</v>
      </c>
      <c r="I130" s="8" t="s">
        <v>2474</v>
      </c>
      <c r="J130" s="8" t="s">
        <v>2341</v>
      </c>
      <c r="K130" s="8" t="s">
        <v>2342</v>
      </c>
    </row>
    <row r="131" spans="1:11" ht="47.25">
      <c r="A131" s="4" t="s">
        <v>294</v>
      </c>
      <c r="B131" s="4" t="s">
        <v>1090</v>
      </c>
      <c r="C131" s="8" t="s">
        <v>2353</v>
      </c>
      <c r="D131" s="8" t="s">
        <v>2353</v>
      </c>
      <c r="E131" s="8" t="s">
        <v>48</v>
      </c>
      <c r="F131" s="8" t="s">
        <v>2353</v>
      </c>
      <c r="G131" s="8" t="s">
        <v>63</v>
      </c>
      <c r="H131" s="8" t="s">
        <v>2354</v>
      </c>
      <c r="I131" s="8" t="s">
        <v>1617</v>
      </c>
      <c r="J131" s="8" t="s">
        <v>2341</v>
      </c>
      <c r="K131" s="8" t="s">
        <v>2342</v>
      </c>
    </row>
    <row r="132" spans="1:11" ht="141.75">
      <c r="A132" s="4" t="s">
        <v>294</v>
      </c>
      <c r="B132" s="4" t="s">
        <v>1091</v>
      </c>
      <c r="C132" s="8" t="s">
        <v>2476</v>
      </c>
      <c r="D132" s="8" t="s">
        <v>2476</v>
      </c>
      <c r="E132" s="8" t="s">
        <v>48</v>
      </c>
      <c r="F132" s="8" t="s">
        <v>2476</v>
      </c>
      <c r="G132" s="8" t="s">
        <v>63</v>
      </c>
      <c r="H132" s="8" t="s">
        <v>2477</v>
      </c>
      <c r="I132" s="8" t="s">
        <v>2478</v>
      </c>
      <c r="J132" s="8" t="s">
        <v>2341</v>
      </c>
      <c r="K132" s="8" t="s">
        <v>2342</v>
      </c>
    </row>
    <row r="133" spans="1:11" ht="47.25">
      <c r="A133" s="4" t="s">
        <v>294</v>
      </c>
      <c r="B133" s="4" t="s">
        <v>35</v>
      </c>
      <c r="C133" s="8" t="s">
        <v>65</v>
      </c>
      <c r="D133" s="8" t="s">
        <v>65</v>
      </c>
      <c r="E133" s="8" t="s">
        <v>48</v>
      </c>
      <c r="F133" s="8" t="s">
        <v>65</v>
      </c>
      <c r="G133" s="8" t="s">
        <v>63</v>
      </c>
      <c r="H133" s="8" t="s">
        <v>2371</v>
      </c>
      <c r="I133" s="8" t="s">
        <v>2479</v>
      </c>
      <c r="J133" s="8" t="s">
        <v>2341</v>
      </c>
      <c r="K133" s="8" t="s">
        <v>2342</v>
      </c>
    </row>
    <row r="134" spans="1:11" ht="47.25">
      <c r="A134" s="4" t="s">
        <v>304</v>
      </c>
      <c r="B134" s="4" t="s">
        <v>1028</v>
      </c>
      <c r="C134" s="8" t="s">
        <v>68</v>
      </c>
      <c r="D134" s="8" t="s">
        <v>68</v>
      </c>
      <c r="E134" s="8" t="s">
        <v>2480</v>
      </c>
      <c r="F134" s="8" t="s">
        <v>68</v>
      </c>
      <c r="G134" s="8" t="s">
        <v>63</v>
      </c>
      <c r="H134" s="8" t="s">
        <v>2481</v>
      </c>
      <c r="I134" s="8" t="s">
        <v>1231</v>
      </c>
      <c r="J134" s="8" t="s">
        <v>2482</v>
      </c>
      <c r="K134" s="8" t="s">
        <v>2342</v>
      </c>
    </row>
    <row r="135" spans="1:11" ht="47.25">
      <c r="A135" s="4" t="s">
        <v>304</v>
      </c>
      <c r="B135" s="4" t="s">
        <v>1030</v>
      </c>
      <c r="C135" s="8" t="s">
        <v>68</v>
      </c>
      <c r="D135" s="8" t="s">
        <v>68</v>
      </c>
      <c r="E135" s="8" t="s">
        <v>2480</v>
      </c>
      <c r="F135" s="8" t="s">
        <v>68</v>
      </c>
      <c r="G135" s="8" t="s">
        <v>63</v>
      </c>
      <c r="H135" s="8" t="s">
        <v>2481</v>
      </c>
      <c r="I135" s="8" t="s">
        <v>1231</v>
      </c>
      <c r="J135" s="8" t="s">
        <v>2482</v>
      </c>
      <c r="K135" s="8" t="s">
        <v>2342</v>
      </c>
    </row>
    <row r="136" spans="1:11" ht="47.25">
      <c r="A136" s="4" t="s">
        <v>304</v>
      </c>
      <c r="B136" s="4" t="s">
        <v>1032</v>
      </c>
      <c r="C136" s="8" t="s">
        <v>68</v>
      </c>
      <c r="D136" s="8" t="s">
        <v>68</v>
      </c>
      <c r="E136" s="8" t="s">
        <v>2480</v>
      </c>
      <c r="F136" s="8" t="s">
        <v>68</v>
      </c>
      <c r="G136" s="8" t="s">
        <v>63</v>
      </c>
      <c r="H136" s="8" t="s">
        <v>2481</v>
      </c>
      <c r="I136" s="8" t="s">
        <v>53</v>
      </c>
      <c r="J136" s="8" t="s">
        <v>2482</v>
      </c>
      <c r="K136" s="8" t="s">
        <v>2342</v>
      </c>
    </row>
    <row r="137" spans="1:11" ht="47.25">
      <c r="A137" s="4" t="s">
        <v>304</v>
      </c>
      <c r="B137" s="4" t="s">
        <v>1034</v>
      </c>
      <c r="C137" s="8" t="s">
        <v>68</v>
      </c>
      <c r="D137" s="8" t="s">
        <v>68</v>
      </c>
      <c r="E137" s="8" t="s">
        <v>2480</v>
      </c>
      <c r="F137" s="8" t="s">
        <v>68</v>
      </c>
      <c r="G137" s="8" t="s">
        <v>63</v>
      </c>
      <c r="H137" s="8" t="s">
        <v>2481</v>
      </c>
      <c r="I137" s="8" t="s">
        <v>53</v>
      </c>
      <c r="J137" s="8" t="s">
        <v>2482</v>
      </c>
      <c r="K137" s="8" t="s">
        <v>2342</v>
      </c>
    </row>
    <row r="138" spans="1:11" ht="47.25">
      <c r="A138" s="4" t="s">
        <v>304</v>
      </c>
      <c r="B138" s="4" t="s">
        <v>1038</v>
      </c>
      <c r="C138" s="8" t="s">
        <v>68</v>
      </c>
      <c r="D138" s="8" t="s">
        <v>68</v>
      </c>
      <c r="E138" s="8" t="s">
        <v>2480</v>
      </c>
      <c r="F138" s="8" t="s">
        <v>68</v>
      </c>
      <c r="G138" s="8" t="s">
        <v>63</v>
      </c>
      <c r="H138" s="8" t="s">
        <v>2481</v>
      </c>
      <c r="I138" s="8" t="s">
        <v>53</v>
      </c>
      <c r="J138" s="8" t="s">
        <v>2482</v>
      </c>
      <c r="K138" s="8" t="s">
        <v>2342</v>
      </c>
    </row>
    <row r="139" spans="1:11" ht="47.25">
      <c r="A139" s="4" t="s">
        <v>304</v>
      </c>
      <c r="B139" s="4" t="s">
        <v>1041</v>
      </c>
      <c r="C139" s="8" t="s">
        <v>64</v>
      </c>
      <c r="D139" s="8" t="s">
        <v>64</v>
      </c>
      <c r="E139" s="8" t="s">
        <v>2480</v>
      </c>
      <c r="F139" s="8" t="s">
        <v>68</v>
      </c>
      <c r="G139" s="8" t="s">
        <v>63</v>
      </c>
      <c r="H139" s="8" t="s">
        <v>2481</v>
      </c>
      <c r="I139" s="8" t="s">
        <v>1672</v>
      </c>
      <c r="J139" s="8" t="s">
        <v>2482</v>
      </c>
      <c r="K139" s="8" t="s">
        <v>2342</v>
      </c>
    </row>
    <row r="140" spans="1:11" ht="47.25">
      <c r="A140" s="4" t="s">
        <v>304</v>
      </c>
      <c r="B140" s="4" t="s">
        <v>32</v>
      </c>
      <c r="C140" s="8" t="s">
        <v>68</v>
      </c>
      <c r="D140" s="8" t="s">
        <v>68</v>
      </c>
      <c r="E140" s="8" t="s">
        <v>2480</v>
      </c>
      <c r="F140" s="8" t="s">
        <v>68</v>
      </c>
      <c r="G140" s="8" t="s">
        <v>63</v>
      </c>
      <c r="H140" s="8" t="s">
        <v>2481</v>
      </c>
      <c r="I140" s="8" t="s">
        <v>1672</v>
      </c>
      <c r="J140" s="8" t="s">
        <v>2482</v>
      </c>
      <c r="K140" s="8" t="s">
        <v>2342</v>
      </c>
    </row>
    <row r="141" spans="1:11" ht="47.25">
      <c r="A141" s="4" t="s">
        <v>304</v>
      </c>
      <c r="B141" s="4" t="s">
        <v>1090</v>
      </c>
      <c r="C141" s="8" t="s">
        <v>68</v>
      </c>
      <c r="D141" s="8" t="s">
        <v>68</v>
      </c>
      <c r="E141" s="8" t="s">
        <v>2480</v>
      </c>
      <c r="F141" s="8" t="s">
        <v>68</v>
      </c>
      <c r="G141" s="8" t="s">
        <v>63</v>
      </c>
      <c r="H141" s="8" t="s">
        <v>2481</v>
      </c>
      <c r="I141" s="8" t="s">
        <v>68</v>
      </c>
      <c r="J141" s="8" t="s">
        <v>2482</v>
      </c>
      <c r="K141" s="8" t="s">
        <v>2342</v>
      </c>
    </row>
    <row r="142" spans="1:11" ht="47.25">
      <c r="A142" s="4" t="s">
        <v>304</v>
      </c>
      <c r="B142" s="4" t="s">
        <v>1091</v>
      </c>
      <c r="C142" s="8" t="s">
        <v>68</v>
      </c>
      <c r="D142" s="8" t="s">
        <v>68</v>
      </c>
      <c r="E142" s="8" t="s">
        <v>2480</v>
      </c>
      <c r="F142" s="8" t="s">
        <v>68</v>
      </c>
      <c r="G142" s="8" t="s">
        <v>63</v>
      </c>
      <c r="H142" s="8" t="s">
        <v>2481</v>
      </c>
      <c r="I142" s="8" t="s">
        <v>1672</v>
      </c>
      <c r="J142" s="8" t="s">
        <v>2482</v>
      </c>
      <c r="K142" s="8" t="s">
        <v>2342</v>
      </c>
    </row>
    <row r="143" spans="1:11" ht="47.25">
      <c r="A143" s="4" t="s">
        <v>304</v>
      </c>
      <c r="B143" s="4" t="s">
        <v>35</v>
      </c>
      <c r="C143" s="8" t="s">
        <v>68</v>
      </c>
      <c r="D143" s="8" t="s">
        <v>68</v>
      </c>
      <c r="E143" s="8" t="s">
        <v>2480</v>
      </c>
      <c r="F143" s="8" t="s">
        <v>68</v>
      </c>
      <c r="G143" s="8" t="s">
        <v>63</v>
      </c>
      <c r="H143" s="8" t="s">
        <v>2481</v>
      </c>
      <c r="I143" s="8" t="s">
        <v>1672</v>
      </c>
      <c r="J143" s="8" t="s">
        <v>2482</v>
      </c>
      <c r="K143" s="8" t="s">
        <v>2342</v>
      </c>
    </row>
    <row r="144" spans="1:11" ht="47.25">
      <c r="A144" s="4" t="s">
        <v>315</v>
      </c>
      <c r="B144" s="4" t="s">
        <v>1028</v>
      </c>
      <c r="C144" s="8" t="s">
        <v>78</v>
      </c>
      <c r="D144" s="8" t="s">
        <v>78</v>
      </c>
      <c r="E144" s="8" t="s">
        <v>2480</v>
      </c>
      <c r="F144" s="8" t="s">
        <v>78</v>
      </c>
      <c r="G144" s="8" t="s">
        <v>2483</v>
      </c>
      <c r="H144" s="8" t="s">
        <v>2484</v>
      </c>
      <c r="I144" s="8" t="s">
        <v>1231</v>
      </c>
      <c r="J144" s="8" t="s">
        <v>2485</v>
      </c>
      <c r="K144" s="8" t="s">
        <v>2342</v>
      </c>
    </row>
    <row r="145" spans="1:11" ht="47.25">
      <c r="A145" s="4" t="s">
        <v>315</v>
      </c>
      <c r="B145" s="4" t="s">
        <v>1030</v>
      </c>
      <c r="C145" s="8" t="s">
        <v>78</v>
      </c>
      <c r="D145" s="8" t="s">
        <v>78</v>
      </c>
      <c r="E145" s="8" t="s">
        <v>2480</v>
      </c>
      <c r="F145" s="8" t="s">
        <v>78</v>
      </c>
      <c r="G145" s="8" t="s">
        <v>2483</v>
      </c>
      <c r="H145" s="8" t="s">
        <v>2484</v>
      </c>
      <c r="I145" s="8" t="s">
        <v>1231</v>
      </c>
      <c r="J145" s="8" t="s">
        <v>2485</v>
      </c>
      <c r="K145" s="8" t="s">
        <v>2342</v>
      </c>
    </row>
    <row r="146" spans="1:11" ht="47.25">
      <c r="A146" s="4" t="s">
        <v>315</v>
      </c>
      <c r="B146" s="4" t="s">
        <v>1032</v>
      </c>
      <c r="C146" s="8" t="s">
        <v>78</v>
      </c>
      <c r="D146" s="8" t="s">
        <v>78</v>
      </c>
      <c r="E146" s="8" t="s">
        <v>2480</v>
      </c>
      <c r="F146" s="8" t="s">
        <v>78</v>
      </c>
      <c r="G146" s="8" t="s">
        <v>2483</v>
      </c>
      <c r="H146" s="8" t="s">
        <v>2484</v>
      </c>
      <c r="I146" s="8" t="s">
        <v>53</v>
      </c>
      <c r="J146" s="8" t="s">
        <v>2485</v>
      </c>
      <c r="K146" s="8" t="s">
        <v>2342</v>
      </c>
    </row>
    <row r="147" spans="1:11" ht="47.25">
      <c r="A147" s="4" t="s">
        <v>315</v>
      </c>
      <c r="B147" s="4" t="s">
        <v>1034</v>
      </c>
      <c r="C147" s="8" t="s">
        <v>78</v>
      </c>
      <c r="D147" s="8" t="s">
        <v>78</v>
      </c>
      <c r="E147" s="8" t="s">
        <v>2480</v>
      </c>
      <c r="F147" s="8" t="s">
        <v>78</v>
      </c>
      <c r="G147" s="8" t="s">
        <v>2483</v>
      </c>
      <c r="H147" s="8" t="s">
        <v>2484</v>
      </c>
      <c r="I147" s="8" t="s">
        <v>53</v>
      </c>
      <c r="J147" s="8" t="s">
        <v>2485</v>
      </c>
      <c r="K147" s="8" t="s">
        <v>2342</v>
      </c>
    </row>
    <row r="148" spans="1:11" ht="47.25">
      <c r="A148" s="4" t="s">
        <v>315</v>
      </c>
      <c r="B148" s="4" t="s">
        <v>1038</v>
      </c>
      <c r="C148" s="8" t="s">
        <v>78</v>
      </c>
      <c r="D148" s="8" t="s">
        <v>78</v>
      </c>
      <c r="E148" s="8" t="s">
        <v>2480</v>
      </c>
      <c r="F148" s="8" t="s">
        <v>78</v>
      </c>
      <c r="G148" s="8" t="s">
        <v>2483</v>
      </c>
      <c r="H148" s="8" t="s">
        <v>2484</v>
      </c>
      <c r="I148" s="8" t="s">
        <v>53</v>
      </c>
      <c r="J148" s="8" t="s">
        <v>2485</v>
      </c>
      <c r="K148" s="8" t="s">
        <v>2342</v>
      </c>
    </row>
    <row r="149" spans="1:11" ht="47.25">
      <c r="A149" s="4" t="s">
        <v>315</v>
      </c>
      <c r="B149" s="4" t="s">
        <v>1041</v>
      </c>
      <c r="C149" s="8" t="s">
        <v>78</v>
      </c>
      <c r="D149" s="8" t="s">
        <v>78</v>
      </c>
      <c r="E149" s="8" t="s">
        <v>2480</v>
      </c>
      <c r="F149" s="8" t="s">
        <v>78</v>
      </c>
      <c r="G149" s="8" t="s">
        <v>2483</v>
      </c>
      <c r="H149" s="8" t="s">
        <v>2484</v>
      </c>
      <c r="I149" s="8" t="s">
        <v>1676</v>
      </c>
      <c r="J149" s="8" t="s">
        <v>2485</v>
      </c>
      <c r="K149" s="8" t="s">
        <v>2342</v>
      </c>
    </row>
    <row r="150" spans="1:11" ht="47.25">
      <c r="A150" s="4" t="s">
        <v>315</v>
      </c>
      <c r="B150" s="4" t="s">
        <v>32</v>
      </c>
      <c r="C150" s="8" t="s">
        <v>78</v>
      </c>
      <c r="D150" s="8" t="s">
        <v>78</v>
      </c>
      <c r="E150" s="8" t="s">
        <v>2480</v>
      </c>
      <c r="F150" s="8" t="s">
        <v>78</v>
      </c>
      <c r="G150" s="8" t="s">
        <v>2483</v>
      </c>
      <c r="H150" s="8" t="s">
        <v>2484</v>
      </c>
      <c r="I150" s="8" t="s">
        <v>1676</v>
      </c>
      <c r="J150" s="8" t="s">
        <v>2485</v>
      </c>
      <c r="K150" s="8" t="s">
        <v>2342</v>
      </c>
    </row>
    <row r="151" spans="1:11" ht="47.25">
      <c r="A151" s="4" t="s">
        <v>315</v>
      </c>
      <c r="B151" s="4" t="s">
        <v>1090</v>
      </c>
      <c r="C151" s="8" t="s">
        <v>2353</v>
      </c>
      <c r="D151" s="8" t="s">
        <v>2353</v>
      </c>
      <c r="E151" s="8" t="s">
        <v>48</v>
      </c>
      <c r="F151" s="8" t="s">
        <v>2353</v>
      </c>
      <c r="G151" s="8" t="s">
        <v>63</v>
      </c>
      <c r="H151" s="8" t="s">
        <v>2354</v>
      </c>
      <c r="I151" s="8" t="s">
        <v>1674</v>
      </c>
      <c r="J151" s="8" t="s">
        <v>2341</v>
      </c>
      <c r="K151" s="8" t="s">
        <v>2342</v>
      </c>
    </row>
    <row r="152" spans="1:11" ht="47.25">
      <c r="A152" s="4" t="s">
        <v>315</v>
      </c>
      <c r="B152" s="4" t="s">
        <v>1091</v>
      </c>
      <c r="C152" s="8" t="s">
        <v>78</v>
      </c>
      <c r="D152" s="8" t="s">
        <v>78</v>
      </c>
      <c r="E152" s="8" t="s">
        <v>2480</v>
      </c>
      <c r="F152" s="8" t="s">
        <v>78</v>
      </c>
      <c r="G152" s="8" t="s">
        <v>2483</v>
      </c>
      <c r="H152" s="8" t="s">
        <v>2484</v>
      </c>
      <c r="I152" s="8" t="s">
        <v>1676</v>
      </c>
      <c r="J152" s="8" t="s">
        <v>2485</v>
      </c>
      <c r="K152" s="8" t="s">
        <v>2342</v>
      </c>
    </row>
    <row r="153" spans="1:11" ht="47.25">
      <c r="A153" s="4" t="s">
        <v>315</v>
      </c>
      <c r="B153" s="4" t="s">
        <v>35</v>
      </c>
      <c r="C153" s="8" t="s">
        <v>78</v>
      </c>
      <c r="D153" s="8" t="s">
        <v>78</v>
      </c>
      <c r="E153" s="8" t="s">
        <v>2480</v>
      </c>
      <c r="F153" s="8" t="s">
        <v>78</v>
      </c>
      <c r="G153" s="8" t="s">
        <v>2483</v>
      </c>
      <c r="H153" s="8" t="s">
        <v>2484</v>
      </c>
      <c r="I153" s="8" t="s">
        <v>1676</v>
      </c>
      <c r="J153" s="8" t="s">
        <v>2485</v>
      </c>
      <c r="K153" s="8" t="s">
        <v>2342</v>
      </c>
    </row>
    <row r="154" spans="1:11" ht="47.25">
      <c r="A154" s="4" t="s">
        <v>324</v>
      </c>
      <c r="B154" s="4" t="s">
        <v>1028</v>
      </c>
      <c r="C154" s="8" t="s">
        <v>41</v>
      </c>
      <c r="D154" s="8" t="s">
        <v>41</v>
      </c>
      <c r="E154" s="8" t="s">
        <v>48</v>
      </c>
      <c r="F154" s="8" t="s">
        <v>41</v>
      </c>
      <c r="G154" s="8" t="s">
        <v>63</v>
      </c>
      <c r="H154" s="8" t="s">
        <v>2339</v>
      </c>
      <c r="I154" s="8" t="s">
        <v>2486</v>
      </c>
      <c r="J154" s="8" t="s">
        <v>2341</v>
      </c>
      <c r="K154" s="8" t="s">
        <v>2342</v>
      </c>
    </row>
    <row r="155" spans="1:11" ht="47.25">
      <c r="A155" s="4" t="s">
        <v>324</v>
      </c>
      <c r="B155" s="4" t="s">
        <v>1030</v>
      </c>
      <c r="C155" s="8" t="s">
        <v>57</v>
      </c>
      <c r="D155" s="8" t="s">
        <v>57</v>
      </c>
      <c r="E155" s="8" t="s">
        <v>48</v>
      </c>
      <c r="F155" s="8" t="s">
        <v>57</v>
      </c>
      <c r="G155" s="8" t="s">
        <v>63</v>
      </c>
      <c r="H155" s="8" t="s">
        <v>2343</v>
      </c>
      <c r="I155" s="8" t="s">
        <v>2487</v>
      </c>
      <c r="J155" s="8" t="s">
        <v>2341</v>
      </c>
      <c r="K155" s="8" t="s">
        <v>2342</v>
      </c>
    </row>
    <row r="156" spans="1:11" ht="47.25">
      <c r="A156" s="4" t="s">
        <v>324</v>
      </c>
      <c r="B156" s="4" t="s">
        <v>1032</v>
      </c>
      <c r="C156" s="8" t="s">
        <v>104</v>
      </c>
      <c r="D156" s="8" t="s">
        <v>104</v>
      </c>
      <c r="E156" s="8" t="s">
        <v>48</v>
      </c>
      <c r="F156" s="8" t="s">
        <v>104</v>
      </c>
      <c r="G156" s="8" t="s">
        <v>63</v>
      </c>
      <c r="H156" s="8" t="s">
        <v>2396</v>
      </c>
      <c r="I156" s="8" t="s">
        <v>2488</v>
      </c>
      <c r="J156" s="8" t="s">
        <v>2341</v>
      </c>
      <c r="K156" s="8" t="s">
        <v>2342</v>
      </c>
    </row>
    <row r="157" spans="1:11" ht="47.25">
      <c r="A157" s="4" t="s">
        <v>324</v>
      </c>
      <c r="B157" s="4" t="s">
        <v>1034</v>
      </c>
      <c r="C157" s="8" t="s">
        <v>59</v>
      </c>
      <c r="D157" s="8" t="s">
        <v>59</v>
      </c>
      <c r="E157" s="8" t="s">
        <v>48</v>
      </c>
      <c r="F157" s="8" t="s">
        <v>59</v>
      </c>
      <c r="G157" s="8" t="s">
        <v>63</v>
      </c>
      <c r="H157" s="8" t="s">
        <v>2364</v>
      </c>
      <c r="I157" s="8" t="s">
        <v>2489</v>
      </c>
      <c r="J157" s="8" t="s">
        <v>2341</v>
      </c>
      <c r="K157" s="8" t="s">
        <v>2342</v>
      </c>
    </row>
    <row r="158" spans="1:11" ht="47.25">
      <c r="A158" s="4" t="s">
        <v>324</v>
      </c>
      <c r="B158" s="4" t="s">
        <v>1038</v>
      </c>
      <c r="C158" s="8" t="s">
        <v>98</v>
      </c>
      <c r="D158" s="8" t="s">
        <v>98</v>
      </c>
      <c r="E158" s="8" t="s">
        <v>48</v>
      </c>
      <c r="F158" s="8" t="s">
        <v>98</v>
      </c>
      <c r="G158" s="8" t="s">
        <v>63</v>
      </c>
      <c r="H158" s="8" t="s">
        <v>2366</v>
      </c>
      <c r="I158" s="8" t="s">
        <v>2490</v>
      </c>
      <c r="J158" s="8" t="s">
        <v>2341</v>
      </c>
      <c r="K158" s="8" t="s">
        <v>2342</v>
      </c>
    </row>
    <row r="159" spans="1:11" ht="47.25">
      <c r="A159" s="4" t="s">
        <v>324</v>
      </c>
      <c r="B159" s="4" t="s">
        <v>1041</v>
      </c>
      <c r="C159" s="8" t="s">
        <v>49</v>
      </c>
      <c r="D159" s="8" t="s">
        <v>49</v>
      </c>
      <c r="E159" s="8" t="s">
        <v>48</v>
      </c>
      <c r="F159" s="8" t="s">
        <v>49</v>
      </c>
      <c r="G159" s="8" t="s">
        <v>63</v>
      </c>
      <c r="H159" s="8" t="s">
        <v>2351</v>
      </c>
      <c r="I159" s="8" t="s">
        <v>2490</v>
      </c>
      <c r="J159" s="8" t="s">
        <v>2341</v>
      </c>
      <c r="K159" s="8" t="s">
        <v>2342</v>
      </c>
    </row>
    <row r="160" spans="1:11" ht="126">
      <c r="A160" s="4" t="s">
        <v>324</v>
      </c>
      <c r="B160" s="4" t="s">
        <v>32</v>
      </c>
      <c r="C160" s="8" t="s">
        <v>99</v>
      </c>
      <c r="D160" s="8" t="s">
        <v>99</v>
      </c>
      <c r="E160" s="8" t="s">
        <v>48</v>
      </c>
      <c r="F160" s="8" t="s">
        <v>99</v>
      </c>
      <c r="G160" s="8" t="s">
        <v>63</v>
      </c>
      <c r="H160" s="8" t="s">
        <v>2491</v>
      </c>
      <c r="I160" s="8" t="s">
        <v>2490</v>
      </c>
      <c r="J160" s="8" t="s">
        <v>2341</v>
      </c>
      <c r="K160" s="8" t="s">
        <v>2342</v>
      </c>
    </row>
    <row r="161" spans="1:11" ht="47.25">
      <c r="A161" s="4" t="s">
        <v>324</v>
      </c>
      <c r="B161" s="4" t="s">
        <v>1090</v>
      </c>
      <c r="C161" s="8" t="s">
        <v>2353</v>
      </c>
      <c r="D161" s="8" t="s">
        <v>2353</v>
      </c>
      <c r="E161" s="8" t="s">
        <v>48</v>
      </c>
      <c r="F161" s="8" t="s">
        <v>2353</v>
      </c>
      <c r="G161" s="8" t="s">
        <v>63</v>
      </c>
      <c r="H161" s="8" t="s">
        <v>2354</v>
      </c>
      <c r="I161" s="8" t="s">
        <v>1617</v>
      </c>
      <c r="J161" s="8" t="s">
        <v>2341</v>
      </c>
      <c r="K161" s="8" t="s">
        <v>2342</v>
      </c>
    </row>
    <row r="162" spans="1:11" ht="141.75">
      <c r="A162" s="4" t="s">
        <v>324</v>
      </c>
      <c r="B162" s="4" t="s">
        <v>1091</v>
      </c>
      <c r="C162" s="8" t="s">
        <v>2355</v>
      </c>
      <c r="D162" s="8" t="s">
        <v>2355</v>
      </c>
      <c r="E162" s="8" t="s">
        <v>48</v>
      </c>
      <c r="F162" s="8" t="s">
        <v>2355</v>
      </c>
      <c r="G162" s="8" t="s">
        <v>63</v>
      </c>
      <c r="H162" s="8" t="s">
        <v>2492</v>
      </c>
      <c r="I162" s="8" t="s">
        <v>2493</v>
      </c>
      <c r="J162" s="8" t="s">
        <v>2341</v>
      </c>
      <c r="K162" s="8" t="s">
        <v>2342</v>
      </c>
    </row>
    <row r="163" spans="1:11" ht="47.25">
      <c r="A163" s="4" t="s">
        <v>324</v>
      </c>
      <c r="B163" s="4" t="s">
        <v>35</v>
      </c>
      <c r="C163" s="8" t="s">
        <v>50</v>
      </c>
      <c r="D163" s="8" t="s">
        <v>50</v>
      </c>
      <c r="E163" s="8" t="s">
        <v>48</v>
      </c>
      <c r="F163" s="8" t="s">
        <v>50</v>
      </c>
      <c r="G163" s="8" t="s">
        <v>63</v>
      </c>
      <c r="H163" s="8" t="s">
        <v>2358</v>
      </c>
      <c r="I163" s="8" t="s">
        <v>2494</v>
      </c>
      <c r="J163" s="8" t="s">
        <v>2341</v>
      </c>
      <c r="K163" s="8" t="s">
        <v>2342</v>
      </c>
    </row>
    <row r="164" spans="1:11" ht="47.25">
      <c r="A164" s="4" t="s">
        <v>332</v>
      </c>
      <c r="B164" s="4" t="s">
        <v>1028</v>
      </c>
      <c r="C164" s="8" t="s">
        <v>41</v>
      </c>
      <c r="D164" s="8" t="s">
        <v>41</v>
      </c>
      <c r="E164" s="8" t="s">
        <v>48</v>
      </c>
      <c r="F164" s="8" t="s">
        <v>41</v>
      </c>
      <c r="G164" s="8" t="s">
        <v>63</v>
      </c>
      <c r="H164" s="8" t="s">
        <v>2339</v>
      </c>
      <c r="I164" s="8" t="s">
        <v>2495</v>
      </c>
      <c r="J164" s="8" t="s">
        <v>2341</v>
      </c>
      <c r="K164" s="8" t="s">
        <v>2342</v>
      </c>
    </row>
    <row r="165" spans="1:11" ht="47.25">
      <c r="A165" s="4" t="s">
        <v>332</v>
      </c>
      <c r="B165" s="4" t="s">
        <v>1030</v>
      </c>
      <c r="C165" s="8" t="s">
        <v>57</v>
      </c>
      <c r="D165" s="8" t="s">
        <v>57</v>
      </c>
      <c r="E165" s="8" t="s">
        <v>48</v>
      </c>
      <c r="F165" s="8" t="s">
        <v>57</v>
      </c>
      <c r="G165" s="8" t="s">
        <v>63</v>
      </c>
      <c r="H165" s="8" t="s">
        <v>2343</v>
      </c>
      <c r="I165" s="8" t="s">
        <v>2496</v>
      </c>
      <c r="J165" s="8" t="s">
        <v>2341</v>
      </c>
      <c r="K165" s="8" t="s">
        <v>2342</v>
      </c>
    </row>
    <row r="166" spans="1:11" ht="47.25">
      <c r="A166" s="4" t="s">
        <v>332</v>
      </c>
      <c r="B166" s="4" t="s">
        <v>1032</v>
      </c>
      <c r="C166" s="8" t="s">
        <v>104</v>
      </c>
      <c r="D166" s="8" t="s">
        <v>104</v>
      </c>
      <c r="E166" s="8" t="s">
        <v>48</v>
      </c>
      <c r="F166" s="8" t="s">
        <v>104</v>
      </c>
      <c r="G166" s="8" t="s">
        <v>63</v>
      </c>
      <c r="H166" s="8" t="s">
        <v>2396</v>
      </c>
      <c r="I166" s="8" t="s">
        <v>2497</v>
      </c>
      <c r="J166" s="8" t="s">
        <v>2341</v>
      </c>
      <c r="K166" s="8" t="s">
        <v>2342</v>
      </c>
    </row>
    <row r="167" spans="1:11" ht="47.25">
      <c r="A167" s="4" t="s">
        <v>332</v>
      </c>
      <c r="B167" s="4" t="s">
        <v>1034</v>
      </c>
      <c r="C167" s="8" t="s">
        <v>59</v>
      </c>
      <c r="D167" s="8" t="s">
        <v>59</v>
      </c>
      <c r="E167" s="8" t="s">
        <v>48</v>
      </c>
      <c r="F167" s="8" t="s">
        <v>59</v>
      </c>
      <c r="G167" s="8" t="s">
        <v>63</v>
      </c>
      <c r="H167" s="8" t="s">
        <v>2364</v>
      </c>
      <c r="I167" s="8" t="s">
        <v>2498</v>
      </c>
      <c r="J167" s="8" t="s">
        <v>2341</v>
      </c>
      <c r="K167" s="8" t="s">
        <v>2342</v>
      </c>
    </row>
    <row r="168" spans="1:11" ht="47.25">
      <c r="A168" s="4" t="s">
        <v>332</v>
      </c>
      <c r="B168" s="4" t="s">
        <v>1038</v>
      </c>
      <c r="C168" s="8" t="s">
        <v>98</v>
      </c>
      <c r="D168" s="8" t="s">
        <v>98</v>
      </c>
      <c r="E168" s="8" t="s">
        <v>48</v>
      </c>
      <c r="F168" s="8" t="s">
        <v>98</v>
      </c>
      <c r="G168" s="8" t="s">
        <v>63</v>
      </c>
      <c r="H168" s="8" t="s">
        <v>2366</v>
      </c>
      <c r="I168" s="8" t="s">
        <v>2499</v>
      </c>
      <c r="J168" s="8" t="s">
        <v>2341</v>
      </c>
      <c r="K168" s="8" t="s">
        <v>2342</v>
      </c>
    </row>
    <row r="169" spans="1:11" ht="47.25">
      <c r="A169" s="4" t="s">
        <v>332</v>
      </c>
      <c r="B169" s="4" t="s">
        <v>1041</v>
      </c>
      <c r="C169" s="8" t="s">
        <v>49</v>
      </c>
      <c r="D169" s="8" t="s">
        <v>49</v>
      </c>
      <c r="E169" s="8" t="s">
        <v>48</v>
      </c>
      <c r="F169" s="8" t="s">
        <v>49</v>
      </c>
      <c r="G169" s="8" t="s">
        <v>63</v>
      </c>
      <c r="H169" s="8" t="s">
        <v>2351</v>
      </c>
      <c r="I169" s="8" t="s">
        <v>2499</v>
      </c>
      <c r="J169" s="8" t="s">
        <v>2341</v>
      </c>
      <c r="K169" s="8" t="s">
        <v>2342</v>
      </c>
    </row>
    <row r="170" spans="1:11" ht="94.5">
      <c r="A170" s="4" t="s">
        <v>332</v>
      </c>
      <c r="B170" s="4" t="s">
        <v>32</v>
      </c>
      <c r="C170" s="8" t="s">
        <v>89</v>
      </c>
      <c r="D170" s="8" t="s">
        <v>89</v>
      </c>
      <c r="E170" s="8" t="s">
        <v>48</v>
      </c>
      <c r="F170" s="8" t="s">
        <v>89</v>
      </c>
      <c r="G170" s="8" t="s">
        <v>63</v>
      </c>
      <c r="H170" s="8" t="s">
        <v>2500</v>
      </c>
      <c r="I170" s="8" t="s">
        <v>2499</v>
      </c>
      <c r="J170" s="8" t="s">
        <v>2341</v>
      </c>
      <c r="K170" s="8" t="s">
        <v>2342</v>
      </c>
    </row>
    <row r="171" spans="1:11" ht="47.25">
      <c r="A171" s="4" t="s">
        <v>332</v>
      </c>
      <c r="B171" s="4" t="s">
        <v>1090</v>
      </c>
      <c r="C171" s="8" t="s">
        <v>2353</v>
      </c>
      <c r="D171" s="8" t="s">
        <v>2353</v>
      </c>
      <c r="E171" s="8" t="s">
        <v>48</v>
      </c>
      <c r="F171" s="8" t="s">
        <v>2353</v>
      </c>
      <c r="G171" s="8" t="s">
        <v>63</v>
      </c>
      <c r="H171" s="8" t="s">
        <v>2354</v>
      </c>
      <c r="I171" s="8" t="s">
        <v>1617</v>
      </c>
      <c r="J171" s="8" t="s">
        <v>2341</v>
      </c>
      <c r="K171" s="8" t="s">
        <v>2342</v>
      </c>
    </row>
    <row r="172" spans="1:11" ht="141.75">
      <c r="A172" s="4" t="s">
        <v>332</v>
      </c>
      <c r="B172" s="4" t="s">
        <v>1091</v>
      </c>
      <c r="C172" s="8" t="s">
        <v>2401</v>
      </c>
      <c r="D172" s="8" t="s">
        <v>2401</v>
      </c>
      <c r="E172" s="8" t="s">
        <v>48</v>
      </c>
      <c r="F172" s="8" t="s">
        <v>2401</v>
      </c>
      <c r="G172" s="8" t="s">
        <v>63</v>
      </c>
      <c r="H172" s="8" t="s">
        <v>2501</v>
      </c>
      <c r="I172" s="8" t="s">
        <v>2502</v>
      </c>
      <c r="J172" s="8" t="s">
        <v>2341</v>
      </c>
      <c r="K172" s="8" t="s">
        <v>2342</v>
      </c>
    </row>
    <row r="173" spans="1:11" ht="47.25">
      <c r="A173" s="4" t="s">
        <v>332</v>
      </c>
      <c r="B173" s="4" t="s">
        <v>35</v>
      </c>
      <c r="C173" s="8" t="s">
        <v>50</v>
      </c>
      <c r="D173" s="8" t="s">
        <v>50</v>
      </c>
      <c r="E173" s="8" t="s">
        <v>48</v>
      </c>
      <c r="F173" s="8" t="s">
        <v>50</v>
      </c>
      <c r="G173" s="8" t="s">
        <v>63</v>
      </c>
      <c r="H173" s="8" t="s">
        <v>2358</v>
      </c>
      <c r="I173" s="8" t="s">
        <v>2503</v>
      </c>
      <c r="J173" s="8" t="s">
        <v>2341</v>
      </c>
      <c r="K173" s="8" t="s">
        <v>2342</v>
      </c>
    </row>
    <row r="174" spans="1:11" ht="47.25">
      <c r="A174" s="4" t="s">
        <v>340</v>
      </c>
      <c r="B174" s="4" t="s">
        <v>1028</v>
      </c>
      <c r="C174" s="8" t="s">
        <v>41</v>
      </c>
      <c r="D174" s="8" t="s">
        <v>41</v>
      </c>
      <c r="E174" s="8" t="s">
        <v>48</v>
      </c>
      <c r="F174" s="8" t="s">
        <v>41</v>
      </c>
      <c r="G174" s="8" t="s">
        <v>63</v>
      </c>
      <c r="H174" s="8" t="s">
        <v>2339</v>
      </c>
      <c r="I174" s="8" t="s">
        <v>2504</v>
      </c>
      <c r="J174" s="8" t="s">
        <v>2341</v>
      </c>
      <c r="K174" s="8" t="s">
        <v>2342</v>
      </c>
    </row>
    <row r="175" spans="1:11" ht="47.25">
      <c r="A175" s="4" t="s">
        <v>340</v>
      </c>
      <c r="B175" s="4" t="s">
        <v>1030</v>
      </c>
      <c r="C175" s="8" t="s">
        <v>57</v>
      </c>
      <c r="D175" s="8" t="s">
        <v>57</v>
      </c>
      <c r="E175" s="8" t="s">
        <v>48</v>
      </c>
      <c r="F175" s="8" t="s">
        <v>57</v>
      </c>
      <c r="G175" s="8" t="s">
        <v>63</v>
      </c>
      <c r="H175" s="8" t="s">
        <v>2343</v>
      </c>
      <c r="I175" s="8" t="s">
        <v>2505</v>
      </c>
      <c r="J175" s="8" t="s">
        <v>2341</v>
      </c>
      <c r="K175" s="8" t="s">
        <v>2342</v>
      </c>
    </row>
    <row r="176" spans="1:11" ht="47.25">
      <c r="A176" s="4" t="s">
        <v>340</v>
      </c>
      <c r="B176" s="4" t="s">
        <v>1032</v>
      </c>
      <c r="C176" s="8" t="s">
        <v>104</v>
      </c>
      <c r="D176" s="8" t="s">
        <v>104</v>
      </c>
      <c r="E176" s="8" t="s">
        <v>48</v>
      </c>
      <c r="F176" s="8" t="s">
        <v>104</v>
      </c>
      <c r="G176" s="8" t="s">
        <v>63</v>
      </c>
      <c r="H176" s="8" t="s">
        <v>2396</v>
      </c>
      <c r="I176" s="8" t="s">
        <v>2506</v>
      </c>
      <c r="J176" s="8" t="s">
        <v>2341</v>
      </c>
      <c r="K176" s="8" t="s">
        <v>2342</v>
      </c>
    </row>
    <row r="177" spans="1:11" ht="47.25">
      <c r="A177" s="4" t="s">
        <v>340</v>
      </c>
      <c r="B177" s="4" t="s">
        <v>1034</v>
      </c>
      <c r="C177" s="8" t="s">
        <v>59</v>
      </c>
      <c r="D177" s="8" t="s">
        <v>59</v>
      </c>
      <c r="E177" s="8" t="s">
        <v>48</v>
      </c>
      <c r="F177" s="8" t="s">
        <v>59</v>
      </c>
      <c r="G177" s="8" t="s">
        <v>63</v>
      </c>
      <c r="H177" s="8" t="s">
        <v>2364</v>
      </c>
      <c r="I177" s="8" t="s">
        <v>2507</v>
      </c>
      <c r="J177" s="8" t="s">
        <v>2341</v>
      </c>
      <c r="K177" s="8" t="s">
        <v>2342</v>
      </c>
    </row>
    <row r="178" spans="1:11" ht="47.25">
      <c r="A178" s="4" t="s">
        <v>340</v>
      </c>
      <c r="B178" s="4" t="s">
        <v>1038</v>
      </c>
      <c r="C178" s="8" t="s">
        <v>98</v>
      </c>
      <c r="D178" s="8" t="s">
        <v>98</v>
      </c>
      <c r="E178" s="8" t="s">
        <v>48</v>
      </c>
      <c r="F178" s="8" t="s">
        <v>98</v>
      </c>
      <c r="G178" s="8" t="s">
        <v>63</v>
      </c>
      <c r="H178" s="8" t="s">
        <v>2366</v>
      </c>
      <c r="I178" s="8" t="s">
        <v>2508</v>
      </c>
      <c r="J178" s="8" t="s">
        <v>2341</v>
      </c>
      <c r="K178" s="8" t="s">
        <v>2342</v>
      </c>
    </row>
    <row r="179" spans="1:11" ht="47.25">
      <c r="A179" s="4" t="s">
        <v>340</v>
      </c>
      <c r="B179" s="4" t="s">
        <v>1041</v>
      </c>
      <c r="C179" s="8" t="s">
        <v>49</v>
      </c>
      <c r="D179" s="8" t="s">
        <v>49</v>
      </c>
      <c r="E179" s="8" t="s">
        <v>48</v>
      </c>
      <c r="F179" s="8" t="s">
        <v>49</v>
      </c>
      <c r="G179" s="8" t="s">
        <v>63</v>
      </c>
      <c r="H179" s="8" t="s">
        <v>2351</v>
      </c>
      <c r="I179" s="8" t="s">
        <v>2508</v>
      </c>
      <c r="J179" s="8" t="s">
        <v>2341</v>
      </c>
      <c r="K179" s="8" t="s">
        <v>2342</v>
      </c>
    </row>
    <row r="180" spans="1:11" ht="126">
      <c r="A180" s="4" t="s">
        <v>340</v>
      </c>
      <c r="B180" s="4" t="s">
        <v>32</v>
      </c>
      <c r="C180" s="8" t="s">
        <v>99</v>
      </c>
      <c r="D180" s="8" t="s">
        <v>99</v>
      </c>
      <c r="E180" s="8" t="s">
        <v>48</v>
      </c>
      <c r="F180" s="8" t="s">
        <v>99</v>
      </c>
      <c r="G180" s="8" t="s">
        <v>63</v>
      </c>
      <c r="H180" s="8" t="s">
        <v>2509</v>
      </c>
      <c r="I180" s="8" t="s">
        <v>2508</v>
      </c>
      <c r="J180" s="8" t="s">
        <v>2341</v>
      </c>
      <c r="K180" s="8" t="s">
        <v>2342</v>
      </c>
    </row>
    <row r="181" spans="1:11" ht="47.25">
      <c r="A181" s="4" t="s">
        <v>340</v>
      </c>
      <c r="B181" s="4" t="s">
        <v>1090</v>
      </c>
      <c r="C181" s="8" t="s">
        <v>2353</v>
      </c>
      <c r="D181" s="8" t="s">
        <v>2353</v>
      </c>
      <c r="E181" s="8" t="s">
        <v>48</v>
      </c>
      <c r="F181" s="8" t="s">
        <v>2353</v>
      </c>
      <c r="G181" s="8" t="s">
        <v>63</v>
      </c>
      <c r="H181" s="8" t="s">
        <v>2354</v>
      </c>
      <c r="I181" s="8" t="s">
        <v>1617</v>
      </c>
      <c r="J181" s="8" t="s">
        <v>2341</v>
      </c>
      <c r="K181" s="8" t="s">
        <v>2342</v>
      </c>
    </row>
    <row r="182" spans="1:11" ht="141.75">
      <c r="A182" s="4" t="s">
        <v>340</v>
      </c>
      <c r="B182" s="4" t="s">
        <v>1091</v>
      </c>
      <c r="C182" s="8" t="s">
        <v>2355</v>
      </c>
      <c r="D182" s="8" t="s">
        <v>2355</v>
      </c>
      <c r="E182" s="8" t="s">
        <v>48</v>
      </c>
      <c r="F182" s="8" t="s">
        <v>2355</v>
      </c>
      <c r="G182" s="8" t="s">
        <v>63</v>
      </c>
      <c r="H182" s="8" t="s">
        <v>2510</v>
      </c>
      <c r="I182" s="8" t="s">
        <v>2511</v>
      </c>
      <c r="J182" s="8" t="s">
        <v>2341</v>
      </c>
      <c r="K182" s="8" t="s">
        <v>2342</v>
      </c>
    </row>
    <row r="183" spans="1:11" ht="47.25">
      <c r="A183" s="4" t="s">
        <v>340</v>
      </c>
      <c r="B183" s="4" t="s">
        <v>35</v>
      </c>
      <c r="C183" s="8" t="s">
        <v>50</v>
      </c>
      <c r="D183" s="8" t="s">
        <v>50</v>
      </c>
      <c r="E183" s="8" t="s">
        <v>48</v>
      </c>
      <c r="F183" s="8" t="s">
        <v>50</v>
      </c>
      <c r="G183" s="8" t="s">
        <v>63</v>
      </c>
      <c r="H183" s="8" t="s">
        <v>2358</v>
      </c>
      <c r="I183" s="8" t="s">
        <v>2512</v>
      </c>
      <c r="J183" s="8" t="s">
        <v>2341</v>
      </c>
      <c r="K183" s="8" t="s">
        <v>2342</v>
      </c>
    </row>
    <row r="184" spans="1:11" ht="47.25">
      <c r="A184" s="4" t="s">
        <v>348</v>
      </c>
      <c r="B184" s="4" t="s">
        <v>1028</v>
      </c>
      <c r="C184" s="8" t="s">
        <v>41</v>
      </c>
      <c r="D184" s="8" t="s">
        <v>41</v>
      </c>
      <c r="E184" s="8" t="s">
        <v>48</v>
      </c>
      <c r="F184" s="8" t="s">
        <v>41</v>
      </c>
      <c r="G184" s="8" t="s">
        <v>63</v>
      </c>
      <c r="H184" s="8" t="s">
        <v>2339</v>
      </c>
      <c r="I184" s="8" t="s">
        <v>2513</v>
      </c>
      <c r="J184" s="8" t="s">
        <v>2341</v>
      </c>
      <c r="K184" s="8" t="s">
        <v>2342</v>
      </c>
    </row>
    <row r="185" spans="1:11" ht="47.25">
      <c r="A185" s="4" t="s">
        <v>348</v>
      </c>
      <c r="B185" s="4" t="s">
        <v>1030</v>
      </c>
      <c r="C185" s="8" t="s">
        <v>57</v>
      </c>
      <c r="D185" s="8" t="s">
        <v>57</v>
      </c>
      <c r="E185" s="8" t="s">
        <v>48</v>
      </c>
      <c r="F185" s="8" t="s">
        <v>57</v>
      </c>
      <c r="G185" s="8" t="s">
        <v>63</v>
      </c>
      <c r="H185" s="8" t="s">
        <v>2343</v>
      </c>
      <c r="I185" s="8" t="s">
        <v>2514</v>
      </c>
      <c r="J185" s="8" t="s">
        <v>2341</v>
      </c>
      <c r="K185" s="8" t="s">
        <v>2342</v>
      </c>
    </row>
    <row r="186" spans="1:11" ht="47.25">
      <c r="A186" s="4" t="s">
        <v>348</v>
      </c>
      <c r="B186" s="4" t="s">
        <v>1032</v>
      </c>
      <c r="C186" s="8" t="s">
        <v>104</v>
      </c>
      <c r="D186" s="8" t="s">
        <v>104</v>
      </c>
      <c r="E186" s="8" t="s">
        <v>48</v>
      </c>
      <c r="F186" s="8" t="s">
        <v>104</v>
      </c>
      <c r="G186" s="8" t="s">
        <v>63</v>
      </c>
      <c r="H186" s="8" t="s">
        <v>2396</v>
      </c>
      <c r="I186" s="8" t="s">
        <v>2515</v>
      </c>
      <c r="J186" s="8" t="s">
        <v>2341</v>
      </c>
      <c r="K186" s="8" t="s">
        <v>2342</v>
      </c>
    </row>
    <row r="187" spans="1:11" ht="47.25">
      <c r="A187" s="4" t="s">
        <v>348</v>
      </c>
      <c r="B187" s="4" t="s">
        <v>1034</v>
      </c>
      <c r="C187" s="8" t="s">
        <v>59</v>
      </c>
      <c r="D187" s="8" t="s">
        <v>59</v>
      </c>
      <c r="E187" s="8" t="s">
        <v>48</v>
      </c>
      <c r="F187" s="8" t="s">
        <v>59</v>
      </c>
      <c r="G187" s="8" t="s">
        <v>63</v>
      </c>
      <c r="H187" s="8" t="s">
        <v>2364</v>
      </c>
      <c r="I187" s="8" t="s">
        <v>2516</v>
      </c>
      <c r="J187" s="8" t="s">
        <v>2341</v>
      </c>
      <c r="K187" s="8" t="s">
        <v>2342</v>
      </c>
    </row>
    <row r="188" spans="1:11" ht="47.25">
      <c r="A188" s="4" t="s">
        <v>348</v>
      </c>
      <c r="B188" s="4" t="s">
        <v>1038</v>
      </c>
      <c r="C188" s="8" t="s">
        <v>98</v>
      </c>
      <c r="D188" s="8" t="s">
        <v>98</v>
      </c>
      <c r="E188" s="8" t="s">
        <v>48</v>
      </c>
      <c r="F188" s="8" t="s">
        <v>98</v>
      </c>
      <c r="G188" s="8" t="s">
        <v>63</v>
      </c>
      <c r="H188" s="8" t="s">
        <v>2366</v>
      </c>
      <c r="I188" s="8" t="s">
        <v>2517</v>
      </c>
      <c r="J188" s="8" t="s">
        <v>2341</v>
      </c>
      <c r="K188" s="8" t="s">
        <v>2342</v>
      </c>
    </row>
    <row r="189" spans="1:11" ht="47.25">
      <c r="A189" s="4" t="s">
        <v>348</v>
      </c>
      <c r="B189" s="4" t="s">
        <v>1041</v>
      </c>
      <c r="C189" s="8" t="s">
        <v>49</v>
      </c>
      <c r="D189" s="8" t="s">
        <v>49</v>
      </c>
      <c r="E189" s="8" t="s">
        <v>48</v>
      </c>
      <c r="F189" s="8" t="s">
        <v>49</v>
      </c>
      <c r="G189" s="8" t="s">
        <v>63</v>
      </c>
      <c r="H189" s="8" t="s">
        <v>2351</v>
      </c>
      <c r="I189" s="8" t="s">
        <v>2517</v>
      </c>
      <c r="J189" s="8" t="s">
        <v>2341</v>
      </c>
      <c r="K189" s="8" t="s">
        <v>2342</v>
      </c>
    </row>
    <row r="190" spans="1:11" ht="141.75">
      <c r="A190" s="4" t="s">
        <v>348</v>
      </c>
      <c r="B190" s="4" t="s">
        <v>32</v>
      </c>
      <c r="C190" s="8" t="s">
        <v>99</v>
      </c>
      <c r="D190" s="8" t="s">
        <v>99</v>
      </c>
      <c r="E190" s="8" t="s">
        <v>48</v>
      </c>
      <c r="F190" s="8" t="s">
        <v>99</v>
      </c>
      <c r="G190" s="8" t="s">
        <v>63</v>
      </c>
      <c r="H190" s="8" t="s">
        <v>2518</v>
      </c>
      <c r="I190" s="8" t="s">
        <v>2517</v>
      </c>
      <c r="J190" s="8" t="s">
        <v>2341</v>
      </c>
      <c r="K190" s="8" t="s">
        <v>2342</v>
      </c>
    </row>
    <row r="191" spans="1:11" ht="47.25">
      <c r="A191" s="4" t="s">
        <v>348</v>
      </c>
      <c r="B191" s="4" t="s">
        <v>1090</v>
      </c>
      <c r="C191" s="8" t="s">
        <v>2353</v>
      </c>
      <c r="D191" s="8" t="s">
        <v>2353</v>
      </c>
      <c r="E191" s="8" t="s">
        <v>48</v>
      </c>
      <c r="F191" s="8" t="s">
        <v>2353</v>
      </c>
      <c r="G191" s="8" t="s">
        <v>63</v>
      </c>
      <c r="H191" s="8" t="s">
        <v>2354</v>
      </c>
      <c r="I191" s="8" t="s">
        <v>1617</v>
      </c>
      <c r="J191" s="8" t="s">
        <v>2341</v>
      </c>
      <c r="K191" s="8" t="s">
        <v>2342</v>
      </c>
    </row>
    <row r="192" spans="1:11" ht="141.75">
      <c r="A192" s="4" t="s">
        <v>348</v>
      </c>
      <c r="B192" s="4" t="s">
        <v>1091</v>
      </c>
      <c r="C192" s="8" t="s">
        <v>2355</v>
      </c>
      <c r="D192" s="8" t="s">
        <v>2355</v>
      </c>
      <c r="E192" s="8" t="s">
        <v>48</v>
      </c>
      <c r="F192" s="8" t="s">
        <v>2355</v>
      </c>
      <c r="G192" s="8" t="s">
        <v>63</v>
      </c>
      <c r="H192" s="8" t="s">
        <v>2519</v>
      </c>
      <c r="I192" s="8" t="s">
        <v>2520</v>
      </c>
      <c r="J192" s="8" t="s">
        <v>2341</v>
      </c>
      <c r="K192" s="8" t="s">
        <v>2342</v>
      </c>
    </row>
    <row r="193" spans="1:11" ht="47.25">
      <c r="A193" s="4" t="s">
        <v>348</v>
      </c>
      <c r="B193" s="4" t="s">
        <v>35</v>
      </c>
      <c r="C193" s="8" t="s">
        <v>50</v>
      </c>
      <c r="D193" s="8" t="s">
        <v>50</v>
      </c>
      <c r="E193" s="8" t="s">
        <v>48</v>
      </c>
      <c r="F193" s="8" t="s">
        <v>50</v>
      </c>
      <c r="G193" s="8" t="s">
        <v>63</v>
      </c>
      <c r="H193" s="8" t="s">
        <v>2358</v>
      </c>
      <c r="I193" s="8" t="s">
        <v>2521</v>
      </c>
      <c r="J193" s="8" t="s">
        <v>2341</v>
      </c>
      <c r="K193" s="8" t="s">
        <v>2342</v>
      </c>
    </row>
    <row r="194" spans="1:11" ht="47.25">
      <c r="A194" s="4" t="s">
        <v>356</v>
      </c>
      <c r="B194" s="4" t="s">
        <v>1028</v>
      </c>
      <c r="C194" s="8" t="s">
        <v>41</v>
      </c>
      <c r="D194" s="8" t="s">
        <v>41</v>
      </c>
      <c r="E194" s="8" t="s">
        <v>48</v>
      </c>
      <c r="F194" s="8" t="s">
        <v>41</v>
      </c>
      <c r="G194" s="8" t="s">
        <v>63</v>
      </c>
      <c r="H194" s="8" t="s">
        <v>2339</v>
      </c>
      <c r="I194" s="8" t="s">
        <v>2522</v>
      </c>
      <c r="J194" s="8" t="s">
        <v>2341</v>
      </c>
      <c r="K194" s="8" t="s">
        <v>2342</v>
      </c>
    </row>
    <row r="195" spans="1:11" ht="47.25">
      <c r="A195" s="4" t="s">
        <v>356</v>
      </c>
      <c r="B195" s="4" t="s">
        <v>1030</v>
      </c>
      <c r="C195" s="8" t="s">
        <v>57</v>
      </c>
      <c r="D195" s="8" t="s">
        <v>57</v>
      </c>
      <c r="E195" s="8" t="s">
        <v>48</v>
      </c>
      <c r="F195" s="8" t="s">
        <v>57</v>
      </c>
      <c r="G195" s="8" t="s">
        <v>63</v>
      </c>
      <c r="H195" s="8" t="s">
        <v>2343</v>
      </c>
      <c r="I195" s="8" t="s">
        <v>2523</v>
      </c>
      <c r="J195" s="8" t="s">
        <v>2341</v>
      </c>
      <c r="K195" s="8" t="s">
        <v>2342</v>
      </c>
    </row>
    <row r="196" spans="1:11" ht="47.25">
      <c r="A196" s="4" t="s">
        <v>356</v>
      </c>
      <c r="B196" s="4" t="s">
        <v>1032</v>
      </c>
      <c r="C196" s="8" t="s">
        <v>73</v>
      </c>
      <c r="D196" s="8" t="s">
        <v>73</v>
      </c>
      <c r="E196" s="8" t="s">
        <v>48</v>
      </c>
      <c r="F196" s="8" t="s">
        <v>73</v>
      </c>
      <c r="G196" s="8" t="s">
        <v>63</v>
      </c>
      <c r="H196" s="8" t="s">
        <v>2416</v>
      </c>
      <c r="I196" s="8" t="s">
        <v>2524</v>
      </c>
      <c r="J196" s="8" t="s">
        <v>2341</v>
      </c>
      <c r="K196" s="8" t="s">
        <v>2342</v>
      </c>
    </row>
    <row r="197" spans="1:11" ht="47.25">
      <c r="A197" s="4" t="s">
        <v>356</v>
      </c>
      <c r="B197" s="4" t="s">
        <v>1034</v>
      </c>
      <c r="C197" s="8" t="s">
        <v>59</v>
      </c>
      <c r="D197" s="8" t="s">
        <v>59</v>
      </c>
      <c r="E197" s="8" t="s">
        <v>48</v>
      </c>
      <c r="F197" s="8" t="s">
        <v>59</v>
      </c>
      <c r="G197" s="8" t="s">
        <v>63</v>
      </c>
      <c r="H197" s="8" t="s">
        <v>2364</v>
      </c>
      <c r="I197" s="8" t="s">
        <v>2525</v>
      </c>
      <c r="J197" s="8" t="s">
        <v>2341</v>
      </c>
      <c r="K197" s="8" t="s">
        <v>2342</v>
      </c>
    </row>
    <row r="198" spans="1:11" ht="47.25">
      <c r="A198" s="4" t="s">
        <v>356</v>
      </c>
      <c r="B198" s="4" t="s">
        <v>1038</v>
      </c>
      <c r="C198" s="8" t="s">
        <v>88</v>
      </c>
      <c r="D198" s="8" t="s">
        <v>88</v>
      </c>
      <c r="E198" s="8" t="s">
        <v>48</v>
      </c>
      <c r="F198" s="8" t="s">
        <v>88</v>
      </c>
      <c r="G198" s="8" t="s">
        <v>63</v>
      </c>
      <c r="H198" s="8" t="s">
        <v>2387</v>
      </c>
      <c r="I198" s="8" t="s">
        <v>2526</v>
      </c>
      <c r="J198" s="8" t="s">
        <v>2341</v>
      </c>
      <c r="K198" s="8" t="s">
        <v>2342</v>
      </c>
    </row>
    <row r="199" spans="1:11" ht="47.25">
      <c r="A199" s="4" t="s">
        <v>356</v>
      </c>
      <c r="B199" s="4" t="s">
        <v>1041</v>
      </c>
      <c r="C199" s="8" t="s">
        <v>49</v>
      </c>
      <c r="D199" s="8" t="s">
        <v>49</v>
      </c>
      <c r="E199" s="8" t="s">
        <v>48</v>
      </c>
      <c r="F199" s="8" t="s">
        <v>49</v>
      </c>
      <c r="G199" s="8" t="s">
        <v>63</v>
      </c>
      <c r="H199" s="8" t="s">
        <v>2351</v>
      </c>
      <c r="I199" s="8" t="s">
        <v>2526</v>
      </c>
      <c r="J199" s="8" t="s">
        <v>2341</v>
      </c>
      <c r="K199" s="8" t="s">
        <v>2342</v>
      </c>
    </row>
    <row r="200" spans="1:11" ht="126">
      <c r="A200" s="4" t="s">
        <v>356</v>
      </c>
      <c r="B200" s="4" t="s">
        <v>32</v>
      </c>
      <c r="C200" s="8" t="s">
        <v>77</v>
      </c>
      <c r="D200" s="8" t="s">
        <v>77</v>
      </c>
      <c r="E200" s="8" t="s">
        <v>48</v>
      </c>
      <c r="F200" s="8" t="s">
        <v>77</v>
      </c>
      <c r="G200" s="8" t="s">
        <v>63</v>
      </c>
      <c r="H200" s="8" t="s">
        <v>2527</v>
      </c>
      <c r="I200" s="8" t="s">
        <v>2526</v>
      </c>
      <c r="J200" s="8" t="s">
        <v>2341</v>
      </c>
      <c r="K200" s="8" t="s">
        <v>2342</v>
      </c>
    </row>
    <row r="201" spans="1:11" ht="47.25">
      <c r="A201" s="4" t="s">
        <v>356</v>
      </c>
      <c r="B201" s="4" t="s">
        <v>1090</v>
      </c>
      <c r="C201" s="8" t="s">
        <v>2353</v>
      </c>
      <c r="D201" s="8" t="s">
        <v>2353</v>
      </c>
      <c r="E201" s="8" t="s">
        <v>48</v>
      </c>
      <c r="F201" s="8" t="s">
        <v>2353</v>
      </c>
      <c r="G201" s="8" t="s">
        <v>63</v>
      </c>
      <c r="H201" s="8" t="s">
        <v>2354</v>
      </c>
      <c r="I201" s="8" t="s">
        <v>1617</v>
      </c>
      <c r="J201" s="8" t="s">
        <v>2341</v>
      </c>
      <c r="K201" s="8" t="s">
        <v>2342</v>
      </c>
    </row>
    <row r="202" spans="1:11" ht="141.75">
      <c r="A202" s="4" t="s">
        <v>356</v>
      </c>
      <c r="B202" s="4" t="s">
        <v>1091</v>
      </c>
      <c r="C202" s="8" t="s">
        <v>2390</v>
      </c>
      <c r="D202" s="8" t="s">
        <v>2390</v>
      </c>
      <c r="E202" s="8" t="s">
        <v>48</v>
      </c>
      <c r="F202" s="8" t="s">
        <v>2390</v>
      </c>
      <c r="G202" s="8" t="s">
        <v>63</v>
      </c>
      <c r="H202" s="8" t="s">
        <v>2528</v>
      </c>
      <c r="I202" s="8" t="s">
        <v>2529</v>
      </c>
      <c r="J202" s="8" t="s">
        <v>2341</v>
      </c>
      <c r="K202" s="8" t="s">
        <v>2342</v>
      </c>
    </row>
    <row r="203" spans="1:11" ht="47.25">
      <c r="A203" s="4" t="s">
        <v>356</v>
      </c>
      <c r="B203" s="4" t="s">
        <v>35</v>
      </c>
      <c r="C203" s="8" t="s">
        <v>65</v>
      </c>
      <c r="D203" s="8" t="s">
        <v>65</v>
      </c>
      <c r="E203" s="8" t="s">
        <v>48</v>
      </c>
      <c r="F203" s="8" t="s">
        <v>65</v>
      </c>
      <c r="G203" s="8" t="s">
        <v>63</v>
      </c>
      <c r="H203" s="8" t="s">
        <v>2371</v>
      </c>
      <c r="I203" s="8" t="s">
        <v>2530</v>
      </c>
      <c r="J203" s="8" t="s">
        <v>2341</v>
      </c>
      <c r="K203" s="8" t="s">
        <v>2342</v>
      </c>
    </row>
    <row r="204" spans="1:11" ht="47.25">
      <c r="A204" s="4" t="s">
        <v>364</v>
      </c>
      <c r="B204" s="4" t="s">
        <v>1028</v>
      </c>
      <c r="C204" s="8" t="s">
        <v>41</v>
      </c>
      <c r="D204" s="8" t="s">
        <v>41</v>
      </c>
      <c r="E204" s="8" t="s">
        <v>48</v>
      </c>
      <c r="F204" s="8" t="s">
        <v>41</v>
      </c>
      <c r="G204" s="8" t="s">
        <v>63</v>
      </c>
      <c r="H204" s="8" t="s">
        <v>2339</v>
      </c>
      <c r="I204" s="8" t="s">
        <v>2531</v>
      </c>
      <c r="J204" s="8" t="s">
        <v>2341</v>
      </c>
      <c r="K204" s="8" t="s">
        <v>2342</v>
      </c>
    </row>
    <row r="205" spans="1:11" ht="47.25">
      <c r="A205" s="4" t="s">
        <v>364</v>
      </c>
      <c r="B205" s="4" t="s">
        <v>1030</v>
      </c>
      <c r="C205" s="8" t="s">
        <v>57</v>
      </c>
      <c r="D205" s="8" t="s">
        <v>57</v>
      </c>
      <c r="E205" s="8" t="s">
        <v>48</v>
      </c>
      <c r="F205" s="8" t="s">
        <v>57</v>
      </c>
      <c r="G205" s="8" t="s">
        <v>63</v>
      </c>
      <c r="H205" s="8" t="s">
        <v>2343</v>
      </c>
      <c r="I205" s="8" t="s">
        <v>2532</v>
      </c>
      <c r="J205" s="8" t="s">
        <v>2341</v>
      </c>
      <c r="K205" s="8" t="s">
        <v>2342</v>
      </c>
    </row>
    <row r="206" spans="1:11" ht="47.25">
      <c r="A206" s="4" t="s">
        <v>364</v>
      </c>
      <c r="B206" s="4" t="s">
        <v>1032</v>
      </c>
      <c r="C206" s="8" t="s">
        <v>104</v>
      </c>
      <c r="D206" s="8" t="s">
        <v>104</v>
      </c>
      <c r="E206" s="8" t="s">
        <v>48</v>
      </c>
      <c r="F206" s="8" t="s">
        <v>104</v>
      </c>
      <c r="G206" s="8" t="s">
        <v>63</v>
      </c>
      <c r="H206" s="8" t="s">
        <v>2396</v>
      </c>
      <c r="I206" s="8" t="s">
        <v>2533</v>
      </c>
      <c r="J206" s="8" t="s">
        <v>2341</v>
      </c>
      <c r="K206" s="8" t="s">
        <v>2342</v>
      </c>
    </row>
    <row r="207" spans="1:11" ht="47.25">
      <c r="A207" s="4" t="s">
        <v>364</v>
      </c>
      <c r="B207" s="4" t="s">
        <v>1034</v>
      </c>
      <c r="C207" s="8" t="s">
        <v>59</v>
      </c>
      <c r="D207" s="8" t="s">
        <v>59</v>
      </c>
      <c r="E207" s="8" t="s">
        <v>48</v>
      </c>
      <c r="F207" s="8" t="s">
        <v>59</v>
      </c>
      <c r="G207" s="8" t="s">
        <v>63</v>
      </c>
      <c r="H207" s="8" t="s">
        <v>2364</v>
      </c>
      <c r="I207" s="8" t="s">
        <v>2534</v>
      </c>
      <c r="J207" s="8" t="s">
        <v>2341</v>
      </c>
      <c r="K207" s="8" t="s">
        <v>2342</v>
      </c>
    </row>
    <row r="208" spans="1:11" ht="47.25">
      <c r="A208" s="4" t="s">
        <v>364</v>
      </c>
      <c r="B208" s="4" t="s">
        <v>1038</v>
      </c>
      <c r="C208" s="8" t="s">
        <v>98</v>
      </c>
      <c r="D208" s="8" t="s">
        <v>98</v>
      </c>
      <c r="E208" s="8" t="s">
        <v>48</v>
      </c>
      <c r="F208" s="8" t="s">
        <v>98</v>
      </c>
      <c r="G208" s="8" t="s">
        <v>63</v>
      </c>
      <c r="H208" s="8" t="s">
        <v>2366</v>
      </c>
      <c r="I208" s="8" t="s">
        <v>2535</v>
      </c>
      <c r="J208" s="8" t="s">
        <v>2341</v>
      </c>
      <c r="K208" s="8" t="s">
        <v>2342</v>
      </c>
    </row>
    <row r="209" spans="1:11" ht="47.25">
      <c r="A209" s="4" t="s">
        <v>364</v>
      </c>
      <c r="B209" s="4" t="s">
        <v>1041</v>
      </c>
      <c r="C209" s="8" t="s">
        <v>49</v>
      </c>
      <c r="D209" s="8" t="s">
        <v>49</v>
      </c>
      <c r="E209" s="8" t="s">
        <v>48</v>
      </c>
      <c r="F209" s="8" t="s">
        <v>49</v>
      </c>
      <c r="G209" s="8" t="s">
        <v>63</v>
      </c>
      <c r="H209" s="8" t="s">
        <v>2351</v>
      </c>
      <c r="I209" s="8" t="s">
        <v>2535</v>
      </c>
      <c r="J209" s="8" t="s">
        <v>2341</v>
      </c>
      <c r="K209" s="8" t="s">
        <v>2342</v>
      </c>
    </row>
    <row r="210" spans="1:11" ht="126">
      <c r="A210" s="4" t="s">
        <v>364</v>
      </c>
      <c r="B210" s="4" t="s">
        <v>32</v>
      </c>
      <c r="C210" s="8" t="s">
        <v>89</v>
      </c>
      <c r="D210" s="8" t="s">
        <v>89</v>
      </c>
      <c r="E210" s="8" t="s">
        <v>48</v>
      </c>
      <c r="F210" s="8" t="s">
        <v>89</v>
      </c>
      <c r="G210" s="8" t="s">
        <v>63</v>
      </c>
      <c r="H210" s="8" t="s">
        <v>2536</v>
      </c>
      <c r="I210" s="8" t="s">
        <v>2535</v>
      </c>
      <c r="J210" s="8" t="s">
        <v>2341</v>
      </c>
      <c r="K210" s="8" t="s">
        <v>2342</v>
      </c>
    </row>
    <row r="211" spans="1:11" ht="47.25">
      <c r="A211" s="4" t="s">
        <v>364</v>
      </c>
      <c r="B211" s="4" t="s">
        <v>1090</v>
      </c>
      <c r="C211" s="8" t="s">
        <v>2353</v>
      </c>
      <c r="D211" s="8" t="s">
        <v>2353</v>
      </c>
      <c r="E211" s="8" t="s">
        <v>48</v>
      </c>
      <c r="F211" s="8" t="s">
        <v>2353</v>
      </c>
      <c r="G211" s="8" t="s">
        <v>63</v>
      </c>
      <c r="H211" s="8" t="s">
        <v>2354</v>
      </c>
      <c r="I211" s="8" t="s">
        <v>1617</v>
      </c>
      <c r="J211" s="8" t="s">
        <v>2341</v>
      </c>
      <c r="K211" s="8" t="s">
        <v>2342</v>
      </c>
    </row>
    <row r="212" spans="1:11" ht="141.75">
      <c r="A212" s="4" t="s">
        <v>364</v>
      </c>
      <c r="B212" s="4" t="s">
        <v>1091</v>
      </c>
      <c r="C212" s="8" t="s">
        <v>2401</v>
      </c>
      <c r="D212" s="8" t="s">
        <v>2401</v>
      </c>
      <c r="E212" s="8" t="s">
        <v>48</v>
      </c>
      <c r="F212" s="8" t="s">
        <v>2401</v>
      </c>
      <c r="G212" s="8" t="s">
        <v>63</v>
      </c>
      <c r="H212" s="8" t="s">
        <v>2537</v>
      </c>
      <c r="I212" s="8" t="s">
        <v>2538</v>
      </c>
      <c r="J212" s="8" t="s">
        <v>2341</v>
      </c>
      <c r="K212" s="8" t="s">
        <v>2342</v>
      </c>
    </row>
    <row r="213" spans="1:11" ht="47.25">
      <c r="A213" s="4" t="s">
        <v>364</v>
      </c>
      <c r="B213" s="4" t="s">
        <v>35</v>
      </c>
      <c r="C213" s="8" t="s">
        <v>50</v>
      </c>
      <c r="D213" s="8" t="s">
        <v>50</v>
      </c>
      <c r="E213" s="8" t="s">
        <v>48</v>
      </c>
      <c r="F213" s="8" t="s">
        <v>50</v>
      </c>
      <c r="G213" s="8" t="s">
        <v>63</v>
      </c>
      <c r="H213" s="8" t="s">
        <v>2358</v>
      </c>
      <c r="I213" s="8" t="s">
        <v>2539</v>
      </c>
      <c r="J213" s="8" t="s">
        <v>2341</v>
      </c>
      <c r="K213" s="8" t="s">
        <v>2342</v>
      </c>
    </row>
    <row r="214" spans="1:11" ht="47.25">
      <c r="A214" s="4" t="s">
        <v>372</v>
      </c>
      <c r="B214" s="4" t="s">
        <v>1028</v>
      </c>
      <c r="C214" s="8" t="s">
        <v>41</v>
      </c>
      <c r="D214" s="8" t="s">
        <v>41</v>
      </c>
      <c r="E214" s="8" t="s">
        <v>48</v>
      </c>
      <c r="F214" s="8" t="s">
        <v>41</v>
      </c>
      <c r="G214" s="8" t="s">
        <v>63</v>
      </c>
      <c r="H214" s="8" t="s">
        <v>2339</v>
      </c>
      <c r="I214" s="8" t="s">
        <v>2540</v>
      </c>
      <c r="J214" s="8" t="s">
        <v>2341</v>
      </c>
      <c r="K214" s="8" t="s">
        <v>2342</v>
      </c>
    </row>
    <row r="215" spans="1:11" ht="47.25">
      <c r="A215" s="4" t="s">
        <v>372</v>
      </c>
      <c r="B215" s="4" t="s">
        <v>1030</v>
      </c>
      <c r="C215" s="8" t="s">
        <v>57</v>
      </c>
      <c r="D215" s="8" t="s">
        <v>57</v>
      </c>
      <c r="E215" s="8" t="s">
        <v>48</v>
      </c>
      <c r="F215" s="8" t="s">
        <v>57</v>
      </c>
      <c r="G215" s="8" t="s">
        <v>63</v>
      </c>
      <c r="H215" s="8" t="s">
        <v>2343</v>
      </c>
      <c r="I215" s="8" t="s">
        <v>2541</v>
      </c>
      <c r="J215" s="8" t="s">
        <v>2341</v>
      </c>
      <c r="K215" s="8" t="s">
        <v>2342</v>
      </c>
    </row>
    <row r="216" spans="1:11" ht="47.25">
      <c r="A216" s="4" t="s">
        <v>372</v>
      </c>
      <c r="B216" s="4" t="s">
        <v>1032</v>
      </c>
      <c r="C216" s="8" t="s">
        <v>85</v>
      </c>
      <c r="D216" s="8" t="s">
        <v>85</v>
      </c>
      <c r="E216" s="8" t="s">
        <v>48</v>
      </c>
      <c r="F216" s="8" t="s">
        <v>85</v>
      </c>
      <c r="G216" s="8" t="s">
        <v>63</v>
      </c>
      <c r="H216" s="8" t="s">
        <v>2362</v>
      </c>
      <c r="I216" s="8" t="s">
        <v>2542</v>
      </c>
      <c r="J216" s="8" t="s">
        <v>2341</v>
      </c>
      <c r="K216" s="8" t="s">
        <v>2342</v>
      </c>
    </row>
    <row r="217" spans="1:11" ht="47.25">
      <c r="A217" s="4" t="s">
        <v>372</v>
      </c>
      <c r="B217" s="4" t="s">
        <v>1034</v>
      </c>
      <c r="C217" s="8" t="s">
        <v>59</v>
      </c>
      <c r="D217" s="8" t="s">
        <v>59</v>
      </c>
      <c r="E217" s="8" t="s">
        <v>48</v>
      </c>
      <c r="F217" s="8" t="s">
        <v>59</v>
      </c>
      <c r="G217" s="8" t="s">
        <v>63</v>
      </c>
      <c r="H217" s="8" t="s">
        <v>2364</v>
      </c>
      <c r="I217" s="8" t="s">
        <v>2543</v>
      </c>
      <c r="J217" s="8" t="s">
        <v>2341</v>
      </c>
      <c r="K217" s="8" t="s">
        <v>2342</v>
      </c>
    </row>
    <row r="218" spans="1:11" ht="47.25">
      <c r="A218" s="4" t="s">
        <v>372</v>
      </c>
      <c r="B218" s="4" t="s">
        <v>1038</v>
      </c>
      <c r="C218" s="8" t="s">
        <v>98</v>
      </c>
      <c r="D218" s="8" t="s">
        <v>98</v>
      </c>
      <c r="E218" s="8" t="s">
        <v>48</v>
      </c>
      <c r="F218" s="8" t="s">
        <v>98</v>
      </c>
      <c r="G218" s="8" t="s">
        <v>63</v>
      </c>
      <c r="H218" s="8" t="s">
        <v>2366</v>
      </c>
      <c r="I218" s="8" t="s">
        <v>2544</v>
      </c>
      <c r="J218" s="8" t="s">
        <v>2341</v>
      </c>
      <c r="K218" s="8" t="s">
        <v>2342</v>
      </c>
    </row>
    <row r="219" spans="1:11" ht="47.25">
      <c r="A219" s="4" t="s">
        <v>372</v>
      </c>
      <c r="B219" s="4" t="s">
        <v>1041</v>
      </c>
      <c r="C219" s="8" t="s">
        <v>49</v>
      </c>
      <c r="D219" s="8" t="s">
        <v>49</v>
      </c>
      <c r="E219" s="8" t="s">
        <v>48</v>
      </c>
      <c r="F219" s="8" t="s">
        <v>49</v>
      </c>
      <c r="G219" s="8" t="s">
        <v>63</v>
      </c>
      <c r="H219" s="8" t="s">
        <v>2351</v>
      </c>
      <c r="I219" s="8" t="s">
        <v>2544</v>
      </c>
      <c r="J219" s="8" t="s">
        <v>2341</v>
      </c>
      <c r="K219" s="8" t="s">
        <v>2342</v>
      </c>
    </row>
    <row r="220" spans="1:11" ht="126">
      <c r="A220" s="4" t="s">
        <v>372</v>
      </c>
      <c r="B220" s="4" t="s">
        <v>32</v>
      </c>
      <c r="C220" s="8" t="s">
        <v>99</v>
      </c>
      <c r="D220" s="8" t="s">
        <v>99</v>
      </c>
      <c r="E220" s="8" t="s">
        <v>48</v>
      </c>
      <c r="F220" s="8" t="s">
        <v>99</v>
      </c>
      <c r="G220" s="8" t="s">
        <v>63</v>
      </c>
      <c r="H220" s="8" t="s">
        <v>2545</v>
      </c>
      <c r="I220" s="8" t="s">
        <v>2544</v>
      </c>
      <c r="J220" s="8" t="s">
        <v>2341</v>
      </c>
      <c r="K220" s="8" t="s">
        <v>2342</v>
      </c>
    </row>
    <row r="221" spans="1:11" ht="47.25">
      <c r="A221" s="4" t="s">
        <v>372</v>
      </c>
      <c r="B221" s="4" t="s">
        <v>1090</v>
      </c>
      <c r="C221" s="8" t="s">
        <v>2353</v>
      </c>
      <c r="D221" s="8" t="s">
        <v>2353</v>
      </c>
      <c r="E221" s="8" t="s">
        <v>48</v>
      </c>
      <c r="F221" s="8" t="s">
        <v>2353</v>
      </c>
      <c r="G221" s="8" t="s">
        <v>63</v>
      </c>
      <c r="H221" s="8" t="s">
        <v>2354</v>
      </c>
      <c r="I221" s="8" t="s">
        <v>1617</v>
      </c>
      <c r="J221" s="8" t="s">
        <v>2341</v>
      </c>
      <c r="K221" s="8" t="s">
        <v>2342</v>
      </c>
    </row>
    <row r="222" spans="1:11" ht="141.75">
      <c r="A222" s="4" t="s">
        <v>372</v>
      </c>
      <c r="B222" s="4" t="s">
        <v>1091</v>
      </c>
      <c r="C222" s="8" t="s">
        <v>2355</v>
      </c>
      <c r="D222" s="8" t="s">
        <v>2355</v>
      </c>
      <c r="E222" s="8" t="s">
        <v>48</v>
      </c>
      <c r="F222" s="8" t="s">
        <v>2355</v>
      </c>
      <c r="G222" s="8" t="s">
        <v>63</v>
      </c>
      <c r="H222" s="8" t="s">
        <v>2546</v>
      </c>
      <c r="I222" s="8" t="s">
        <v>2547</v>
      </c>
      <c r="J222" s="8" t="s">
        <v>2341</v>
      </c>
      <c r="K222" s="8" t="s">
        <v>2342</v>
      </c>
    </row>
    <row r="223" spans="1:11" ht="47.25">
      <c r="A223" s="4" t="s">
        <v>372</v>
      </c>
      <c r="B223" s="4" t="s">
        <v>35</v>
      </c>
      <c r="C223" s="8" t="s">
        <v>65</v>
      </c>
      <c r="D223" s="8" t="s">
        <v>65</v>
      </c>
      <c r="E223" s="8" t="s">
        <v>48</v>
      </c>
      <c r="F223" s="8" t="s">
        <v>65</v>
      </c>
      <c r="G223" s="8" t="s">
        <v>63</v>
      </c>
      <c r="H223" s="8" t="s">
        <v>2371</v>
      </c>
      <c r="I223" s="8" t="s">
        <v>2548</v>
      </c>
      <c r="J223" s="8" t="s">
        <v>2341</v>
      </c>
      <c r="K223" s="8" t="s">
        <v>2342</v>
      </c>
    </row>
    <row r="224" spans="1:11" ht="47.25">
      <c r="A224" s="4" t="s">
        <v>380</v>
      </c>
      <c r="B224" s="4" t="s">
        <v>1028</v>
      </c>
      <c r="C224" s="8" t="s">
        <v>41</v>
      </c>
      <c r="D224" s="8" t="s">
        <v>41</v>
      </c>
      <c r="E224" s="8" t="s">
        <v>48</v>
      </c>
      <c r="F224" s="8" t="s">
        <v>41</v>
      </c>
      <c r="G224" s="8" t="s">
        <v>63</v>
      </c>
      <c r="H224" s="8" t="s">
        <v>2339</v>
      </c>
      <c r="I224" s="8" t="s">
        <v>2540</v>
      </c>
      <c r="J224" s="8" t="s">
        <v>2341</v>
      </c>
      <c r="K224" s="8" t="s">
        <v>2342</v>
      </c>
    </row>
    <row r="225" spans="1:11" ht="47.25">
      <c r="A225" s="4" t="s">
        <v>380</v>
      </c>
      <c r="B225" s="4" t="s">
        <v>1030</v>
      </c>
      <c r="C225" s="8" t="s">
        <v>57</v>
      </c>
      <c r="D225" s="8" t="s">
        <v>57</v>
      </c>
      <c r="E225" s="8" t="s">
        <v>48</v>
      </c>
      <c r="F225" s="8" t="s">
        <v>57</v>
      </c>
      <c r="G225" s="8" t="s">
        <v>63</v>
      </c>
      <c r="H225" s="8" t="s">
        <v>2343</v>
      </c>
      <c r="I225" s="8" t="s">
        <v>2541</v>
      </c>
      <c r="J225" s="8" t="s">
        <v>2341</v>
      </c>
      <c r="K225" s="8" t="s">
        <v>2342</v>
      </c>
    </row>
    <row r="226" spans="1:11" ht="47.25">
      <c r="A226" s="4" t="s">
        <v>380</v>
      </c>
      <c r="B226" s="4" t="s">
        <v>1032</v>
      </c>
      <c r="C226" s="8" t="s">
        <v>43</v>
      </c>
      <c r="D226" s="8" t="s">
        <v>43</v>
      </c>
      <c r="E226" s="8" t="s">
        <v>48</v>
      </c>
      <c r="F226" s="8" t="s">
        <v>43</v>
      </c>
      <c r="G226" s="8" t="s">
        <v>63</v>
      </c>
      <c r="H226" s="8" t="s">
        <v>2549</v>
      </c>
      <c r="I226" s="8" t="s">
        <v>2542</v>
      </c>
      <c r="J226" s="8" t="s">
        <v>2341</v>
      </c>
      <c r="K226" s="8" t="s">
        <v>2342</v>
      </c>
    </row>
    <row r="227" spans="1:11" ht="47.25">
      <c r="A227" s="4" t="s">
        <v>380</v>
      </c>
      <c r="B227" s="4" t="s">
        <v>1034</v>
      </c>
      <c r="C227" s="8" t="s">
        <v>44</v>
      </c>
      <c r="D227" s="8" t="s">
        <v>44</v>
      </c>
      <c r="E227" s="8" t="s">
        <v>48</v>
      </c>
      <c r="F227" s="8" t="s">
        <v>44</v>
      </c>
      <c r="G227" s="8" t="s">
        <v>63</v>
      </c>
      <c r="H227" s="8" t="s">
        <v>2550</v>
      </c>
      <c r="I227" s="8" t="s">
        <v>2543</v>
      </c>
      <c r="J227" s="8" t="s">
        <v>2341</v>
      </c>
      <c r="K227" s="8" t="s">
        <v>2342</v>
      </c>
    </row>
    <row r="228" spans="1:11" ht="47.25">
      <c r="A228" s="4" t="s">
        <v>380</v>
      </c>
      <c r="B228" s="4" t="s">
        <v>1038</v>
      </c>
      <c r="C228" s="8" t="s">
        <v>98</v>
      </c>
      <c r="D228" s="8" t="s">
        <v>98</v>
      </c>
      <c r="E228" s="8" t="s">
        <v>48</v>
      </c>
      <c r="F228" s="8" t="s">
        <v>98</v>
      </c>
      <c r="G228" s="8" t="s">
        <v>63</v>
      </c>
      <c r="H228" s="8" t="s">
        <v>2366</v>
      </c>
      <c r="I228" s="8" t="s">
        <v>2551</v>
      </c>
      <c r="J228" s="8" t="s">
        <v>2341</v>
      </c>
      <c r="K228" s="8" t="s">
        <v>2342</v>
      </c>
    </row>
    <row r="229" spans="1:11" ht="47.25">
      <c r="A229" s="4" t="s">
        <v>380</v>
      </c>
      <c r="B229" s="4" t="s">
        <v>1041</v>
      </c>
      <c r="C229" s="8" t="s">
        <v>49</v>
      </c>
      <c r="D229" s="8" t="s">
        <v>49</v>
      </c>
      <c r="E229" s="8" t="s">
        <v>48</v>
      </c>
      <c r="F229" s="8" t="s">
        <v>49</v>
      </c>
      <c r="G229" s="8" t="s">
        <v>63</v>
      </c>
      <c r="H229" s="8" t="s">
        <v>2351</v>
      </c>
      <c r="I229" s="8" t="s">
        <v>2551</v>
      </c>
      <c r="J229" s="8" t="s">
        <v>2341</v>
      </c>
      <c r="K229" s="8" t="s">
        <v>2342</v>
      </c>
    </row>
    <row r="230" spans="1:11" ht="126">
      <c r="A230" s="4" t="s">
        <v>380</v>
      </c>
      <c r="B230" s="4" t="s">
        <v>32</v>
      </c>
      <c r="C230" s="8" t="s">
        <v>99</v>
      </c>
      <c r="D230" s="8" t="s">
        <v>99</v>
      </c>
      <c r="E230" s="8" t="s">
        <v>48</v>
      </c>
      <c r="F230" s="8" t="s">
        <v>99</v>
      </c>
      <c r="G230" s="8" t="s">
        <v>63</v>
      </c>
      <c r="H230" s="8" t="s">
        <v>2552</v>
      </c>
      <c r="I230" s="8" t="s">
        <v>2551</v>
      </c>
      <c r="J230" s="8" t="s">
        <v>2341</v>
      </c>
      <c r="K230" s="8" t="s">
        <v>2342</v>
      </c>
    </row>
    <row r="231" spans="1:11" ht="47.25">
      <c r="A231" s="4" t="s">
        <v>380</v>
      </c>
      <c r="B231" s="4" t="s">
        <v>1090</v>
      </c>
      <c r="C231" s="8" t="s">
        <v>2353</v>
      </c>
      <c r="D231" s="8" t="s">
        <v>2353</v>
      </c>
      <c r="E231" s="8" t="s">
        <v>48</v>
      </c>
      <c r="F231" s="8" t="s">
        <v>2353</v>
      </c>
      <c r="G231" s="8" t="s">
        <v>63</v>
      </c>
      <c r="H231" s="8" t="s">
        <v>2354</v>
      </c>
      <c r="I231" s="8" t="s">
        <v>1617</v>
      </c>
      <c r="J231" s="8" t="s">
        <v>2341</v>
      </c>
      <c r="K231" s="8" t="s">
        <v>2342</v>
      </c>
    </row>
    <row r="232" spans="1:11" ht="141.75">
      <c r="A232" s="4" t="s">
        <v>380</v>
      </c>
      <c r="B232" s="4" t="s">
        <v>1091</v>
      </c>
      <c r="C232" s="8" t="s">
        <v>2355</v>
      </c>
      <c r="D232" s="8" t="s">
        <v>2355</v>
      </c>
      <c r="E232" s="8" t="s">
        <v>48</v>
      </c>
      <c r="F232" s="8" t="s">
        <v>2355</v>
      </c>
      <c r="G232" s="8" t="s">
        <v>63</v>
      </c>
      <c r="H232" s="8" t="s">
        <v>2553</v>
      </c>
      <c r="I232" s="8" t="s">
        <v>2554</v>
      </c>
      <c r="J232" s="8" t="s">
        <v>2341</v>
      </c>
      <c r="K232" s="8" t="s">
        <v>2342</v>
      </c>
    </row>
    <row r="233" spans="1:11" ht="47.25">
      <c r="A233" s="4" t="s">
        <v>380</v>
      </c>
      <c r="B233" s="4" t="s">
        <v>35</v>
      </c>
      <c r="C233" s="8" t="s">
        <v>50</v>
      </c>
      <c r="D233" s="8" t="s">
        <v>50</v>
      </c>
      <c r="E233" s="8" t="s">
        <v>48</v>
      </c>
      <c r="F233" s="8" t="s">
        <v>50</v>
      </c>
      <c r="G233" s="8" t="s">
        <v>63</v>
      </c>
      <c r="H233" s="8" t="s">
        <v>2358</v>
      </c>
      <c r="I233" s="8" t="s">
        <v>2555</v>
      </c>
      <c r="J233" s="8" t="s">
        <v>2341</v>
      </c>
      <c r="K233" s="8" t="s">
        <v>2342</v>
      </c>
    </row>
    <row r="234" spans="1:11" ht="47.25">
      <c r="A234" s="4" t="s">
        <v>389</v>
      </c>
      <c r="B234" s="4" t="s">
        <v>1028</v>
      </c>
      <c r="C234" s="8" t="s">
        <v>41</v>
      </c>
      <c r="D234" s="8" t="s">
        <v>41</v>
      </c>
      <c r="E234" s="8" t="s">
        <v>48</v>
      </c>
      <c r="F234" s="8" t="s">
        <v>41</v>
      </c>
      <c r="G234" s="8" t="s">
        <v>63</v>
      </c>
      <c r="H234" s="8" t="s">
        <v>2339</v>
      </c>
      <c r="I234" s="8" t="s">
        <v>2540</v>
      </c>
      <c r="J234" s="8" t="s">
        <v>2341</v>
      </c>
      <c r="K234" s="8" t="s">
        <v>2342</v>
      </c>
    </row>
    <row r="235" spans="1:11" ht="47.25">
      <c r="A235" s="4" t="s">
        <v>389</v>
      </c>
      <c r="B235" s="4" t="s">
        <v>1030</v>
      </c>
      <c r="C235" s="8" t="s">
        <v>57</v>
      </c>
      <c r="D235" s="8" t="s">
        <v>57</v>
      </c>
      <c r="E235" s="8" t="s">
        <v>48</v>
      </c>
      <c r="F235" s="8" t="s">
        <v>57</v>
      </c>
      <c r="G235" s="8" t="s">
        <v>63</v>
      </c>
      <c r="H235" s="8" t="s">
        <v>2343</v>
      </c>
      <c r="I235" s="8" t="s">
        <v>2556</v>
      </c>
      <c r="J235" s="8" t="s">
        <v>2341</v>
      </c>
      <c r="K235" s="8" t="s">
        <v>2342</v>
      </c>
    </row>
    <row r="236" spans="1:11" ht="47.25">
      <c r="A236" s="4" t="s">
        <v>389</v>
      </c>
      <c r="B236" s="4" t="s">
        <v>1032</v>
      </c>
      <c r="C236" s="8" t="s">
        <v>95</v>
      </c>
      <c r="D236" s="8" t="s">
        <v>95</v>
      </c>
      <c r="E236" s="8" t="s">
        <v>48</v>
      </c>
      <c r="F236" s="8" t="s">
        <v>95</v>
      </c>
      <c r="G236" s="8" t="s">
        <v>63</v>
      </c>
      <c r="H236" s="8" t="s">
        <v>2384</v>
      </c>
      <c r="I236" s="8" t="s">
        <v>2542</v>
      </c>
      <c r="J236" s="8" t="s">
        <v>2341</v>
      </c>
      <c r="K236" s="8" t="s">
        <v>2342</v>
      </c>
    </row>
    <row r="237" spans="1:11" ht="47.25">
      <c r="A237" s="4" t="s">
        <v>389</v>
      </c>
      <c r="B237" s="4" t="s">
        <v>1034</v>
      </c>
      <c r="C237" s="8" t="s">
        <v>59</v>
      </c>
      <c r="D237" s="8" t="s">
        <v>59</v>
      </c>
      <c r="E237" s="8" t="s">
        <v>48</v>
      </c>
      <c r="F237" s="8" t="s">
        <v>59</v>
      </c>
      <c r="G237" s="8" t="s">
        <v>63</v>
      </c>
      <c r="H237" s="8" t="s">
        <v>2364</v>
      </c>
      <c r="I237" s="8" t="s">
        <v>2557</v>
      </c>
      <c r="J237" s="8" t="s">
        <v>2341</v>
      </c>
      <c r="K237" s="8" t="s">
        <v>2342</v>
      </c>
    </row>
    <row r="238" spans="1:11" ht="47.25">
      <c r="A238" s="4" t="s">
        <v>389</v>
      </c>
      <c r="B238" s="4" t="s">
        <v>1038</v>
      </c>
      <c r="C238" s="8" t="s">
        <v>107</v>
      </c>
      <c r="D238" s="8" t="s">
        <v>107</v>
      </c>
      <c r="E238" s="8" t="s">
        <v>48</v>
      </c>
      <c r="F238" s="8" t="s">
        <v>107</v>
      </c>
      <c r="G238" s="8" t="s">
        <v>63</v>
      </c>
      <c r="H238" s="8" t="s">
        <v>2349</v>
      </c>
      <c r="I238" s="8" t="s">
        <v>2558</v>
      </c>
      <c r="J238" s="8" t="s">
        <v>2341</v>
      </c>
      <c r="K238" s="8" t="s">
        <v>2342</v>
      </c>
    </row>
    <row r="239" spans="1:11" ht="47.25">
      <c r="A239" s="4" t="s">
        <v>389</v>
      </c>
      <c r="B239" s="4" t="s">
        <v>1041</v>
      </c>
      <c r="C239" s="8" t="s">
        <v>49</v>
      </c>
      <c r="D239" s="8" t="s">
        <v>49</v>
      </c>
      <c r="E239" s="8" t="s">
        <v>48</v>
      </c>
      <c r="F239" s="8" t="s">
        <v>49</v>
      </c>
      <c r="G239" s="8" t="s">
        <v>63</v>
      </c>
      <c r="H239" s="8" t="s">
        <v>2351</v>
      </c>
      <c r="I239" s="8" t="s">
        <v>2558</v>
      </c>
      <c r="J239" s="8" t="s">
        <v>2341</v>
      </c>
      <c r="K239" s="8" t="s">
        <v>2342</v>
      </c>
    </row>
    <row r="240" spans="1:11" ht="126">
      <c r="A240" s="4" t="s">
        <v>389</v>
      </c>
      <c r="B240" s="4" t="s">
        <v>32</v>
      </c>
      <c r="C240" s="8" t="s">
        <v>99</v>
      </c>
      <c r="D240" s="8" t="s">
        <v>99</v>
      </c>
      <c r="E240" s="8" t="s">
        <v>48</v>
      </c>
      <c r="F240" s="8" t="s">
        <v>99</v>
      </c>
      <c r="G240" s="8" t="s">
        <v>63</v>
      </c>
      <c r="H240" s="8" t="s">
        <v>2559</v>
      </c>
      <c r="I240" s="8" t="s">
        <v>2558</v>
      </c>
      <c r="J240" s="8" t="s">
        <v>2341</v>
      </c>
      <c r="K240" s="8" t="s">
        <v>2342</v>
      </c>
    </row>
    <row r="241" spans="1:11" ht="47.25">
      <c r="A241" s="4" t="s">
        <v>389</v>
      </c>
      <c r="B241" s="4" t="s">
        <v>1090</v>
      </c>
      <c r="C241" s="8" t="s">
        <v>2353</v>
      </c>
      <c r="D241" s="8" t="s">
        <v>2353</v>
      </c>
      <c r="E241" s="8" t="s">
        <v>48</v>
      </c>
      <c r="F241" s="8" t="s">
        <v>2353</v>
      </c>
      <c r="G241" s="8" t="s">
        <v>63</v>
      </c>
      <c r="H241" s="8" t="s">
        <v>2354</v>
      </c>
      <c r="I241" s="8" t="s">
        <v>1617</v>
      </c>
      <c r="J241" s="8" t="s">
        <v>2341</v>
      </c>
      <c r="K241" s="8" t="s">
        <v>2342</v>
      </c>
    </row>
    <row r="242" spans="1:11" ht="141.75">
      <c r="A242" s="4" t="s">
        <v>389</v>
      </c>
      <c r="B242" s="4" t="s">
        <v>1091</v>
      </c>
      <c r="C242" s="8" t="s">
        <v>2355</v>
      </c>
      <c r="D242" s="8" t="s">
        <v>2355</v>
      </c>
      <c r="E242" s="8" t="s">
        <v>48</v>
      </c>
      <c r="F242" s="8" t="s">
        <v>2355</v>
      </c>
      <c r="G242" s="8" t="s">
        <v>63</v>
      </c>
      <c r="H242" s="8" t="s">
        <v>2560</v>
      </c>
      <c r="I242" s="8" t="s">
        <v>2561</v>
      </c>
      <c r="J242" s="8" t="s">
        <v>2341</v>
      </c>
      <c r="K242" s="8" t="s">
        <v>2342</v>
      </c>
    </row>
    <row r="243" spans="1:11" ht="47.25">
      <c r="A243" s="4" t="s">
        <v>389</v>
      </c>
      <c r="B243" s="4" t="s">
        <v>35</v>
      </c>
      <c r="C243" s="8" t="s">
        <v>50</v>
      </c>
      <c r="D243" s="8" t="s">
        <v>50</v>
      </c>
      <c r="E243" s="8" t="s">
        <v>48</v>
      </c>
      <c r="F243" s="8" t="s">
        <v>50</v>
      </c>
      <c r="G243" s="8" t="s">
        <v>63</v>
      </c>
      <c r="H243" s="8" t="s">
        <v>2358</v>
      </c>
      <c r="I243" s="8" t="s">
        <v>2562</v>
      </c>
      <c r="J243" s="8" t="s">
        <v>2341</v>
      </c>
      <c r="K243" s="8" t="s">
        <v>2342</v>
      </c>
    </row>
    <row r="244" spans="1:11" ht="47.25">
      <c r="A244" s="4" t="s">
        <v>397</v>
      </c>
      <c r="B244" s="4" t="s">
        <v>1028</v>
      </c>
      <c r="C244" s="8" t="s">
        <v>41</v>
      </c>
      <c r="D244" s="8" t="s">
        <v>41</v>
      </c>
      <c r="E244" s="8" t="s">
        <v>48</v>
      </c>
      <c r="F244" s="8" t="s">
        <v>41</v>
      </c>
      <c r="G244" s="8" t="s">
        <v>63</v>
      </c>
      <c r="H244" s="8" t="s">
        <v>2339</v>
      </c>
      <c r="I244" s="8" t="s">
        <v>2563</v>
      </c>
      <c r="J244" s="8" t="s">
        <v>2341</v>
      </c>
      <c r="K244" s="8" t="s">
        <v>2342</v>
      </c>
    </row>
    <row r="245" spans="1:11" ht="47.25">
      <c r="A245" s="4" t="s">
        <v>397</v>
      </c>
      <c r="B245" s="4" t="s">
        <v>1030</v>
      </c>
      <c r="C245" s="8" t="s">
        <v>57</v>
      </c>
      <c r="D245" s="8" t="s">
        <v>57</v>
      </c>
      <c r="E245" s="8" t="s">
        <v>48</v>
      </c>
      <c r="F245" s="8" t="s">
        <v>57</v>
      </c>
      <c r="G245" s="8" t="s">
        <v>63</v>
      </c>
      <c r="H245" s="8" t="s">
        <v>2343</v>
      </c>
      <c r="I245" s="8" t="s">
        <v>2564</v>
      </c>
      <c r="J245" s="8" t="s">
        <v>2341</v>
      </c>
      <c r="K245" s="8" t="s">
        <v>2342</v>
      </c>
    </row>
    <row r="246" spans="1:11" ht="47.25">
      <c r="A246" s="4" t="s">
        <v>397</v>
      </c>
      <c r="B246" s="4" t="s">
        <v>1032</v>
      </c>
      <c r="C246" s="8" t="s">
        <v>85</v>
      </c>
      <c r="D246" s="8" t="s">
        <v>85</v>
      </c>
      <c r="E246" s="8" t="s">
        <v>48</v>
      </c>
      <c r="F246" s="8" t="s">
        <v>85</v>
      </c>
      <c r="G246" s="8" t="s">
        <v>63</v>
      </c>
      <c r="H246" s="8" t="s">
        <v>2362</v>
      </c>
      <c r="I246" s="8" t="s">
        <v>2565</v>
      </c>
      <c r="J246" s="8" t="s">
        <v>2341</v>
      </c>
      <c r="K246" s="8" t="s">
        <v>2342</v>
      </c>
    </row>
    <row r="247" spans="1:11" ht="47.25">
      <c r="A247" s="4" t="s">
        <v>397</v>
      </c>
      <c r="B247" s="4" t="s">
        <v>1034</v>
      </c>
      <c r="C247" s="8" t="s">
        <v>59</v>
      </c>
      <c r="D247" s="8" t="s">
        <v>59</v>
      </c>
      <c r="E247" s="8" t="s">
        <v>48</v>
      </c>
      <c r="F247" s="8" t="s">
        <v>59</v>
      </c>
      <c r="G247" s="8" t="s">
        <v>63</v>
      </c>
      <c r="H247" s="8" t="s">
        <v>2364</v>
      </c>
      <c r="I247" s="8" t="s">
        <v>2566</v>
      </c>
      <c r="J247" s="8" t="s">
        <v>2341</v>
      </c>
      <c r="K247" s="8" t="s">
        <v>2342</v>
      </c>
    </row>
    <row r="248" spans="1:11" ht="47.25">
      <c r="A248" s="4" t="s">
        <v>397</v>
      </c>
      <c r="B248" s="4" t="s">
        <v>1038</v>
      </c>
      <c r="C248" s="8" t="s">
        <v>88</v>
      </c>
      <c r="D248" s="8" t="s">
        <v>88</v>
      </c>
      <c r="E248" s="8" t="s">
        <v>48</v>
      </c>
      <c r="F248" s="8" t="s">
        <v>88</v>
      </c>
      <c r="G248" s="8" t="s">
        <v>63</v>
      </c>
      <c r="H248" s="8" t="s">
        <v>2387</v>
      </c>
      <c r="I248" s="8" t="s">
        <v>2567</v>
      </c>
      <c r="J248" s="8" t="s">
        <v>2341</v>
      </c>
      <c r="K248" s="8" t="s">
        <v>2342</v>
      </c>
    </row>
    <row r="249" spans="1:11" ht="47.25">
      <c r="A249" s="4" t="s">
        <v>397</v>
      </c>
      <c r="B249" s="4" t="s">
        <v>1041</v>
      </c>
      <c r="C249" s="8" t="s">
        <v>49</v>
      </c>
      <c r="D249" s="8" t="s">
        <v>49</v>
      </c>
      <c r="E249" s="8" t="s">
        <v>48</v>
      </c>
      <c r="F249" s="8" t="s">
        <v>49</v>
      </c>
      <c r="G249" s="8" t="s">
        <v>63</v>
      </c>
      <c r="H249" s="8" t="s">
        <v>2351</v>
      </c>
      <c r="I249" s="8" t="s">
        <v>2567</v>
      </c>
      <c r="J249" s="8" t="s">
        <v>2341</v>
      </c>
      <c r="K249" s="8" t="s">
        <v>2342</v>
      </c>
    </row>
    <row r="250" spans="1:11" ht="126">
      <c r="A250" s="4" t="s">
        <v>397</v>
      </c>
      <c r="B250" s="4" t="s">
        <v>32</v>
      </c>
      <c r="C250" s="8" t="s">
        <v>77</v>
      </c>
      <c r="D250" s="8" t="s">
        <v>77</v>
      </c>
      <c r="E250" s="8" t="s">
        <v>48</v>
      </c>
      <c r="F250" s="8" t="s">
        <v>77</v>
      </c>
      <c r="G250" s="8" t="s">
        <v>63</v>
      </c>
      <c r="H250" s="8" t="s">
        <v>2568</v>
      </c>
      <c r="I250" s="8" t="s">
        <v>2567</v>
      </c>
      <c r="J250" s="8" t="s">
        <v>2341</v>
      </c>
      <c r="K250" s="8" t="s">
        <v>2342</v>
      </c>
    </row>
    <row r="251" spans="1:11" ht="47.25">
      <c r="A251" s="4" t="s">
        <v>397</v>
      </c>
      <c r="B251" s="4" t="s">
        <v>1090</v>
      </c>
      <c r="C251" s="8" t="s">
        <v>2353</v>
      </c>
      <c r="D251" s="8" t="s">
        <v>2353</v>
      </c>
      <c r="E251" s="8" t="s">
        <v>48</v>
      </c>
      <c r="F251" s="8" t="s">
        <v>2353</v>
      </c>
      <c r="G251" s="8" t="s">
        <v>63</v>
      </c>
      <c r="H251" s="8" t="s">
        <v>2354</v>
      </c>
      <c r="I251" s="8" t="s">
        <v>1617</v>
      </c>
      <c r="J251" s="8" t="s">
        <v>2341</v>
      </c>
      <c r="K251" s="8" t="s">
        <v>2342</v>
      </c>
    </row>
    <row r="252" spans="1:11" ht="141.75">
      <c r="A252" s="4" t="s">
        <v>397</v>
      </c>
      <c r="B252" s="4" t="s">
        <v>1091</v>
      </c>
      <c r="C252" s="8" t="s">
        <v>2390</v>
      </c>
      <c r="D252" s="8" t="s">
        <v>2390</v>
      </c>
      <c r="E252" s="8" t="s">
        <v>48</v>
      </c>
      <c r="F252" s="8" t="s">
        <v>2390</v>
      </c>
      <c r="G252" s="8" t="s">
        <v>63</v>
      </c>
      <c r="H252" s="8" t="s">
        <v>2569</v>
      </c>
      <c r="I252" s="8" t="s">
        <v>2570</v>
      </c>
      <c r="J252" s="8" t="s">
        <v>2341</v>
      </c>
      <c r="K252" s="8" t="s">
        <v>2342</v>
      </c>
    </row>
    <row r="253" spans="1:11" ht="47.25">
      <c r="A253" s="4" t="s">
        <v>397</v>
      </c>
      <c r="B253" s="4" t="s">
        <v>35</v>
      </c>
      <c r="C253" s="8" t="s">
        <v>65</v>
      </c>
      <c r="D253" s="8" t="s">
        <v>65</v>
      </c>
      <c r="E253" s="8" t="s">
        <v>48</v>
      </c>
      <c r="F253" s="8" t="s">
        <v>65</v>
      </c>
      <c r="G253" s="8" t="s">
        <v>63</v>
      </c>
      <c r="H253" s="8" t="s">
        <v>2371</v>
      </c>
      <c r="I253" s="8" t="s">
        <v>2571</v>
      </c>
      <c r="J253" s="8" t="s">
        <v>2341</v>
      </c>
      <c r="K253" s="8" t="s">
        <v>2342</v>
      </c>
    </row>
    <row r="254" spans="1:11" ht="47.25">
      <c r="A254" s="4" t="s">
        <v>405</v>
      </c>
      <c r="B254" s="4" t="s">
        <v>1028</v>
      </c>
      <c r="C254" s="8" t="s">
        <v>56</v>
      </c>
      <c r="D254" s="8" t="s">
        <v>56</v>
      </c>
      <c r="E254" s="8" t="s">
        <v>48</v>
      </c>
      <c r="F254" s="8" t="s">
        <v>56</v>
      </c>
      <c r="G254" s="8" t="s">
        <v>63</v>
      </c>
      <c r="H254" s="8" t="s">
        <v>2572</v>
      </c>
      <c r="I254" s="8" t="s">
        <v>1303</v>
      </c>
      <c r="J254" s="8" t="s">
        <v>2341</v>
      </c>
      <c r="K254" s="8" t="s">
        <v>2342</v>
      </c>
    </row>
    <row r="255" spans="1:11" ht="47.25">
      <c r="A255" s="4" t="s">
        <v>405</v>
      </c>
      <c r="B255" s="4" t="s">
        <v>1030</v>
      </c>
      <c r="C255" s="8" t="s">
        <v>57</v>
      </c>
      <c r="D255" s="8" t="s">
        <v>57</v>
      </c>
      <c r="E255" s="8" t="s">
        <v>48</v>
      </c>
      <c r="F255" s="8" t="s">
        <v>57</v>
      </c>
      <c r="G255" s="8" t="s">
        <v>63</v>
      </c>
      <c r="H255" s="8" t="s">
        <v>2343</v>
      </c>
      <c r="I255" s="8" t="s">
        <v>2573</v>
      </c>
      <c r="J255" s="8" t="s">
        <v>2341</v>
      </c>
      <c r="K255" s="8" t="s">
        <v>2342</v>
      </c>
    </row>
    <row r="256" spans="1:11" ht="47.25">
      <c r="A256" s="4" t="s">
        <v>405</v>
      </c>
      <c r="B256" s="4" t="s">
        <v>1032</v>
      </c>
      <c r="C256" s="8" t="s">
        <v>104</v>
      </c>
      <c r="D256" s="8" t="s">
        <v>104</v>
      </c>
      <c r="E256" s="8" t="s">
        <v>48</v>
      </c>
      <c r="F256" s="8" t="s">
        <v>104</v>
      </c>
      <c r="G256" s="8" t="s">
        <v>63</v>
      </c>
      <c r="H256" s="8" t="s">
        <v>2396</v>
      </c>
      <c r="I256" s="8" t="s">
        <v>2574</v>
      </c>
      <c r="J256" s="8" t="s">
        <v>2341</v>
      </c>
      <c r="K256" s="8" t="s">
        <v>2342</v>
      </c>
    </row>
    <row r="257" spans="1:11" ht="47.25">
      <c r="A257" s="4" t="s">
        <v>405</v>
      </c>
      <c r="B257" s="4" t="s">
        <v>1034</v>
      </c>
      <c r="C257" s="8" t="s">
        <v>59</v>
      </c>
      <c r="D257" s="8" t="s">
        <v>59</v>
      </c>
      <c r="E257" s="8" t="s">
        <v>48</v>
      </c>
      <c r="F257" s="8" t="s">
        <v>59</v>
      </c>
      <c r="G257" s="8" t="s">
        <v>63</v>
      </c>
      <c r="H257" s="8" t="s">
        <v>2364</v>
      </c>
      <c r="I257" s="8" t="s">
        <v>2575</v>
      </c>
      <c r="J257" s="8" t="s">
        <v>2341</v>
      </c>
      <c r="K257" s="8" t="s">
        <v>2342</v>
      </c>
    </row>
    <row r="258" spans="1:11" ht="47.25">
      <c r="A258" s="4" t="s">
        <v>405</v>
      </c>
      <c r="B258" s="4" t="s">
        <v>1038</v>
      </c>
      <c r="C258" s="8" t="s">
        <v>61</v>
      </c>
      <c r="D258" s="8" t="s">
        <v>61</v>
      </c>
      <c r="E258" s="8" t="s">
        <v>48</v>
      </c>
      <c r="F258" s="8" t="s">
        <v>61</v>
      </c>
      <c r="G258" s="8" t="s">
        <v>63</v>
      </c>
      <c r="H258" s="8" t="s">
        <v>2576</v>
      </c>
      <c r="I258" s="8" t="s">
        <v>2577</v>
      </c>
      <c r="J258" s="8" t="s">
        <v>2341</v>
      </c>
      <c r="K258" s="8" t="s">
        <v>2342</v>
      </c>
    </row>
    <row r="259" spans="1:11" ht="47.25">
      <c r="A259" s="4" t="s">
        <v>405</v>
      </c>
      <c r="B259" s="4" t="s">
        <v>1041</v>
      </c>
      <c r="C259" s="8" t="s">
        <v>49</v>
      </c>
      <c r="D259" s="8" t="s">
        <v>49</v>
      </c>
      <c r="E259" s="8" t="s">
        <v>48</v>
      </c>
      <c r="F259" s="8" t="s">
        <v>49</v>
      </c>
      <c r="G259" s="8" t="s">
        <v>63</v>
      </c>
      <c r="H259" s="8" t="s">
        <v>2351</v>
      </c>
      <c r="I259" s="8" t="s">
        <v>2577</v>
      </c>
      <c r="J259" s="8" t="s">
        <v>2341</v>
      </c>
      <c r="K259" s="8" t="s">
        <v>2342</v>
      </c>
    </row>
    <row r="260" spans="1:11" ht="110.25">
      <c r="A260" s="4" t="s">
        <v>405</v>
      </c>
      <c r="B260" s="4" t="s">
        <v>32</v>
      </c>
      <c r="C260" s="8" t="s">
        <v>47</v>
      </c>
      <c r="D260" s="8" t="s">
        <v>47</v>
      </c>
      <c r="E260" s="8" t="s">
        <v>48</v>
      </c>
      <c r="F260" s="8" t="s">
        <v>47</v>
      </c>
      <c r="G260" s="8" t="s">
        <v>63</v>
      </c>
      <c r="H260" s="8" t="s">
        <v>2578</v>
      </c>
      <c r="I260" s="8" t="s">
        <v>2577</v>
      </c>
      <c r="J260" s="8" t="s">
        <v>2341</v>
      </c>
      <c r="K260" s="8" t="s">
        <v>2342</v>
      </c>
    </row>
    <row r="261" spans="1:11" ht="47.25">
      <c r="A261" s="4" t="s">
        <v>405</v>
      </c>
      <c r="B261" s="4" t="s">
        <v>1090</v>
      </c>
      <c r="C261" s="8" t="s">
        <v>2353</v>
      </c>
      <c r="D261" s="8" t="s">
        <v>2353</v>
      </c>
      <c r="E261" s="8" t="s">
        <v>48</v>
      </c>
      <c r="F261" s="8" t="s">
        <v>2353</v>
      </c>
      <c r="G261" s="8" t="s">
        <v>63</v>
      </c>
      <c r="H261" s="8" t="s">
        <v>2354</v>
      </c>
      <c r="I261" s="8" t="s">
        <v>1617</v>
      </c>
      <c r="J261" s="8" t="s">
        <v>2341</v>
      </c>
      <c r="K261" s="8" t="s">
        <v>2342</v>
      </c>
    </row>
    <row r="262" spans="1:11" ht="141.75">
      <c r="A262" s="4" t="s">
        <v>405</v>
      </c>
      <c r="B262" s="4" t="s">
        <v>1091</v>
      </c>
      <c r="C262" s="8" t="s">
        <v>2579</v>
      </c>
      <c r="D262" s="8" t="s">
        <v>2579</v>
      </c>
      <c r="E262" s="8" t="s">
        <v>48</v>
      </c>
      <c r="F262" s="8" t="s">
        <v>2579</v>
      </c>
      <c r="G262" s="8" t="s">
        <v>63</v>
      </c>
      <c r="H262" s="8" t="s">
        <v>2580</v>
      </c>
      <c r="I262" s="8" t="s">
        <v>2581</v>
      </c>
      <c r="J262" s="8" t="s">
        <v>2341</v>
      </c>
      <c r="K262" s="8" t="s">
        <v>2342</v>
      </c>
    </row>
    <row r="263" spans="1:11" ht="47.25">
      <c r="A263" s="4" t="s">
        <v>405</v>
      </c>
      <c r="B263" s="4" t="s">
        <v>35</v>
      </c>
      <c r="C263" s="8" t="s">
        <v>50</v>
      </c>
      <c r="D263" s="8" t="s">
        <v>50</v>
      </c>
      <c r="E263" s="8" t="s">
        <v>48</v>
      </c>
      <c r="F263" s="8" t="s">
        <v>50</v>
      </c>
      <c r="G263" s="8" t="s">
        <v>63</v>
      </c>
      <c r="H263" s="8" t="s">
        <v>2358</v>
      </c>
      <c r="I263" s="8" t="s">
        <v>2574</v>
      </c>
      <c r="J263" s="8" t="s">
        <v>2341</v>
      </c>
      <c r="K263" s="8" t="s">
        <v>2342</v>
      </c>
    </row>
    <row r="264" spans="1:11" ht="47.25">
      <c r="A264" s="4" t="s">
        <v>414</v>
      </c>
      <c r="B264" s="4" t="s">
        <v>1028</v>
      </c>
      <c r="C264" s="8" t="s">
        <v>56</v>
      </c>
      <c r="D264" s="8" t="s">
        <v>56</v>
      </c>
      <c r="E264" s="8" t="s">
        <v>48</v>
      </c>
      <c r="F264" s="8" t="s">
        <v>56</v>
      </c>
      <c r="G264" s="8" t="s">
        <v>63</v>
      </c>
      <c r="H264" s="8" t="s">
        <v>2572</v>
      </c>
      <c r="I264" s="8" t="s">
        <v>2540</v>
      </c>
      <c r="J264" s="8" t="s">
        <v>2341</v>
      </c>
      <c r="K264" s="8" t="s">
        <v>2342</v>
      </c>
    </row>
    <row r="265" spans="1:11" ht="47.25">
      <c r="A265" s="4" t="s">
        <v>414</v>
      </c>
      <c r="B265" s="4" t="s">
        <v>1030</v>
      </c>
      <c r="C265" s="8" t="s">
        <v>57</v>
      </c>
      <c r="D265" s="8" t="s">
        <v>57</v>
      </c>
      <c r="E265" s="8" t="s">
        <v>48</v>
      </c>
      <c r="F265" s="8" t="s">
        <v>57</v>
      </c>
      <c r="G265" s="8" t="s">
        <v>63</v>
      </c>
      <c r="H265" s="8" t="s">
        <v>2343</v>
      </c>
      <c r="I265" s="8" t="s">
        <v>2582</v>
      </c>
      <c r="J265" s="8" t="s">
        <v>2341</v>
      </c>
      <c r="K265" s="8" t="s">
        <v>2342</v>
      </c>
    </row>
    <row r="266" spans="1:11" ht="47.25">
      <c r="A266" s="4" t="s">
        <v>414</v>
      </c>
      <c r="B266" s="4" t="s">
        <v>1032</v>
      </c>
      <c r="C266" s="8" t="s">
        <v>73</v>
      </c>
      <c r="D266" s="8" t="s">
        <v>73</v>
      </c>
      <c r="E266" s="8" t="s">
        <v>48</v>
      </c>
      <c r="F266" s="8" t="s">
        <v>73</v>
      </c>
      <c r="G266" s="8" t="s">
        <v>63</v>
      </c>
      <c r="H266" s="8" t="s">
        <v>2416</v>
      </c>
      <c r="I266" s="8" t="s">
        <v>2542</v>
      </c>
      <c r="J266" s="8" t="s">
        <v>2341</v>
      </c>
      <c r="K266" s="8" t="s">
        <v>2342</v>
      </c>
    </row>
    <row r="267" spans="1:11" ht="47.25">
      <c r="A267" s="4" t="s">
        <v>414</v>
      </c>
      <c r="B267" s="4" t="s">
        <v>1034</v>
      </c>
      <c r="C267" s="8" t="s">
        <v>59</v>
      </c>
      <c r="D267" s="8" t="s">
        <v>59</v>
      </c>
      <c r="E267" s="8" t="s">
        <v>48</v>
      </c>
      <c r="F267" s="8" t="s">
        <v>59</v>
      </c>
      <c r="G267" s="8" t="s">
        <v>63</v>
      </c>
      <c r="H267" s="8" t="s">
        <v>2364</v>
      </c>
      <c r="I267" s="8" t="s">
        <v>2583</v>
      </c>
      <c r="J267" s="8" t="s">
        <v>2341</v>
      </c>
      <c r="K267" s="8" t="s">
        <v>2342</v>
      </c>
    </row>
    <row r="268" spans="1:11" ht="47.25">
      <c r="A268" s="4" t="s">
        <v>414</v>
      </c>
      <c r="B268" s="4" t="s">
        <v>1038</v>
      </c>
      <c r="C268" s="8" t="s">
        <v>98</v>
      </c>
      <c r="D268" s="8" t="s">
        <v>98</v>
      </c>
      <c r="E268" s="8" t="s">
        <v>48</v>
      </c>
      <c r="F268" s="8" t="s">
        <v>98</v>
      </c>
      <c r="G268" s="8" t="s">
        <v>63</v>
      </c>
      <c r="H268" s="8" t="s">
        <v>2366</v>
      </c>
      <c r="I268" s="8" t="s">
        <v>2584</v>
      </c>
      <c r="J268" s="8" t="s">
        <v>2341</v>
      </c>
      <c r="K268" s="8" t="s">
        <v>2342</v>
      </c>
    </row>
    <row r="269" spans="1:11" ht="47.25">
      <c r="A269" s="4" t="s">
        <v>414</v>
      </c>
      <c r="B269" s="4" t="s">
        <v>1041</v>
      </c>
      <c r="C269" s="8" t="s">
        <v>49</v>
      </c>
      <c r="D269" s="8" t="s">
        <v>49</v>
      </c>
      <c r="E269" s="8" t="s">
        <v>48</v>
      </c>
      <c r="F269" s="8" t="s">
        <v>49</v>
      </c>
      <c r="G269" s="8" t="s">
        <v>63</v>
      </c>
      <c r="H269" s="8" t="s">
        <v>2351</v>
      </c>
      <c r="I269" s="8" t="s">
        <v>2584</v>
      </c>
      <c r="J269" s="8" t="s">
        <v>2341</v>
      </c>
      <c r="K269" s="8" t="s">
        <v>2342</v>
      </c>
    </row>
    <row r="270" spans="1:11" ht="126">
      <c r="A270" s="4" t="s">
        <v>414</v>
      </c>
      <c r="B270" s="4" t="s">
        <v>32</v>
      </c>
      <c r="C270" s="8" t="s">
        <v>99</v>
      </c>
      <c r="D270" s="8" t="s">
        <v>99</v>
      </c>
      <c r="E270" s="8" t="s">
        <v>48</v>
      </c>
      <c r="F270" s="8" t="s">
        <v>99</v>
      </c>
      <c r="G270" s="8" t="s">
        <v>63</v>
      </c>
      <c r="H270" s="8" t="s">
        <v>2585</v>
      </c>
      <c r="I270" s="8" t="s">
        <v>2584</v>
      </c>
      <c r="J270" s="8" t="s">
        <v>2341</v>
      </c>
      <c r="K270" s="8" t="s">
        <v>2342</v>
      </c>
    </row>
    <row r="271" spans="1:11" ht="47.25">
      <c r="A271" s="4" t="s">
        <v>414</v>
      </c>
      <c r="B271" s="4" t="s">
        <v>1090</v>
      </c>
      <c r="C271" s="8" t="s">
        <v>2353</v>
      </c>
      <c r="D271" s="8" t="s">
        <v>2353</v>
      </c>
      <c r="E271" s="8" t="s">
        <v>48</v>
      </c>
      <c r="F271" s="8" t="s">
        <v>2353</v>
      </c>
      <c r="G271" s="8" t="s">
        <v>63</v>
      </c>
      <c r="H271" s="8" t="s">
        <v>2354</v>
      </c>
      <c r="I271" s="8" t="s">
        <v>1617</v>
      </c>
      <c r="J271" s="8" t="s">
        <v>2341</v>
      </c>
      <c r="K271" s="8" t="s">
        <v>2342</v>
      </c>
    </row>
    <row r="272" spans="1:11" ht="141.75">
      <c r="A272" s="4" t="s">
        <v>414</v>
      </c>
      <c r="B272" s="4" t="s">
        <v>1091</v>
      </c>
      <c r="C272" s="8" t="s">
        <v>2355</v>
      </c>
      <c r="D272" s="8" t="s">
        <v>2355</v>
      </c>
      <c r="E272" s="8" t="s">
        <v>48</v>
      </c>
      <c r="F272" s="8" t="s">
        <v>2355</v>
      </c>
      <c r="G272" s="8" t="s">
        <v>63</v>
      </c>
      <c r="H272" s="8" t="s">
        <v>2586</v>
      </c>
      <c r="I272" s="8" t="s">
        <v>2587</v>
      </c>
      <c r="J272" s="8" t="s">
        <v>2341</v>
      </c>
      <c r="K272" s="8" t="s">
        <v>2342</v>
      </c>
    </row>
    <row r="273" spans="1:11" ht="47.25">
      <c r="A273" s="4" t="s">
        <v>414</v>
      </c>
      <c r="B273" s="4" t="s">
        <v>35</v>
      </c>
      <c r="C273" s="8" t="s">
        <v>65</v>
      </c>
      <c r="D273" s="8" t="s">
        <v>65</v>
      </c>
      <c r="E273" s="8" t="s">
        <v>48</v>
      </c>
      <c r="F273" s="8" t="s">
        <v>65</v>
      </c>
      <c r="G273" s="8" t="s">
        <v>63</v>
      </c>
      <c r="H273" s="8" t="s">
        <v>2371</v>
      </c>
      <c r="I273" s="8" t="s">
        <v>2588</v>
      </c>
      <c r="J273" s="8" t="s">
        <v>2341</v>
      </c>
      <c r="K273" s="8" t="s">
        <v>2342</v>
      </c>
    </row>
    <row r="274" spans="1:11" ht="47.25">
      <c r="A274" s="4" t="s">
        <v>423</v>
      </c>
      <c r="B274" s="4" t="s">
        <v>1028</v>
      </c>
      <c r="C274" s="8" t="s">
        <v>56</v>
      </c>
      <c r="D274" s="8" t="s">
        <v>56</v>
      </c>
      <c r="E274" s="8" t="s">
        <v>48</v>
      </c>
      <c r="F274" s="8" t="s">
        <v>56</v>
      </c>
      <c r="G274" s="8" t="s">
        <v>63</v>
      </c>
      <c r="H274" s="8" t="s">
        <v>2572</v>
      </c>
      <c r="I274" s="8" t="s">
        <v>2540</v>
      </c>
      <c r="J274" s="8" t="s">
        <v>2341</v>
      </c>
      <c r="K274" s="8" t="s">
        <v>2342</v>
      </c>
    </row>
    <row r="275" spans="1:11" ht="47.25">
      <c r="A275" s="4" t="s">
        <v>423</v>
      </c>
      <c r="B275" s="4" t="s">
        <v>1030</v>
      </c>
      <c r="C275" s="8" t="s">
        <v>57</v>
      </c>
      <c r="D275" s="8" t="s">
        <v>57</v>
      </c>
      <c r="E275" s="8" t="s">
        <v>48</v>
      </c>
      <c r="F275" s="8" t="s">
        <v>57</v>
      </c>
      <c r="G275" s="8" t="s">
        <v>63</v>
      </c>
      <c r="H275" s="8" t="s">
        <v>2343</v>
      </c>
      <c r="I275" s="8" t="s">
        <v>2589</v>
      </c>
      <c r="J275" s="8" t="s">
        <v>2341</v>
      </c>
      <c r="K275" s="8" t="s">
        <v>2342</v>
      </c>
    </row>
    <row r="276" spans="1:11" ht="47.25">
      <c r="A276" s="4" t="s">
        <v>423</v>
      </c>
      <c r="B276" s="4" t="s">
        <v>1032</v>
      </c>
      <c r="C276" s="8" t="s">
        <v>104</v>
      </c>
      <c r="D276" s="8" t="s">
        <v>104</v>
      </c>
      <c r="E276" s="8" t="s">
        <v>48</v>
      </c>
      <c r="F276" s="8" t="s">
        <v>104</v>
      </c>
      <c r="G276" s="8" t="s">
        <v>63</v>
      </c>
      <c r="H276" s="8" t="s">
        <v>2396</v>
      </c>
      <c r="I276" s="8" t="s">
        <v>2542</v>
      </c>
      <c r="J276" s="8" t="s">
        <v>2341</v>
      </c>
      <c r="K276" s="8" t="s">
        <v>2342</v>
      </c>
    </row>
    <row r="277" spans="1:11" ht="47.25">
      <c r="A277" s="4" t="s">
        <v>423</v>
      </c>
      <c r="B277" s="4" t="s">
        <v>1034</v>
      </c>
      <c r="C277" s="8" t="s">
        <v>59</v>
      </c>
      <c r="D277" s="8" t="s">
        <v>59</v>
      </c>
      <c r="E277" s="8" t="s">
        <v>48</v>
      </c>
      <c r="F277" s="8" t="s">
        <v>59</v>
      </c>
      <c r="G277" s="8" t="s">
        <v>63</v>
      </c>
      <c r="H277" s="8" t="s">
        <v>2364</v>
      </c>
      <c r="I277" s="8" t="s">
        <v>2590</v>
      </c>
      <c r="J277" s="8" t="s">
        <v>2341</v>
      </c>
      <c r="K277" s="8" t="s">
        <v>2342</v>
      </c>
    </row>
    <row r="278" spans="1:11" ht="47.25">
      <c r="A278" s="4" t="s">
        <v>423</v>
      </c>
      <c r="B278" s="4" t="s">
        <v>1038</v>
      </c>
      <c r="C278" s="8" t="s">
        <v>98</v>
      </c>
      <c r="D278" s="8" t="s">
        <v>98</v>
      </c>
      <c r="E278" s="8" t="s">
        <v>48</v>
      </c>
      <c r="F278" s="8" t="s">
        <v>98</v>
      </c>
      <c r="G278" s="8" t="s">
        <v>63</v>
      </c>
      <c r="H278" s="8" t="s">
        <v>2366</v>
      </c>
      <c r="I278" s="8" t="s">
        <v>2591</v>
      </c>
      <c r="J278" s="8" t="s">
        <v>2341</v>
      </c>
      <c r="K278" s="8" t="s">
        <v>2342</v>
      </c>
    </row>
    <row r="279" spans="1:11" ht="47.25">
      <c r="A279" s="4" t="s">
        <v>423</v>
      </c>
      <c r="B279" s="4" t="s">
        <v>1041</v>
      </c>
      <c r="C279" s="8" t="s">
        <v>49</v>
      </c>
      <c r="D279" s="8" t="s">
        <v>49</v>
      </c>
      <c r="E279" s="8" t="s">
        <v>48</v>
      </c>
      <c r="F279" s="8" t="s">
        <v>49</v>
      </c>
      <c r="G279" s="8" t="s">
        <v>63</v>
      </c>
      <c r="H279" s="8" t="s">
        <v>2351</v>
      </c>
      <c r="I279" s="8" t="s">
        <v>2591</v>
      </c>
      <c r="J279" s="8" t="s">
        <v>2341</v>
      </c>
      <c r="K279" s="8" t="s">
        <v>2342</v>
      </c>
    </row>
    <row r="280" spans="1:11" ht="126">
      <c r="A280" s="4" t="s">
        <v>423</v>
      </c>
      <c r="B280" s="4" t="s">
        <v>32</v>
      </c>
      <c r="C280" s="8" t="s">
        <v>99</v>
      </c>
      <c r="D280" s="8" t="s">
        <v>99</v>
      </c>
      <c r="E280" s="8" t="s">
        <v>48</v>
      </c>
      <c r="F280" s="8" t="s">
        <v>99</v>
      </c>
      <c r="G280" s="8" t="s">
        <v>63</v>
      </c>
      <c r="H280" s="8" t="s">
        <v>2592</v>
      </c>
      <c r="I280" s="8" t="s">
        <v>2591</v>
      </c>
      <c r="J280" s="8" t="s">
        <v>2341</v>
      </c>
      <c r="K280" s="8" t="s">
        <v>2342</v>
      </c>
    </row>
    <row r="281" spans="1:11" ht="47.25">
      <c r="A281" s="4" t="s">
        <v>423</v>
      </c>
      <c r="B281" s="4" t="s">
        <v>1090</v>
      </c>
      <c r="C281" s="8" t="s">
        <v>2353</v>
      </c>
      <c r="D281" s="8" t="s">
        <v>2353</v>
      </c>
      <c r="E281" s="8" t="s">
        <v>48</v>
      </c>
      <c r="F281" s="8" t="s">
        <v>2353</v>
      </c>
      <c r="G281" s="8" t="s">
        <v>63</v>
      </c>
      <c r="H281" s="8" t="s">
        <v>2354</v>
      </c>
      <c r="I281" s="8" t="s">
        <v>1617</v>
      </c>
      <c r="J281" s="8" t="s">
        <v>2341</v>
      </c>
      <c r="K281" s="8" t="s">
        <v>2342</v>
      </c>
    </row>
    <row r="282" spans="1:11" ht="141.75">
      <c r="A282" s="4" t="s">
        <v>423</v>
      </c>
      <c r="B282" s="4" t="s">
        <v>1091</v>
      </c>
      <c r="C282" s="8" t="s">
        <v>2355</v>
      </c>
      <c r="D282" s="8" t="s">
        <v>2355</v>
      </c>
      <c r="E282" s="8" t="s">
        <v>48</v>
      </c>
      <c r="F282" s="8" t="s">
        <v>2355</v>
      </c>
      <c r="G282" s="8" t="s">
        <v>63</v>
      </c>
      <c r="H282" s="8" t="s">
        <v>2593</v>
      </c>
      <c r="I282" s="8" t="s">
        <v>2594</v>
      </c>
      <c r="J282" s="8" t="s">
        <v>2341</v>
      </c>
      <c r="K282" s="8" t="s">
        <v>2342</v>
      </c>
    </row>
    <row r="283" spans="1:11" ht="47.25">
      <c r="A283" s="4" t="s">
        <v>423</v>
      </c>
      <c r="B283" s="4" t="s">
        <v>35</v>
      </c>
      <c r="C283" s="8" t="s">
        <v>50</v>
      </c>
      <c r="D283" s="8" t="s">
        <v>50</v>
      </c>
      <c r="E283" s="8" t="s">
        <v>48</v>
      </c>
      <c r="F283" s="8" t="s">
        <v>50</v>
      </c>
      <c r="G283" s="8" t="s">
        <v>63</v>
      </c>
      <c r="H283" s="8" t="s">
        <v>2358</v>
      </c>
      <c r="I283" s="8" t="s">
        <v>2595</v>
      </c>
      <c r="J283" s="8" t="s">
        <v>2341</v>
      </c>
      <c r="K283" s="8" t="s">
        <v>2342</v>
      </c>
    </row>
    <row r="284" spans="1:11" ht="47.25">
      <c r="A284" s="4" t="s">
        <v>432</v>
      </c>
      <c r="B284" s="4" t="s">
        <v>1028</v>
      </c>
      <c r="C284" s="8" t="s">
        <v>56</v>
      </c>
      <c r="D284" s="8" t="s">
        <v>56</v>
      </c>
      <c r="E284" s="8" t="s">
        <v>48</v>
      </c>
      <c r="F284" s="8" t="s">
        <v>56</v>
      </c>
      <c r="G284" s="8" t="s">
        <v>63</v>
      </c>
      <c r="H284" s="8" t="s">
        <v>2572</v>
      </c>
      <c r="I284" s="8" t="s">
        <v>1321</v>
      </c>
      <c r="J284" s="8" t="s">
        <v>2341</v>
      </c>
      <c r="K284" s="8" t="s">
        <v>2342</v>
      </c>
    </row>
    <row r="285" spans="1:11" ht="47.25">
      <c r="A285" s="4" t="s">
        <v>432</v>
      </c>
      <c r="B285" s="4" t="s">
        <v>1030</v>
      </c>
      <c r="C285" s="8" t="s">
        <v>42</v>
      </c>
      <c r="D285" s="8" t="s">
        <v>42</v>
      </c>
      <c r="E285" s="8" t="s">
        <v>48</v>
      </c>
      <c r="F285" s="8" t="s">
        <v>42</v>
      </c>
      <c r="G285" s="8" t="s">
        <v>63</v>
      </c>
      <c r="H285" s="8" t="s">
        <v>2596</v>
      </c>
      <c r="I285" s="8" t="s">
        <v>1321</v>
      </c>
      <c r="J285" s="8" t="s">
        <v>2341</v>
      </c>
      <c r="K285" s="8" t="s">
        <v>2342</v>
      </c>
    </row>
    <row r="286" spans="1:11" ht="47.25">
      <c r="A286" s="4" t="s">
        <v>432</v>
      </c>
      <c r="B286" s="4" t="s">
        <v>1032</v>
      </c>
      <c r="C286" s="8" t="s">
        <v>58</v>
      </c>
      <c r="D286" s="8" t="s">
        <v>58</v>
      </c>
      <c r="E286" s="8" t="s">
        <v>48</v>
      </c>
      <c r="F286" s="8" t="s">
        <v>58</v>
      </c>
      <c r="G286" s="8" t="s">
        <v>63</v>
      </c>
      <c r="H286" s="8" t="s">
        <v>2597</v>
      </c>
      <c r="I286" s="8" t="s">
        <v>1321</v>
      </c>
      <c r="J286" s="8" t="s">
        <v>2341</v>
      </c>
      <c r="K286" s="8" t="s">
        <v>2342</v>
      </c>
    </row>
    <row r="287" spans="1:11" ht="47.25">
      <c r="A287" s="4" t="s">
        <v>432</v>
      </c>
      <c r="B287" s="4" t="s">
        <v>1034</v>
      </c>
      <c r="C287" s="8" t="s">
        <v>59</v>
      </c>
      <c r="D287" s="8" t="s">
        <v>59</v>
      </c>
      <c r="E287" s="8" t="s">
        <v>48</v>
      </c>
      <c r="F287" s="8" t="s">
        <v>59</v>
      </c>
      <c r="G287" s="8" t="s">
        <v>63</v>
      </c>
      <c r="H287" s="8" t="s">
        <v>2364</v>
      </c>
      <c r="I287" s="8" t="s">
        <v>1321</v>
      </c>
      <c r="J287" s="8" t="s">
        <v>2341</v>
      </c>
      <c r="K287" s="8" t="s">
        <v>2342</v>
      </c>
    </row>
    <row r="288" spans="1:11" ht="47.25">
      <c r="A288" s="4" t="s">
        <v>432</v>
      </c>
      <c r="B288" s="4" t="s">
        <v>1038</v>
      </c>
      <c r="C288" s="8" t="s">
        <v>46</v>
      </c>
      <c r="D288" s="8" t="s">
        <v>46</v>
      </c>
      <c r="E288" s="8" t="s">
        <v>48</v>
      </c>
      <c r="F288" s="8" t="s">
        <v>46</v>
      </c>
      <c r="G288" s="8" t="s">
        <v>63</v>
      </c>
      <c r="H288" s="8" t="s">
        <v>2598</v>
      </c>
      <c r="I288" s="8" t="s">
        <v>1321</v>
      </c>
      <c r="J288" s="8" t="s">
        <v>2341</v>
      </c>
      <c r="K288" s="8" t="s">
        <v>2342</v>
      </c>
    </row>
    <row r="289" spans="1:11" ht="47.25">
      <c r="A289" s="4" t="s">
        <v>432</v>
      </c>
      <c r="B289" s="4" t="s">
        <v>1041</v>
      </c>
      <c r="C289" s="8" t="s">
        <v>49</v>
      </c>
      <c r="D289" s="8" t="s">
        <v>49</v>
      </c>
      <c r="E289" s="8" t="s">
        <v>48</v>
      </c>
      <c r="F289" s="8" t="s">
        <v>49</v>
      </c>
      <c r="G289" s="8" t="s">
        <v>63</v>
      </c>
      <c r="H289" s="8" t="s">
        <v>2351</v>
      </c>
      <c r="I289" s="8" t="s">
        <v>1321</v>
      </c>
      <c r="J289" s="8" t="s">
        <v>2341</v>
      </c>
      <c r="K289" s="8" t="s">
        <v>2342</v>
      </c>
    </row>
    <row r="290" spans="1:11" ht="110.25">
      <c r="A290" s="4" t="s">
        <v>432</v>
      </c>
      <c r="B290" s="4" t="s">
        <v>32</v>
      </c>
      <c r="C290" s="8" t="s">
        <v>47</v>
      </c>
      <c r="D290" s="8" t="s">
        <v>47</v>
      </c>
      <c r="E290" s="8" t="s">
        <v>48</v>
      </c>
      <c r="F290" s="8" t="s">
        <v>47</v>
      </c>
      <c r="G290" s="8" t="s">
        <v>63</v>
      </c>
      <c r="H290" s="8" t="s">
        <v>2599</v>
      </c>
      <c r="I290" s="8" t="s">
        <v>1321</v>
      </c>
      <c r="J290" s="8" t="s">
        <v>2341</v>
      </c>
      <c r="K290" s="8" t="s">
        <v>2342</v>
      </c>
    </row>
    <row r="291" spans="1:11" ht="47.25">
      <c r="A291" s="4" t="s">
        <v>432</v>
      </c>
      <c r="B291" s="4" t="s">
        <v>1090</v>
      </c>
      <c r="C291" s="8" t="s">
        <v>2353</v>
      </c>
      <c r="D291" s="8" t="s">
        <v>2353</v>
      </c>
      <c r="E291" s="8" t="s">
        <v>48</v>
      </c>
      <c r="F291" s="8" t="s">
        <v>2353</v>
      </c>
      <c r="G291" s="8" t="s">
        <v>63</v>
      </c>
      <c r="H291" s="8" t="s">
        <v>2354</v>
      </c>
      <c r="I291" s="8" t="s">
        <v>1617</v>
      </c>
      <c r="J291" s="8" t="s">
        <v>2341</v>
      </c>
      <c r="K291" s="8" t="s">
        <v>2342</v>
      </c>
    </row>
    <row r="292" spans="1:11" ht="141.75">
      <c r="A292" s="4" t="s">
        <v>432</v>
      </c>
      <c r="B292" s="4" t="s">
        <v>1091</v>
      </c>
      <c r="C292" s="8" t="s">
        <v>2579</v>
      </c>
      <c r="D292" s="8" t="s">
        <v>2579</v>
      </c>
      <c r="E292" s="8" t="s">
        <v>48</v>
      </c>
      <c r="F292" s="8" t="s">
        <v>2579</v>
      </c>
      <c r="G292" s="8" t="s">
        <v>63</v>
      </c>
      <c r="H292" s="8" t="s">
        <v>2600</v>
      </c>
      <c r="I292" s="8" t="s">
        <v>1727</v>
      </c>
      <c r="J292" s="8" t="s">
        <v>2341</v>
      </c>
      <c r="K292" s="8" t="s">
        <v>2342</v>
      </c>
    </row>
    <row r="293" spans="1:11" ht="47.25">
      <c r="A293" s="4" t="s">
        <v>432</v>
      </c>
      <c r="B293" s="4" t="s">
        <v>35</v>
      </c>
      <c r="C293" s="8" t="s">
        <v>50</v>
      </c>
      <c r="D293" s="8" t="s">
        <v>50</v>
      </c>
      <c r="E293" s="8" t="s">
        <v>48</v>
      </c>
      <c r="F293" s="8" t="s">
        <v>50</v>
      </c>
      <c r="G293" s="8" t="s">
        <v>63</v>
      </c>
      <c r="H293" s="8" t="s">
        <v>2358</v>
      </c>
      <c r="I293" s="8" t="s">
        <v>1321</v>
      </c>
      <c r="J293" s="8" t="s">
        <v>2341</v>
      </c>
      <c r="K293" s="8" t="s">
        <v>2342</v>
      </c>
    </row>
    <row r="294" spans="1:11" ht="47.25">
      <c r="A294" s="4" t="s">
        <v>442</v>
      </c>
      <c r="B294" s="4" t="s">
        <v>1028</v>
      </c>
      <c r="C294" s="8" t="s">
        <v>56</v>
      </c>
      <c r="D294" s="8" t="s">
        <v>56</v>
      </c>
      <c r="E294" s="8" t="s">
        <v>48</v>
      </c>
      <c r="F294" s="8" t="s">
        <v>56</v>
      </c>
      <c r="G294" s="8" t="s">
        <v>63</v>
      </c>
      <c r="H294" s="8" t="s">
        <v>2572</v>
      </c>
      <c r="I294" s="8" t="s">
        <v>2601</v>
      </c>
      <c r="J294" s="8" t="s">
        <v>2341</v>
      </c>
      <c r="K294" s="8" t="s">
        <v>2342</v>
      </c>
    </row>
    <row r="295" spans="1:11" ht="47.25">
      <c r="A295" s="4" t="s">
        <v>442</v>
      </c>
      <c r="B295" s="4" t="s">
        <v>1030</v>
      </c>
      <c r="C295" s="8" t="s">
        <v>57</v>
      </c>
      <c r="D295" s="8" t="s">
        <v>57</v>
      </c>
      <c r="E295" s="8" t="s">
        <v>48</v>
      </c>
      <c r="F295" s="8" t="s">
        <v>57</v>
      </c>
      <c r="G295" s="8" t="s">
        <v>63</v>
      </c>
      <c r="H295" s="8" t="s">
        <v>2343</v>
      </c>
      <c r="I295" s="8" t="s">
        <v>2602</v>
      </c>
      <c r="J295" s="8" t="s">
        <v>2341</v>
      </c>
      <c r="K295" s="8" t="s">
        <v>2342</v>
      </c>
    </row>
    <row r="296" spans="1:11" ht="47.25">
      <c r="A296" s="4" t="s">
        <v>442</v>
      </c>
      <c r="B296" s="4" t="s">
        <v>1032</v>
      </c>
      <c r="C296" s="8" t="s">
        <v>104</v>
      </c>
      <c r="D296" s="8" t="s">
        <v>104</v>
      </c>
      <c r="E296" s="8" t="s">
        <v>48</v>
      </c>
      <c r="F296" s="8" t="s">
        <v>104</v>
      </c>
      <c r="G296" s="8" t="s">
        <v>63</v>
      </c>
      <c r="H296" s="8" t="s">
        <v>2396</v>
      </c>
      <c r="I296" s="8" t="s">
        <v>2603</v>
      </c>
      <c r="J296" s="8" t="s">
        <v>2341</v>
      </c>
      <c r="K296" s="8" t="s">
        <v>2342</v>
      </c>
    </row>
    <row r="297" spans="1:11" ht="47.25">
      <c r="A297" s="4" t="s">
        <v>442</v>
      </c>
      <c r="B297" s="4" t="s">
        <v>1034</v>
      </c>
      <c r="C297" s="8" t="s">
        <v>59</v>
      </c>
      <c r="D297" s="8" t="s">
        <v>59</v>
      </c>
      <c r="E297" s="8" t="s">
        <v>48</v>
      </c>
      <c r="F297" s="8" t="s">
        <v>59</v>
      </c>
      <c r="G297" s="8" t="s">
        <v>63</v>
      </c>
      <c r="H297" s="8" t="s">
        <v>2364</v>
      </c>
      <c r="I297" s="8" t="s">
        <v>2604</v>
      </c>
      <c r="J297" s="8" t="s">
        <v>2341</v>
      </c>
      <c r="K297" s="8" t="s">
        <v>2342</v>
      </c>
    </row>
    <row r="298" spans="1:11" ht="47.25">
      <c r="A298" s="4" t="s">
        <v>442</v>
      </c>
      <c r="B298" s="4" t="s">
        <v>1038</v>
      </c>
      <c r="C298" s="8" t="s">
        <v>98</v>
      </c>
      <c r="D298" s="8" t="s">
        <v>98</v>
      </c>
      <c r="E298" s="8" t="s">
        <v>48</v>
      </c>
      <c r="F298" s="8" t="s">
        <v>98</v>
      </c>
      <c r="G298" s="8" t="s">
        <v>63</v>
      </c>
      <c r="H298" s="8" t="s">
        <v>2366</v>
      </c>
      <c r="I298" s="8" t="s">
        <v>2605</v>
      </c>
      <c r="J298" s="8" t="s">
        <v>2341</v>
      </c>
      <c r="K298" s="8" t="s">
        <v>2342</v>
      </c>
    </row>
    <row r="299" spans="1:11" ht="47.25">
      <c r="A299" s="4" t="s">
        <v>442</v>
      </c>
      <c r="B299" s="4" t="s">
        <v>1041</v>
      </c>
      <c r="C299" s="8" t="s">
        <v>49</v>
      </c>
      <c r="D299" s="8" t="s">
        <v>49</v>
      </c>
      <c r="E299" s="8" t="s">
        <v>48</v>
      </c>
      <c r="F299" s="8" t="s">
        <v>49</v>
      </c>
      <c r="G299" s="8" t="s">
        <v>63</v>
      </c>
      <c r="H299" s="8" t="s">
        <v>2351</v>
      </c>
      <c r="I299" s="8" t="s">
        <v>2605</v>
      </c>
      <c r="J299" s="8" t="s">
        <v>2341</v>
      </c>
      <c r="K299" s="8" t="s">
        <v>2342</v>
      </c>
    </row>
    <row r="300" spans="1:11" ht="126">
      <c r="A300" s="4" t="s">
        <v>442</v>
      </c>
      <c r="B300" s="4" t="s">
        <v>32</v>
      </c>
      <c r="C300" s="8" t="s">
        <v>99</v>
      </c>
      <c r="D300" s="8" t="s">
        <v>99</v>
      </c>
      <c r="E300" s="8" t="s">
        <v>48</v>
      </c>
      <c r="F300" s="8" t="s">
        <v>99</v>
      </c>
      <c r="G300" s="8" t="s">
        <v>63</v>
      </c>
      <c r="H300" s="8" t="s">
        <v>2606</v>
      </c>
      <c r="I300" s="8" t="s">
        <v>2605</v>
      </c>
      <c r="J300" s="8" t="s">
        <v>2341</v>
      </c>
      <c r="K300" s="8" t="s">
        <v>2342</v>
      </c>
    </row>
    <row r="301" spans="1:11" ht="47.25">
      <c r="A301" s="4" t="s">
        <v>442</v>
      </c>
      <c r="B301" s="4" t="s">
        <v>1090</v>
      </c>
      <c r="C301" s="8" t="s">
        <v>2353</v>
      </c>
      <c r="D301" s="8" t="s">
        <v>2353</v>
      </c>
      <c r="E301" s="8" t="s">
        <v>48</v>
      </c>
      <c r="F301" s="8" t="s">
        <v>2353</v>
      </c>
      <c r="G301" s="8" t="s">
        <v>63</v>
      </c>
      <c r="H301" s="8" t="s">
        <v>2354</v>
      </c>
      <c r="I301" s="8" t="s">
        <v>1617</v>
      </c>
      <c r="J301" s="8" t="s">
        <v>2341</v>
      </c>
      <c r="K301" s="8" t="s">
        <v>2342</v>
      </c>
    </row>
    <row r="302" spans="1:11" ht="141.75">
      <c r="A302" s="4" t="s">
        <v>442</v>
      </c>
      <c r="B302" s="4" t="s">
        <v>1091</v>
      </c>
      <c r="C302" s="8" t="s">
        <v>2355</v>
      </c>
      <c r="D302" s="8" t="s">
        <v>2355</v>
      </c>
      <c r="E302" s="8" t="s">
        <v>48</v>
      </c>
      <c r="F302" s="8" t="s">
        <v>2355</v>
      </c>
      <c r="G302" s="8" t="s">
        <v>63</v>
      </c>
      <c r="H302" s="8" t="s">
        <v>2607</v>
      </c>
      <c r="I302" s="8" t="s">
        <v>2608</v>
      </c>
      <c r="J302" s="8" t="s">
        <v>2341</v>
      </c>
      <c r="K302" s="8" t="s">
        <v>2342</v>
      </c>
    </row>
    <row r="303" spans="1:11" ht="47.25">
      <c r="A303" s="4" t="s">
        <v>442</v>
      </c>
      <c r="B303" s="4" t="s">
        <v>35</v>
      </c>
      <c r="C303" s="8" t="s">
        <v>50</v>
      </c>
      <c r="D303" s="8" t="s">
        <v>50</v>
      </c>
      <c r="E303" s="8" t="s">
        <v>48</v>
      </c>
      <c r="F303" s="8" t="s">
        <v>50</v>
      </c>
      <c r="G303" s="8" t="s">
        <v>63</v>
      </c>
      <c r="H303" s="8" t="s">
        <v>2358</v>
      </c>
      <c r="I303" s="8" t="s">
        <v>2609</v>
      </c>
      <c r="J303" s="8" t="s">
        <v>2341</v>
      </c>
      <c r="K303" s="8" t="s">
        <v>2342</v>
      </c>
    </row>
    <row r="304" spans="1:11" ht="47.25">
      <c r="A304" s="4" t="s">
        <v>451</v>
      </c>
      <c r="B304" s="4" t="s">
        <v>1028</v>
      </c>
      <c r="C304" s="8" t="s">
        <v>78</v>
      </c>
      <c r="D304" s="8" t="s">
        <v>78</v>
      </c>
      <c r="E304" s="8" t="s">
        <v>2480</v>
      </c>
      <c r="F304" s="8" t="s">
        <v>78</v>
      </c>
      <c r="G304" s="8" t="s">
        <v>63</v>
      </c>
      <c r="H304" s="8" t="s">
        <v>2610</v>
      </c>
      <c r="I304" s="8" t="s">
        <v>2611</v>
      </c>
      <c r="J304" s="8" t="s">
        <v>2612</v>
      </c>
      <c r="K304" s="8" t="s">
        <v>2342</v>
      </c>
    </row>
    <row r="305" spans="1:11" ht="47.25">
      <c r="A305" s="4" t="s">
        <v>451</v>
      </c>
      <c r="B305" s="4" t="s">
        <v>1030</v>
      </c>
      <c r="C305" s="8" t="s">
        <v>78</v>
      </c>
      <c r="D305" s="8" t="s">
        <v>78</v>
      </c>
      <c r="E305" s="8" t="s">
        <v>2480</v>
      </c>
      <c r="F305" s="8" t="s">
        <v>78</v>
      </c>
      <c r="G305" s="8" t="s">
        <v>63</v>
      </c>
      <c r="H305" s="8" t="s">
        <v>2610</v>
      </c>
      <c r="I305" s="8" t="s">
        <v>2613</v>
      </c>
      <c r="J305" s="8" t="s">
        <v>2612</v>
      </c>
      <c r="K305" s="8" t="s">
        <v>2342</v>
      </c>
    </row>
    <row r="306" spans="1:11" ht="47.25">
      <c r="A306" s="4" t="s">
        <v>451</v>
      </c>
      <c r="B306" s="4" t="s">
        <v>1032</v>
      </c>
      <c r="C306" s="8" t="s">
        <v>78</v>
      </c>
      <c r="D306" s="8" t="s">
        <v>78</v>
      </c>
      <c r="E306" s="8" t="s">
        <v>2480</v>
      </c>
      <c r="F306" s="8" t="s">
        <v>78</v>
      </c>
      <c r="G306" s="8" t="s">
        <v>63</v>
      </c>
      <c r="H306" s="8" t="s">
        <v>2610</v>
      </c>
      <c r="I306" s="8" t="s">
        <v>2614</v>
      </c>
      <c r="J306" s="8" t="s">
        <v>2612</v>
      </c>
      <c r="K306" s="8" t="s">
        <v>2342</v>
      </c>
    </row>
    <row r="307" spans="1:11" ht="47.25">
      <c r="A307" s="4" t="s">
        <v>451</v>
      </c>
      <c r="B307" s="4" t="s">
        <v>1034</v>
      </c>
      <c r="C307" s="8" t="s">
        <v>78</v>
      </c>
      <c r="D307" s="8" t="s">
        <v>78</v>
      </c>
      <c r="E307" s="8" t="s">
        <v>2480</v>
      </c>
      <c r="F307" s="8" t="s">
        <v>78</v>
      </c>
      <c r="G307" s="8" t="s">
        <v>63</v>
      </c>
      <c r="H307" s="8" t="s">
        <v>2610</v>
      </c>
      <c r="I307" s="8" t="s">
        <v>2615</v>
      </c>
      <c r="J307" s="8" t="s">
        <v>2612</v>
      </c>
      <c r="K307" s="8" t="s">
        <v>2342</v>
      </c>
    </row>
    <row r="308" spans="1:11" ht="47.25">
      <c r="A308" s="4" t="s">
        <v>451</v>
      </c>
      <c r="B308" s="4" t="s">
        <v>1038</v>
      </c>
      <c r="C308" s="8" t="s">
        <v>78</v>
      </c>
      <c r="D308" s="8" t="s">
        <v>78</v>
      </c>
      <c r="E308" s="8" t="s">
        <v>2480</v>
      </c>
      <c r="F308" s="8" t="s">
        <v>78</v>
      </c>
      <c r="G308" s="8" t="s">
        <v>63</v>
      </c>
      <c r="H308" s="8" t="s">
        <v>2610</v>
      </c>
      <c r="I308" s="8" t="s">
        <v>2616</v>
      </c>
      <c r="J308" s="8" t="s">
        <v>2612</v>
      </c>
      <c r="K308" s="8" t="s">
        <v>2342</v>
      </c>
    </row>
    <row r="309" spans="1:11" ht="47.25">
      <c r="A309" s="4" t="s">
        <v>451</v>
      </c>
      <c r="B309" s="4" t="s">
        <v>1041</v>
      </c>
      <c r="C309" s="8" t="s">
        <v>78</v>
      </c>
      <c r="D309" s="8" t="s">
        <v>78</v>
      </c>
      <c r="E309" s="8" t="s">
        <v>2480</v>
      </c>
      <c r="F309" s="8" t="s">
        <v>78</v>
      </c>
      <c r="G309" s="8" t="s">
        <v>63</v>
      </c>
      <c r="H309" s="8" t="s">
        <v>2610</v>
      </c>
      <c r="I309" s="8" t="s">
        <v>2616</v>
      </c>
      <c r="J309" s="8" t="s">
        <v>2612</v>
      </c>
      <c r="K309" s="8" t="s">
        <v>2342</v>
      </c>
    </row>
    <row r="310" spans="1:11" ht="47.25">
      <c r="A310" s="4" t="s">
        <v>451</v>
      </c>
      <c r="B310" s="4" t="s">
        <v>32</v>
      </c>
      <c r="C310" s="8" t="s">
        <v>78</v>
      </c>
      <c r="D310" s="8" t="s">
        <v>78</v>
      </c>
      <c r="E310" s="8" t="s">
        <v>2480</v>
      </c>
      <c r="F310" s="8" t="s">
        <v>78</v>
      </c>
      <c r="G310" s="8" t="s">
        <v>63</v>
      </c>
      <c r="H310" s="8" t="s">
        <v>2610</v>
      </c>
      <c r="I310" s="8" t="s">
        <v>2616</v>
      </c>
      <c r="J310" s="8" t="s">
        <v>2612</v>
      </c>
      <c r="K310" s="8" t="s">
        <v>2342</v>
      </c>
    </row>
    <row r="311" spans="1:11" ht="47.25">
      <c r="A311" s="4" t="s">
        <v>451</v>
      </c>
      <c r="B311" s="4" t="s">
        <v>1090</v>
      </c>
      <c r="C311" s="8" t="s">
        <v>78</v>
      </c>
      <c r="D311" s="8" t="s">
        <v>78</v>
      </c>
      <c r="E311" s="8" t="s">
        <v>2480</v>
      </c>
      <c r="F311" s="8" t="s">
        <v>78</v>
      </c>
      <c r="G311" s="8" t="s">
        <v>63</v>
      </c>
      <c r="H311" s="8" t="s">
        <v>2610</v>
      </c>
      <c r="I311" s="8" t="s">
        <v>1732</v>
      </c>
      <c r="J311" s="8" t="s">
        <v>2612</v>
      </c>
      <c r="K311" s="8" t="s">
        <v>2342</v>
      </c>
    </row>
    <row r="312" spans="1:11" ht="47.25">
      <c r="A312" s="4" t="s">
        <v>451</v>
      </c>
      <c r="B312" s="4" t="s">
        <v>1091</v>
      </c>
      <c r="C312" s="8" t="s">
        <v>78</v>
      </c>
      <c r="D312" s="8" t="s">
        <v>78</v>
      </c>
      <c r="E312" s="8" t="s">
        <v>2480</v>
      </c>
      <c r="F312" s="8" t="s">
        <v>78</v>
      </c>
      <c r="G312" s="8" t="s">
        <v>63</v>
      </c>
      <c r="H312" s="8" t="s">
        <v>2610</v>
      </c>
      <c r="I312" s="8" t="s">
        <v>2615</v>
      </c>
      <c r="J312" s="8" t="s">
        <v>2612</v>
      </c>
      <c r="K312" s="8" t="s">
        <v>2342</v>
      </c>
    </row>
    <row r="313" spans="1:11" ht="47.25">
      <c r="A313" s="4" t="s">
        <v>451</v>
      </c>
      <c r="B313" s="4" t="s">
        <v>35</v>
      </c>
      <c r="C313" s="8" t="s">
        <v>78</v>
      </c>
      <c r="D313" s="8" t="s">
        <v>78</v>
      </c>
      <c r="E313" s="8" t="s">
        <v>2480</v>
      </c>
      <c r="F313" s="8" t="s">
        <v>78</v>
      </c>
      <c r="G313" s="8" t="s">
        <v>63</v>
      </c>
      <c r="H313" s="8" t="s">
        <v>2610</v>
      </c>
      <c r="I313" s="8" t="s">
        <v>2615</v>
      </c>
      <c r="J313" s="8" t="s">
        <v>2612</v>
      </c>
      <c r="K313" s="8" t="s">
        <v>2342</v>
      </c>
    </row>
    <row r="314" spans="1:11" ht="47.25">
      <c r="A314" s="4" t="s">
        <v>462</v>
      </c>
      <c r="B314" s="4" t="s">
        <v>1028</v>
      </c>
      <c r="C314" s="8" t="s">
        <v>56</v>
      </c>
      <c r="D314" s="8" t="s">
        <v>56</v>
      </c>
      <c r="E314" s="8" t="s">
        <v>48</v>
      </c>
      <c r="F314" s="8" t="s">
        <v>56</v>
      </c>
      <c r="G314" s="8" t="s">
        <v>63</v>
      </c>
      <c r="H314" s="8" t="s">
        <v>2572</v>
      </c>
      <c r="I314" s="8" t="s">
        <v>2617</v>
      </c>
      <c r="J314" s="8" t="s">
        <v>2341</v>
      </c>
      <c r="K314" s="8" t="s">
        <v>2342</v>
      </c>
    </row>
    <row r="315" spans="1:11" ht="47.25">
      <c r="A315" s="4" t="s">
        <v>462</v>
      </c>
      <c r="B315" s="4" t="s">
        <v>1030</v>
      </c>
      <c r="C315" s="8" t="s">
        <v>57</v>
      </c>
      <c r="D315" s="8" t="s">
        <v>57</v>
      </c>
      <c r="E315" s="8" t="s">
        <v>48</v>
      </c>
      <c r="F315" s="8" t="s">
        <v>57</v>
      </c>
      <c r="G315" s="8" t="s">
        <v>63</v>
      </c>
      <c r="H315" s="8" t="s">
        <v>2343</v>
      </c>
      <c r="I315" s="8" t="s">
        <v>2618</v>
      </c>
      <c r="J315" s="8" t="s">
        <v>2341</v>
      </c>
      <c r="K315" s="8" t="s">
        <v>2342</v>
      </c>
    </row>
    <row r="316" spans="1:11" ht="47.25">
      <c r="A316" s="4" t="s">
        <v>462</v>
      </c>
      <c r="B316" s="4" t="s">
        <v>1032</v>
      </c>
      <c r="C316" s="8" t="s">
        <v>73</v>
      </c>
      <c r="D316" s="8" t="s">
        <v>73</v>
      </c>
      <c r="E316" s="8" t="s">
        <v>48</v>
      </c>
      <c r="F316" s="8" t="s">
        <v>73</v>
      </c>
      <c r="G316" s="8" t="s">
        <v>63</v>
      </c>
      <c r="H316" s="8" t="s">
        <v>2416</v>
      </c>
      <c r="I316" s="8" t="s">
        <v>2619</v>
      </c>
      <c r="J316" s="8" t="s">
        <v>2341</v>
      </c>
      <c r="K316" s="8" t="s">
        <v>2342</v>
      </c>
    </row>
    <row r="317" spans="1:11" ht="47.25">
      <c r="A317" s="4" t="s">
        <v>462</v>
      </c>
      <c r="B317" s="4" t="s">
        <v>1034</v>
      </c>
      <c r="C317" s="8" t="s">
        <v>59</v>
      </c>
      <c r="D317" s="8" t="s">
        <v>59</v>
      </c>
      <c r="E317" s="8" t="s">
        <v>48</v>
      </c>
      <c r="F317" s="8" t="s">
        <v>59</v>
      </c>
      <c r="G317" s="8" t="s">
        <v>63</v>
      </c>
      <c r="H317" s="8" t="s">
        <v>2364</v>
      </c>
      <c r="I317" s="8" t="s">
        <v>2620</v>
      </c>
      <c r="J317" s="8" t="s">
        <v>2341</v>
      </c>
      <c r="K317" s="8" t="s">
        <v>2342</v>
      </c>
    </row>
    <row r="318" spans="1:11" ht="47.25">
      <c r="A318" s="4" t="s">
        <v>462</v>
      </c>
      <c r="B318" s="4" t="s">
        <v>1038</v>
      </c>
      <c r="C318" s="8" t="s">
        <v>98</v>
      </c>
      <c r="D318" s="8" t="s">
        <v>98</v>
      </c>
      <c r="E318" s="8" t="s">
        <v>48</v>
      </c>
      <c r="F318" s="8" t="s">
        <v>98</v>
      </c>
      <c r="G318" s="8" t="s">
        <v>63</v>
      </c>
      <c r="H318" s="8" t="s">
        <v>2366</v>
      </c>
      <c r="I318" s="8" t="s">
        <v>2621</v>
      </c>
      <c r="J318" s="8" t="s">
        <v>2341</v>
      </c>
      <c r="K318" s="8" t="s">
        <v>2342</v>
      </c>
    </row>
    <row r="319" spans="1:11" ht="47.25">
      <c r="A319" s="4" t="s">
        <v>462</v>
      </c>
      <c r="B319" s="4" t="s">
        <v>1041</v>
      </c>
      <c r="C319" s="8" t="s">
        <v>49</v>
      </c>
      <c r="D319" s="8" t="s">
        <v>49</v>
      </c>
      <c r="E319" s="8" t="s">
        <v>48</v>
      </c>
      <c r="F319" s="8" t="s">
        <v>49</v>
      </c>
      <c r="G319" s="8" t="s">
        <v>63</v>
      </c>
      <c r="H319" s="8" t="s">
        <v>2351</v>
      </c>
      <c r="I319" s="8" t="s">
        <v>2621</v>
      </c>
      <c r="J319" s="8" t="s">
        <v>2341</v>
      </c>
      <c r="K319" s="8" t="s">
        <v>2342</v>
      </c>
    </row>
    <row r="320" spans="1:11" ht="126">
      <c r="A320" s="4" t="s">
        <v>462</v>
      </c>
      <c r="B320" s="4" t="s">
        <v>32</v>
      </c>
      <c r="C320" s="8" t="s">
        <v>99</v>
      </c>
      <c r="D320" s="8" t="s">
        <v>99</v>
      </c>
      <c r="E320" s="8" t="s">
        <v>48</v>
      </c>
      <c r="F320" s="8" t="s">
        <v>99</v>
      </c>
      <c r="G320" s="8" t="s">
        <v>63</v>
      </c>
      <c r="H320" s="8" t="s">
        <v>2622</v>
      </c>
      <c r="I320" s="8" t="s">
        <v>2621</v>
      </c>
      <c r="J320" s="8" t="s">
        <v>2341</v>
      </c>
      <c r="K320" s="8" t="s">
        <v>2342</v>
      </c>
    </row>
    <row r="321" spans="1:11" ht="47.25">
      <c r="A321" s="4" t="s">
        <v>462</v>
      </c>
      <c r="B321" s="4" t="s">
        <v>1090</v>
      </c>
      <c r="C321" s="8" t="s">
        <v>2353</v>
      </c>
      <c r="D321" s="8" t="s">
        <v>2353</v>
      </c>
      <c r="E321" s="8" t="s">
        <v>48</v>
      </c>
      <c r="F321" s="8" t="s">
        <v>2353</v>
      </c>
      <c r="G321" s="8" t="s">
        <v>63</v>
      </c>
      <c r="H321" s="8" t="s">
        <v>2354</v>
      </c>
      <c r="I321" s="8" t="s">
        <v>1617</v>
      </c>
      <c r="J321" s="8" t="s">
        <v>2341</v>
      </c>
      <c r="K321" s="8" t="s">
        <v>2342</v>
      </c>
    </row>
    <row r="322" spans="1:11" ht="141.75">
      <c r="A322" s="4" t="s">
        <v>462</v>
      </c>
      <c r="B322" s="4" t="s">
        <v>1091</v>
      </c>
      <c r="C322" s="8" t="s">
        <v>2355</v>
      </c>
      <c r="D322" s="8" t="s">
        <v>2355</v>
      </c>
      <c r="E322" s="8" t="s">
        <v>48</v>
      </c>
      <c r="F322" s="8" t="s">
        <v>2355</v>
      </c>
      <c r="G322" s="8" t="s">
        <v>63</v>
      </c>
      <c r="H322" s="8" t="s">
        <v>2623</v>
      </c>
      <c r="I322" s="8" t="s">
        <v>2624</v>
      </c>
      <c r="J322" s="8" t="s">
        <v>2341</v>
      </c>
      <c r="K322" s="8" t="s">
        <v>2342</v>
      </c>
    </row>
    <row r="323" spans="1:11" ht="47.25">
      <c r="A323" s="4" t="s">
        <v>462</v>
      </c>
      <c r="B323" s="4" t="s">
        <v>35</v>
      </c>
      <c r="C323" s="8" t="s">
        <v>65</v>
      </c>
      <c r="D323" s="8" t="s">
        <v>65</v>
      </c>
      <c r="E323" s="8" t="s">
        <v>48</v>
      </c>
      <c r="F323" s="8" t="s">
        <v>65</v>
      </c>
      <c r="G323" s="8" t="s">
        <v>63</v>
      </c>
      <c r="H323" s="8" t="s">
        <v>2371</v>
      </c>
      <c r="I323" s="8" t="s">
        <v>2625</v>
      </c>
      <c r="J323" s="8" t="s">
        <v>2341</v>
      </c>
      <c r="K323" s="8" t="s">
        <v>2342</v>
      </c>
    </row>
    <row r="324" spans="1:11" ht="47.25">
      <c r="A324" s="4" t="s">
        <v>470</v>
      </c>
      <c r="B324" s="4" t="s">
        <v>1028</v>
      </c>
      <c r="C324" s="8" t="s">
        <v>78</v>
      </c>
      <c r="D324" s="8" t="s">
        <v>78</v>
      </c>
      <c r="E324" s="8" t="s">
        <v>2480</v>
      </c>
      <c r="F324" s="8" t="s">
        <v>78</v>
      </c>
      <c r="G324" s="8" t="s">
        <v>63</v>
      </c>
      <c r="H324" s="8" t="s">
        <v>2626</v>
      </c>
      <c r="I324" s="8" t="s">
        <v>2627</v>
      </c>
      <c r="J324" s="8" t="s">
        <v>2612</v>
      </c>
      <c r="K324" s="8" t="s">
        <v>2342</v>
      </c>
    </row>
    <row r="325" spans="1:11" ht="47.25">
      <c r="A325" s="4" t="s">
        <v>470</v>
      </c>
      <c r="B325" s="4" t="s">
        <v>1030</v>
      </c>
      <c r="C325" s="8" t="s">
        <v>78</v>
      </c>
      <c r="D325" s="8" t="s">
        <v>78</v>
      </c>
      <c r="E325" s="8" t="s">
        <v>2480</v>
      </c>
      <c r="F325" s="8" t="s">
        <v>78</v>
      </c>
      <c r="G325" s="8" t="s">
        <v>63</v>
      </c>
      <c r="H325" s="8" t="s">
        <v>2626</v>
      </c>
      <c r="I325" s="8" t="s">
        <v>2628</v>
      </c>
      <c r="J325" s="8" t="s">
        <v>2612</v>
      </c>
      <c r="K325" s="8" t="s">
        <v>2342</v>
      </c>
    </row>
    <row r="326" spans="1:11" ht="47.25">
      <c r="A326" s="4" t="s">
        <v>470</v>
      </c>
      <c r="B326" s="4" t="s">
        <v>1032</v>
      </c>
      <c r="C326" s="8" t="s">
        <v>78</v>
      </c>
      <c r="D326" s="8" t="s">
        <v>78</v>
      </c>
      <c r="E326" s="8" t="s">
        <v>2480</v>
      </c>
      <c r="F326" s="8" t="s">
        <v>78</v>
      </c>
      <c r="G326" s="8" t="s">
        <v>63</v>
      </c>
      <c r="H326" s="8" t="s">
        <v>2626</v>
      </c>
      <c r="I326" s="8" t="s">
        <v>2627</v>
      </c>
      <c r="J326" s="8" t="s">
        <v>2612</v>
      </c>
      <c r="K326" s="8" t="s">
        <v>2342</v>
      </c>
    </row>
    <row r="327" spans="1:11" ht="47.25">
      <c r="A327" s="4" t="s">
        <v>470</v>
      </c>
      <c r="B327" s="4" t="s">
        <v>1034</v>
      </c>
      <c r="C327" s="8" t="s">
        <v>78</v>
      </c>
      <c r="D327" s="8" t="s">
        <v>78</v>
      </c>
      <c r="E327" s="8" t="s">
        <v>2480</v>
      </c>
      <c r="F327" s="8" t="s">
        <v>78</v>
      </c>
      <c r="G327" s="8" t="s">
        <v>63</v>
      </c>
      <c r="H327" s="8" t="s">
        <v>2626</v>
      </c>
      <c r="I327" s="8" t="s">
        <v>2628</v>
      </c>
      <c r="J327" s="8" t="s">
        <v>2612</v>
      </c>
      <c r="K327" s="8" t="s">
        <v>2342</v>
      </c>
    </row>
    <row r="328" spans="1:11" ht="47.25">
      <c r="A328" s="4" t="s">
        <v>470</v>
      </c>
      <c r="B328" s="4" t="s">
        <v>1038</v>
      </c>
      <c r="C328" s="8" t="s">
        <v>78</v>
      </c>
      <c r="D328" s="8" t="s">
        <v>78</v>
      </c>
      <c r="E328" s="8" t="s">
        <v>2480</v>
      </c>
      <c r="F328" s="8" t="s">
        <v>78</v>
      </c>
      <c r="G328" s="8" t="s">
        <v>63</v>
      </c>
      <c r="H328" s="8" t="s">
        <v>2626</v>
      </c>
      <c r="I328" s="8" t="s">
        <v>2629</v>
      </c>
      <c r="J328" s="8" t="s">
        <v>2612</v>
      </c>
      <c r="K328" s="8" t="s">
        <v>2342</v>
      </c>
    </row>
    <row r="329" spans="1:11" ht="47.25">
      <c r="A329" s="4" t="s">
        <v>470</v>
      </c>
      <c r="B329" s="4" t="s">
        <v>1041</v>
      </c>
      <c r="C329" s="8" t="s">
        <v>78</v>
      </c>
      <c r="D329" s="8" t="s">
        <v>78</v>
      </c>
      <c r="E329" s="8" t="s">
        <v>2480</v>
      </c>
      <c r="F329" s="8" t="s">
        <v>78</v>
      </c>
      <c r="G329" s="8" t="s">
        <v>63</v>
      </c>
      <c r="H329" s="8" t="s">
        <v>2626</v>
      </c>
      <c r="I329" s="8" t="s">
        <v>2629</v>
      </c>
      <c r="J329" s="8" t="s">
        <v>2612</v>
      </c>
      <c r="K329" s="8" t="s">
        <v>2342</v>
      </c>
    </row>
    <row r="330" spans="1:11" ht="47.25">
      <c r="A330" s="4" t="s">
        <v>470</v>
      </c>
      <c r="B330" s="4" t="s">
        <v>32</v>
      </c>
      <c r="C330" s="8" t="s">
        <v>78</v>
      </c>
      <c r="D330" s="8" t="s">
        <v>78</v>
      </c>
      <c r="E330" s="8" t="s">
        <v>2480</v>
      </c>
      <c r="F330" s="8" t="s">
        <v>78</v>
      </c>
      <c r="G330" s="8" t="s">
        <v>63</v>
      </c>
      <c r="H330" s="8" t="s">
        <v>2626</v>
      </c>
      <c r="I330" s="8" t="s">
        <v>2629</v>
      </c>
      <c r="J330" s="8" t="s">
        <v>2612</v>
      </c>
      <c r="K330" s="8" t="s">
        <v>2342</v>
      </c>
    </row>
    <row r="331" spans="1:11" ht="47.25">
      <c r="A331" s="4" t="s">
        <v>470</v>
      </c>
      <c r="B331" s="4" t="s">
        <v>1090</v>
      </c>
      <c r="C331" s="8" t="s">
        <v>78</v>
      </c>
      <c r="D331" s="8" t="s">
        <v>78</v>
      </c>
      <c r="E331" s="8" t="s">
        <v>2480</v>
      </c>
      <c r="F331" s="8" t="s">
        <v>78</v>
      </c>
      <c r="G331" s="8" t="s">
        <v>63</v>
      </c>
      <c r="H331" s="8" t="s">
        <v>2626</v>
      </c>
      <c r="I331" s="8" t="s">
        <v>1740</v>
      </c>
      <c r="J331" s="8" t="s">
        <v>2612</v>
      </c>
      <c r="K331" s="8" t="s">
        <v>2342</v>
      </c>
    </row>
    <row r="332" spans="1:11" ht="47.25">
      <c r="A332" s="4" t="s">
        <v>470</v>
      </c>
      <c r="B332" s="4" t="s">
        <v>1091</v>
      </c>
      <c r="C332" s="8" t="s">
        <v>78</v>
      </c>
      <c r="D332" s="8" t="s">
        <v>78</v>
      </c>
      <c r="E332" s="8" t="s">
        <v>2480</v>
      </c>
      <c r="F332" s="8" t="s">
        <v>78</v>
      </c>
      <c r="G332" s="8" t="s">
        <v>63</v>
      </c>
      <c r="H332" s="8" t="s">
        <v>2626</v>
      </c>
      <c r="I332" s="8" t="s">
        <v>2628</v>
      </c>
      <c r="J332" s="8" t="s">
        <v>2612</v>
      </c>
      <c r="K332" s="8" t="s">
        <v>2342</v>
      </c>
    </row>
    <row r="333" spans="1:11" ht="47.25">
      <c r="A333" s="4" t="s">
        <v>470</v>
      </c>
      <c r="B333" s="4" t="s">
        <v>35</v>
      </c>
      <c r="C333" s="8" t="s">
        <v>78</v>
      </c>
      <c r="D333" s="8" t="s">
        <v>78</v>
      </c>
      <c r="E333" s="8" t="s">
        <v>2480</v>
      </c>
      <c r="F333" s="8" t="s">
        <v>78</v>
      </c>
      <c r="G333" s="8" t="s">
        <v>63</v>
      </c>
      <c r="H333" s="8" t="s">
        <v>2626</v>
      </c>
      <c r="I333" s="8" t="s">
        <v>2628</v>
      </c>
      <c r="J333" s="8" t="s">
        <v>2612</v>
      </c>
      <c r="K333" s="8" t="s">
        <v>2342</v>
      </c>
    </row>
    <row r="334" spans="1:11" ht="47.25">
      <c r="A334" s="4" t="s">
        <v>480</v>
      </c>
      <c r="B334" s="4" t="s">
        <v>1028</v>
      </c>
      <c r="C334" s="8" t="s">
        <v>56</v>
      </c>
      <c r="D334" s="8" t="s">
        <v>56</v>
      </c>
      <c r="E334" s="8" t="s">
        <v>48</v>
      </c>
      <c r="F334" s="8" t="s">
        <v>56</v>
      </c>
      <c r="G334" s="8" t="s">
        <v>63</v>
      </c>
      <c r="H334" s="8" t="s">
        <v>2572</v>
      </c>
      <c r="I334" s="8" t="s">
        <v>2630</v>
      </c>
      <c r="J334" s="8" t="s">
        <v>2341</v>
      </c>
      <c r="K334" s="8" t="s">
        <v>2342</v>
      </c>
    </row>
    <row r="335" spans="1:11" ht="47.25">
      <c r="A335" s="4" t="s">
        <v>480</v>
      </c>
      <c r="B335" s="4" t="s">
        <v>1030</v>
      </c>
      <c r="C335" s="8" t="s">
        <v>57</v>
      </c>
      <c r="D335" s="8" t="s">
        <v>57</v>
      </c>
      <c r="E335" s="8" t="s">
        <v>48</v>
      </c>
      <c r="F335" s="8" t="s">
        <v>57</v>
      </c>
      <c r="G335" s="8" t="s">
        <v>63</v>
      </c>
      <c r="H335" s="8" t="s">
        <v>2343</v>
      </c>
      <c r="I335" s="8" t="s">
        <v>2631</v>
      </c>
      <c r="J335" s="8" t="s">
        <v>2341</v>
      </c>
      <c r="K335" s="8" t="s">
        <v>2342</v>
      </c>
    </row>
    <row r="336" spans="1:11" ht="47.25">
      <c r="A336" s="4" t="s">
        <v>480</v>
      </c>
      <c r="B336" s="4" t="s">
        <v>1032</v>
      </c>
      <c r="C336" s="8" t="s">
        <v>58</v>
      </c>
      <c r="D336" s="8" t="s">
        <v>58</v>
      </c>
      <c r="E336" s="8" t="s">
        <v>48</v>
      </c>
      <c r="F336" s="8" t="s">
        <v>58</v>
      </c>
      <c r="G336" s="8" t="s">
        <v>63</v>
      </c>
      <c r="H336" s="8" t="s">
        <v>2597</v>
      </c>
      <c r="I336" s="8" t="s">
        <v>2632</v>
      </c>
      <c r="J336" s="8" t="s">
        <v>2341</v>
      </c>
      <c r="K336" s="8" t="s">
        <v>2342</v>
      </c>
    </row>
    <row r="337" spans="1:11" ht="47.25">
      <c r="A337" s="4" t="s">
        <v>480</v>
      </c>
      <c r="B337" s="4" t="s">
        <v>1034</v>
      </c>
      <c r="C337" s="8" t="s">
        <v>59</v>
      </c>
      <c r="D337" s="8" t="s">
        <v>59</v>
      </c>
      <c r="E337" s="8" t="s">
        <v>48</v>
      </c>
      <c r="F337" s="8" t="s">
        <v>59</v>
      </c>
      <c r="G337" s="8" t="s">
        <v>63</v>
      </c>
      <c r="H337" s="8" t="s">
        <v>2364</v>
      </c>
      <c r="I337" s="8" t="s">
        <v>2633</v>
      </c>
      <c r="J337" s="8" t="s">
        <v>2341</v>
      </c>
      <c r="K337" s="8" t="s">
        <v>2342</v>
      </c>
    </row>
    <row r="338" spans="1:11" ht="47.25">
      <c r="A338" s="4" t="s">
        <v>480</v>
      </c>
      <c r="B338" s="4" t="s">
        <v>1038</v>
      </c>
      <c r="C338" s="8" t="s">
        <v>98</v>
      </c>
      <c r="D338" s="8" t="s">
        <v>98</v>
      </c>
      <c r="E338" s="8" t="s">
        <v>48</v>
      </c>
      <c r="F338" s="8" t="s">
        <v>98</v>
      </c>
      <c r="G338" s="8" t="s">
        <v>63</v>
      </c>
      <c r="H338" s="8" t="s">
        <v>2366</v>
      </c>
      <c r="I338" s="8" t="s">
        <v>2634</v>
      </c>
      <c r="J338" s="8" t="s">
        <v>2341</v>
      </c>
      <c r="K338" s="8" t="s">
        <v>2342</v>
      </c>
    </row>
    <row r="339" spans="1:11" ht="47.25">
      <c r="A339" s="4" t="s">
        <v>480</v>
      </c>
      <c r="B339" s="4" t="s">
        <v>1041</v>
      </c>
      <c r="C339" s="8" t="s">
        <v>49</v>
      </c>
      <c r="D339" s="8" t="s">
        <v>49</v>
      </c>
      <c r="E339" s="8" t="s">
        <v>48</v>
      </c>
      <c r="F339" s="8" t="s">
        <v>49</v>
      </c>
      <c r="G339" s="8" t="s">
        <v>63</v>
      </c>
      <c r="H339" s="8" t="s">
        <v>2351</v>
      </c>
      <c r="I339" s="8" t="s">
        <v>2634</v>
      </c>
      <c r="J339" s="8" t="s">
        <v>2341</v>
      </c>
      <c r="K339" s="8" t="s">
        <v>2342</v>
      </c>
    </row>
    <row r="340" spans="1:11" ht="126">
      <c r="A340" s="4" t="s">
        <v>480</v>
      </c>
      <c r="B340" s="4" t="s">
        <v>32</v>
      </c>
      <c r="C340" s="8" t="s">
        <v>99</v>
      </c>
      <c r="D340" s="8" t="s">
        <v>99</v>
      </c>
      <c r="E340" s="8" t="s">
        <v>48</v>
      </c>
      <c r="F340" s="8" t="s">
        <v>99</v>
      </c>
      <c r="G340" s="8" t="s">
        <v>63</v>
      </c>
      <c r="H340" s="8" t="s">
        <v>2635</v>
      </c>
      <c r="I340" s="8" t="s">
        <v>2634</v>
      </c>
      <c r="J340" s="8" t="s">
        <v>2341</v>
      </c>
      <c r="K340" s="8" t="s">
        <v>2342</v>
      </c>
    </row>
    <row r="341" spans="1:11" ht="47.25">
      <c r="A341" s="4" t="s">
        <v>480</v>
      </c>
      <c r="B341" s="4" t="s">
        <v>1090</v>
      </c>
      <c r="C341" s="8" t="s">
        <v>2353</v>
      </c>
      <c r="D341" s="8" t="s">
        <v>2353</v>
      </c>
      <c r="E341" s="8" t="s">
        <v>48</v>
      </c>
      <c r="F341" s="8" t="s">
        <v>2353</v>
      </c>
      <c r="G341" s="8" t="s">
        <v>63</v>
      </c>
      <c r="H341" s="8" t="s">
        <v>2354</v>
      </c>
      <c r="I341" s="8" t="s">
        <v>1617</v>
      </c>
      <c r="J341" s="8" t="s">
        <v>2341</v>
      </c>
      <c r="K341" s="8" t="s">
        <v>2342</v>
      </c>
    </row>
    <row r="342" spans="1:11" ht="141.75">
      <c r="A342" s="4" t="s">
        <v>480</v>
      </c>
      <c r="B342" s="4" t="s">
        <v>1091</v>
      </c>
      <c r="C342" s="8" t="s">
        <v>2355</v>
      </c>
      <c r="D342" s="8" t="s">
        <v>2355</v>
      </c>
      <c r="E342" s="8" t="s">
        <v>48</v>
      </c>
      <c r="F342" s="8" t="s">
        <v>2355</v>
      </c>
      <c r="G342" s="8" t="s">
        <v>63</v>
      </c>
      <c r="H342" s="8" t="s">
        <v>2636</v>
      </c>
      <c r="I342" s="8" t="s">
        <v>2637</v>
      </c>
      <c r="J342" s="8" t="s">
        <v>2341</v>
      </c>
      <c r="K342" s="8" t="s">
        <v>2342</v>
      </c>
    </row>
    <row r="343" spans="1:11" ht="47.25">
      <c r="A343" s="4" t="s">
        <v>480</v>
      </c>
      <c r="B343" s="4" t="s">
        <v>35</v>
      </c>
      <c r="C343" s="8" t="s">
        <v>65</v>
      </c>
      <c r="D343" s="8" t="s">
        <v>65</v>
      </c>
      <c r="E343" s="8" t="s">
        <v>48</v>
      </c>
      <c r="F343" s="8" t="s">
        <v>65</v>
      </c>
      <c r="G343" s="8" t="s">
        <v>63</v>
      </c>
      <c r="H343" s="8" t="s">
        <v>2371</v>
      </c>
      <c r="I343" s="8" t="s">
        <v>2638</v>
      </c>
      <c r="J343" s="8" t="s">
        <v>2341</v>
      </c>
      <c r="K343" s="8" t="s">
        <v>2342</v>
      </c>
    </row>
    <row r="344" spans="1:11" ht="47.25">
      <c r="A344" s="4" t="s">
        <v>489</v>
      </c>
      <c r="B344" s="4" t="s">
        <v>1028</v>
      </c>
      <c r="C344" s="8" t="s">
        <v>56</v>
      </c>
      <c r="D344" s="8" t="s">
        <v>56</v>
      </c>
      <c r="E344" s="8" t="s">
        <v>48</v>
      </c>
      <c r="F344" s="8" t="s">
        <v>56</v>
      </c>
      <c r="G344" s="8" t="s">
        <v>63</v>
      </c>
      <c r="H344" s="8" t="s">
        <v>2572</v>
      </c>
      <c r="I344" s="8" t="s">
        <v>2639</v>
      </c>
      <c r="J344" s="8" t="s">
        <v>2341</v>
      </c>
      <c r="K344" s="8" t="s">
        <v>2342</v>
      </c>
    </row>
    <row r="345" spans="1:11" ht="47.25">
      <c r="A345" s="4" t="s">
        <v>489</v>
      </c>
      <c r="B345" s="4" t="s">
        <v>1030</v>
      </c>
      <c r="C345" s="8" t="s">
        <v>57</v>
      </c>
      <c r="D345" s="8" t="s">
        <v>57</v>
      </c>
      <c r="E345" s="8" t="s">
        <v>48</v>
      </c>
      <c r="F345" s="8" t="s">
        <v>57</v>
      </c>
      <c r="G345" s="8" t="s">
        <v>63</v>
      </c>
      <c r="H345" s="8" t="s">
        <v>2343</v>
      </c>
      <c r="I345" s="8" t="s">
        <v>2640</v>
      </c>
      <c r="J345" s="8" t="s">
        <v>2341</v>
      </c>
      <c r="K345" s="8" t="s">
        <v>2342</v>
      </c>
    </row>
    <row r="346" spans="1:11" ht="47.25">
      <c r="A346" s="4" t="s">
        <v>489</v>
      </c>
      <c r="B346" s="4" t="s">
        <v>1032</v>
      </c>
      <c r="C346" s="8" t="s">
        <v>73</v>
      </c>
      <c r="D346" s="8" t="s">
        <v>73</v>
      </c>
      <c r="E346" s="8" t="s">
        <v>48</v>
      </c>
      <c r="F346" s="8" t="s">
        <v>73</v>
      </c>
      <c r="G346" s="8" t="s">
        <v>63</v>
      </c>
      <c r="H346" s="8" t="s">
        <v>2416</v>
      </c>
      <c r="I346" s="8" t="s">
        <v>2641</v>
      </c>
      <c r="J346" s="8" t="s">
        <v>2341</v>
      </c>
      <c r="K346" s="8" t="s">
        <v>2342</v>
      </c>
    </row>
    <row r="347" spans="1:11" ht="47.25">
      <c r="A347" s="4" t="s">
        <v>489</v>
      </c>
      <c r="B347" s="4" t="s">
        <v>1034</v>
      </c>
      <c r="C347" s="8" t="s">
        <v>59</v>
      </c>
      <c r="D347" s="8" t="s">
        <v>59</v>
      </c>
      <c r="E347" s="8" t="s">
        <v>48</v>
      </c>
      <c r="F347" s="8" t="s">
        <v>59</v>
      </c>
      <c r="G347" s="8" t="s">
        <v>63</v>
      </c>
      <c r="H347" s="8" t="s">
        <v>2364</v>
      </c>
      <c r="I347" s="8" t="s">
        <v>2642</v>
      </c>
      <c r="J347" s="8" t="s">
        <v>2341</v>
      </c>
      <c r="K347" s="8" t="s">
        <v>2342</v>
      </c>
    </row>
    <row r="348" spans="1:11" ht="47.25">
      <c r="A348" s="4" t="s">
        <v>489</v>
      </c>
      <c r="B348" s="4" t="s">
        <v>1038</v>
      </c>
      <c r="C348" s="8" t="s">
        <v>107</v>
      </c>
      <c r="D348" s="8" t="s">
        <v>107</v>
      </c>
      <c r="E348" s="8" t="s">
        <v>48</v>
      </c>
      <c r="F348" s="8" t="s">
        <v>107</v>
      </c>
      <c r="G348" s="8" t="s">
        <v>63</v>
      </c>
      <c r="H348" s="8" t="s">
        <v>2349</v>
      </c>
      <c r="I348" s="8" t="s">
        <v>2643</v>
      </c>
      <c r="J348" s="8" t="s">
        <v>2341</v>
      </c>
      <c r="K348" s="8" t="s">
        <v>2342</v>
      </c>
    </row>
    <row r="349" spans="1:11" ht="47.25">
      <c r="A349" s="4" t="s">
        <v>489</v>
      </c>
      <c r="B349" s="4" t="s">
        <v>1041</v>
      </c>
      <c r="C349" s="8" t="s">
        <v>49</v>
      </c>
      <c r="D349" s="8" t="s">
        <v>49</v>
      </c>
      <c r="E349" s="8" t="s">
        <v>48</v>
      </c>
      <c r="F349" s="8" t="s">
        <v>49</v>
      </c>
      <c r="G349" s="8" t="s">
        <v>63</v>
      </c>
      <c r="H349" s="8" t="s">
        <v>2351</v>
      </c>
      <c r="I349" s="8" t="s">
        <v>2643</v>
      </c>
      <c r="J349" s="8" t="s">
        <v>2341</v>
      </c>
      <c r="K349" s="8" t="s">
        <v>2342</v>
      </c>
    </row>
    <row r="350" spans="1:11" ht="126">
      <c r="A350" s="4" t="s">
        <v>489</v>
      </c>
      <c r="B350" s="4" t="s">
        <v>32</v>
      </c>
      <c r="C350" s="8" t="s">
        <v>99</v>
      </c>
      <c r="D350" s="8" t="s">
        <v>99</v>
      </c>
      <c r="E350" s="8" t="s">
        <v>48</v>
      </c>
      <c r="F350" s="8" t="s">
        <v>99</v>
      </c>
      <c r="G350" s="8" t="s">
        <v>63</v>
      </c>
      <c r="H350" s="8" t="s">
        <v>2644</v>
      </c>
      <c r="I350" s="8" t="s">
        <v>2643</v>
      </c>
      <c r="J350" s="8" t="s">
        <v>2341</v>
      </c>
      <c r="K350" s="8" t="s">
        <v>2342</v>
      </c>
    </row>
    <row r="351" spans="1:11" ht="47.25">
      <c r="A351" s="4" t="s">
        <v>489</v>
      </c>
      <c r="B351" s="4" t="s">
        <v>1090</v>
      </c>
      <c r="C351" s="8" t="s">
        <v>2353</v>
      </c>
      <c r="D351" s="8" t="s">
        <v>2353</v>
      </c>
      <c r="E351" s="8" t="s">
        <v>48</v>
      </c>
      <c r="F351" s="8" t="s">
        <v>2353</v>
      </c>
      <c r="G351" s="8" t="s">
        <v>63</v>
      </c>
      <c r="H351" s="8" t="s">
        <v>2354</v>
      </c>
      <c r="I351" s="8" t="s">
        <v>1617</v>
      </c>
      <c r="J351" s="8" t="s">
        <v>2341</v>
      </c>
      <c r="K351" s="8" t="s">
        <v>2342</v>
      </c>
    </row>
    <row r="352" spans="1:11" ht="141.75">
      <c r="A352" s="4" t="s">
        <v>489</v>
      </c>
      <c r="B352" s="4" t="s">
        <v>1091</v>
      </c>
      <c r="C352" s="8" t="s">
        <v>2355</v>
      </c>
      <c r="D352" s="8" t="s">
        <v>2355</v>
      </c>
      <c r="E352" s="8" t="s">
        <v>48</v>
      </c>
      <c r="F352" s="8" t="s">
        <v>2355</v>
      </c>
      <c r="G352" s="8" t="s">
        <v>63</v>
      </c>
      <c r="H352" s="8" t="s">
        <v>2645</v>
      </c>
      <c r="I352" s="8" t="s">
        <v>2646</v>
      </c>
      <c r="J352" s="8" t="s">
        <v>2341</v>
      </c>
      <c r="K352" s="8" t="s">
        <v>2342</v>
      </c>
    </row>
    <row r="353" spans="1:11" ht="47.25">
      <c r="A353" s="4" t="s">
        <v>489</v>
      </c>
      <c r="B353" s="4" t="s">
        <v>35</v>
      </c>
      <c r="C353" s="8" t="s">
        <v>65</v>
      </c>
      <c r="D353" s="8" t="s">
        <v>65</v>
      </c>
      <c r="E353" s="8" t="s">
        <v>48</v>
      </c>
      <c r="F353" s="8" t="s">
        <v>65</v>
      </c>
      <c r="G353" s="8" t="s">
        <v>63</v>
      </c>
      <c r="H353" s="8" t="s">
        <v>2371</v>
      </c>
      <c r="I353" s="8" t="s">
        <v>2647</v>
      </c>
      <c r="J353" s="8" t="s">
        <v>2341</v>
      </c>
      <c r="K353" s="8" t="s">
        <v>2342</v>
      </c>
    </row>
    <row r="354" spans="1:11" ht="47.25">
      <c r="A354" s="4" t="s">
        <v>497</v>
      </c>
      <c r="B354" s="4" t="s">
        <v>1028</v>
      </c>
      <c r="C354" s="8" t="s">
        <v>56</v>
      </c>
      <c r="D354" s="8" t="s">
        <v>56</v>
      </c>
      <c r="E354" s="8" t="s">
        <v>48</v>
      </c>
      <c r="F354" s="8" t="s">
        <v>56</v>
      </c>
      <c r="G354" s="8" t="s">
        <v>63</v>
      </c>
      <c r="H354" s="8" t="s">
        <v>2572</v>
      </c>
      <c r="I354" s="8" t="s">
        <v>2648</v>
      </c>
      <c r="J354" s="8" t="s">
        <v>2341</v>
      </c>
      <c r="K354" s="8" t="s">
        <v>2342</v>
      </c>
    </row>
    <row r="355" spans="1:11" ht="47.25">
      <c r="A355" s="4" t="s">
        <v>497</v>
      </c>
      <c r="B355" s="4" t="s">
        <v>1030</v>
      </c>
      <c r="C355" s="8" t="s">
        <v>57</v>
      </c>
      <c r="D355" s="8" t="s">
        <v>57</v>
      </c>
      <c r="E355" s="8" t="s">
        <v>48</v>
      </c>
      <c r="F355" s="8" t="s">
        <v>57</v>
      </c>
      <c r="G355" s="8" t="s">
        <v>63</v>
      </c>
      <c r="H355" s="8" t="s">
        <v>2343</v>
      </c>
      <c r="I355" s="8" t="s">
        <v>2649</v>
      </c>
      <c r="J355" s="8" t="s">
        <v>2341</v>
      </c>
      <c r="K355" s="8" t="s">
        <v>2342</v>
      </c>
    </row>
    <row r="356" spans="1:11" ht="47.25">
      <c r="A356" s="4" t="s">
        <v>497</v>
      </c>
      <c r="B356" s="4" t="s">
        <v>1032</v>
      </c>
      <c r="C356" s="8" t="s">
        <v>58</v>
      </c>
      <c r="D356" s="8" t="s">
        <v>58</v>
      </c>
      <c r="E356" s="8" t="s">
        <v>48</v>
      </c>
      <c r="F356" s="8" t="s">
        <v>58</v>
      </c>
      <c r="G356" s="8" t="s">
        <v>63</v>
      </c>
      <c r="H356" s="8" t="s">
        <v>2597</v>
      </c>
      <c r="I356" s="8" t="s">
        <v>2577</v>
      </c>
      <c r="J356" s="8" t="s">
        <v>2341</v>
      </c>
      <c r="K356" s="8" t="s">
        <v>2342</v>
      </c>
    </row>
    <row r="357" spans="1:11" ht="47.25">
      <c r="A357" s="4" t="s">
        <v>497</v>
      </c>
      <c r="B357" s="4" t="s">
        <v>1034</v>
      </c>
      <c r="C357" s="8" t="s">
        <v>59</v>
      </c>
      <c r="D357" s="8" t="s">
        <v>59</v>
      </c>
      <c r="E357" s="8" t="s">
        <v>48</v>
      </c>
      <c r="F357" s="8" t="s">
        <v>59</v>
      </c>
      <c r="G357" s="8" t="s">
        <v>63</v>
      </c>
      <c r="H357" s="8" t="s">
        <v>2364</v>
      </c>
      <c r="I357" s="8" t="s">
        <v>2650</v>
      </c>
      <c r="J357" s="8" t="s">
        <v>2341</v>
      </c>
      <c r="K357" s="8" t="s">
        <v>2342</v>
      </c>
    </row>
    <row r="358" spans="1:11" ht="47.25">
      <c r="A358" s="4" t="s">
        <v>497</v>
      </c>
      <c r="B358" s="4" t="s">
        <v>1038</v>
      </c>
      <c r="C358" s="8" t="s">
        <v>98</v>
      </c>
      <c r="D358" s="8" t="s">
        <v>98</v>
      </c>
      <c r="E358" s="8" t="s">
        <v>48</v>
      </c>
      <c r="F358" s="8" t="s">
        <v>98</v>
      </c>
      <c r="G358" s="8" t="s">
        <v>63</v>
      </c>
      <c r="H358" s="8" t="s">
        <v>2366</v>
      </c>
      <c r="I358" s="8" t="s">
        <v>2651</v>
      </c>
      <c r="J358" s="8" t="s">
        <v>2341</v>
      </c>
      <c r="K358" s="8" t="s">
        <v>2342</v>
      </c>
    </row>
    <row r="359" spans="1:11" ht="47.25">
      <c r="A359" s="4" t="s">
        <v>497</v>
      </c>
      <c r="B359" s="4" t="s">
        <v>1041</v>
      </c>
      <c r="C359" s="8" t="s">
        <v>49</v>
      </c>
      <c r="D359" s="8" t="s">
        <v>49</v>
      </c>
      <c r="E359" s="8" t="s">
        <v>48</v>
      </c>
      <c r="F359" s="8" t="s">
        <v>49</v>
      </c>
      <c r="G359" s="8" t="s">
        <v>63</v>
      </c>
      <c r="H359" s="8" t="s">
        <v>2351</v>
      </c>
      <c r="I359" s="8" t="s">
        <v>2651</v>
      </c>
      <c r="J359" s="8" t="s">
        <v>2341</v>
      </c>
      <c r="K359" s="8" t="s">
        <v>2342</v>
      </c>
    </row>
    <row r="360" spans="1:11" ht="126">
      <c r="A360" s="4" t="s">
        <v>497</v>
      </c>
      <c r="B360" s="4" t="s">
        <v>32</v>
      </c>
      <c r="C360" s="8" t="s">
        <v>99</v>
      </c>
      <c r="D360" s="8" t="s">
        <v>99</v>
      </c>
      <c r="E360" s="8" t="s">
        <v>48</v>
      </c>
      <c r="F360" s="8" t="s">
        <v>99</v>
      </c>
      <c r="G360" s="8" t="s">
        <v>63</v>
      </c>
      <c r="H360" s="8" t="s">
        <v>2652</v>
      </c>
      <c r="I360" s="8" t="s">
        <v>2651</v>
      </c>
      <c r="J360" s="8" t="s">
        <v>2341</v>
      </c>
      <c r="K360" s="8" t="s">
        <v>2342</v>
      </c>
    </row>
    <row r="361" spans="1:11" ht="47.25">
      <c r="A361" s="4" t="s">
        <v>497</v>
      </c>
      <c r="B361" s="4" t="s">
        <v>1090</v>
      </c>
      <c r="C361" s="8" t="s">
        <v>2353</v>
      </c>
      <c r="D361" s="8" t="s">
        <v>2353</v>
      </c>
      <c r="E361" s="8" t="s">
        <v>48</v>
      </c>
      <c r="F361" s="8" t="s">
        <v>2353</v>
      </c>
      <c r="G361" s="8" t="s">
        <v>63</v>
      </c>
      <c r="H361" s="8" t="s">
        <v>2354</v>
      </c>
      <c r="I361" s="8" t="s">
        <v>1617</v>
      </c>
      <c r="J361" s="8" t="s">
        <v>2341</v>
      </c>
      <c r="K361" s="8" t="s">
        <v>2342</v>
      </c>
    </row>
    <row r="362" spans="1:11" ht="141.75">
      <c r="A362" s="4" t="s">
        <v>497</v>
      </c>
      <c r="B362" s="4" t="s">
        <v>1091</v>
      </c>
      <c r="C362" s="8" t="s">
        <v>2355</v>
      </c>
      <c r="D362" s="8" t="s">
        <v>2355</v>
      </c>
      <c r="E362" s="8" t="s">
        <v>48</v>
      </c>
      <c r="F362" s="8" t="s">
        <v>2355</v>
      </c>
      <c r="G362" s="8" t="s">
        <v>63</v>
      </c>
      <c r="H362" s="8" t="s">
        <v>2653</v>
      </c>
      <c r="I362" s="8" t="s">
        <v>2654</v>
      </c>
      <c r="J362" s="8" t="s">
        <v>2341</v>
      </c>
      <c r="K362" s="8" t="s">
        <v>2342</v>
      </c>
    </row>
    <row r="363" spans="1:11" ht="47.25">
      <c r="A363" s="4" t="s">
        <v>497</v>
      </c>
      <c r="B363" s="4" t="s">
        <v>35</v>
      </c>
      <c r="C363" s="8" t="s">
        <v>50</v>
      </c>
      <c r="D363" s="8" t="s">
        <v>50</v>
      </c>
      <c r="E363" s="8" t="s">
        <v>48</v>
      </c>
      <c r="F363" s="8" t="s">
        <v>50</v>
      </c>
      <c r="G363" s="8" t="s">
        <v>63</v>
      </c>
      <c r="H363" s="8" t="s">
        <v>2358</v>
      </c>
      <c r="I363" s="8" t="s">
        <v>2655</v>
      </c>
      <c r="J363" s="8" t="s">
        <v>2341</v>
      </c>
      <c r="K363" s="8" t="s">
        <v>2342</v>
      </c>
    </row>
    <row r="364" spans="1:11" ht="47.25">
      <c r="A364" s="4" t="s">
        <v>505</v>
      </c>
      <c r="B364" s="4" t="s">
        <v>1028</v>
      </c>
      <c r="C364" s="8" t="s">
        <v>56</v>
      </c>
      <c r="D364" s="8" t="s">
        <v>56</v>
      </c>
      <c r="E364" s="8" t="s">
        <v>48</v>
      </c>
      <c r="F364" s="8" t="s">
        <v>56</v>
      </c>
      <c r="G364" s="8" t="s">
        <v>63</v>
      </c>
      <c r="H364" s="8" t="s">
        <v>2572</v>
      </c>
      <c r="I364" s="8" t="s">
        <v>2656</v>
      </c>
      <c r="J364" s="8" t="s">
        <v>2341</v>
      </c>
      <c r="K364" s="8" t="s">
        <v>2342</v>
      </c>
    </row>
    <row r="365" spans="1:11" ht="47.25">
      <c r="A365" s="4" t="s">
        <v>505</v>
      </c>
      <c r="B365" s="4" t="s">
        <v>1030</v>
      </c>
      <c r="C365" s="8" t="s">
        <v>57</v>
      </c>
      <c r="D365" s="8" t="s">
        <v>57</v>
      </c>
      <c r="E365" s="8" t="s">
        <v>48</v>
      </c>
      <c r="F365" s="8" t="s">
        <v>57</v>
      </c>
      <c r="G365" s="8" t="s">
        <v>63</v>
      </c>
      <c r="H365" s="8" t="s">
        <v>2343</v>
      </c>
      <c r="I365" s="8" t="s">
        <v>2657</v>
      </c>
      <c r="J365" s="8" t="s">
        <v>2341</v>
      </c>
      <c r="K365" s="8" t="s">
        <v>2342</v>
      </c>
    </row>
    <row r="366" spans="1:11" ht="47.25">
      <c r="A366" s="4" t="s">
        <v>505</v>
      </c>
      <c r="B366" s="4" t="s">
        <v>1032</v>
      </c>
      <c r="C366" s="8" t="s">
        <v>104</v>
      </c>
      <c r="D366" s="8" t="s">
        <v>104</v>
      </c>
      <c r="E366" s="8" t="s">
        <v>48</v>
      </c>
      <c r="F366" s="8" t="s">
        <v>104</v>
      </c>
      <c r="G366" s="8" t="s">
        <v>63</v>
      </c>
      <c r="H366" s="8" t="s">
        <v>2396</v>
      </c>
      <c r="I366" s="8" t="s">
        <v>2658</v>
      </c>
      <c r="J366" s="8" t="s">
        <v>2341</v>
      </c>
      <c r="K366" s="8" t="s">
        <v>2342</v>
      </c>
    </row>
    <row r="367" spans="1:11" ht="47.25">
      <c r="A367" s="4" t="s">
        <v>505</v>
      </c>
      <c r="B367" s="4" t="s">
        <v>1034</v>
      </c>
      <c r="C367" s="8" t="s">
        <v>59</v>
      </c>
      <c r="D367" s="8" t="s">
        <v>59</v>
      </c>
      <c r="E367" s="8" t="s">
        <v>48</v>
      </c>
      <c r="F367" s="8" t="s">
        <v>59</v>
      </c>
      <c r="G367" s="8" t="s">
        <v>63</v>
      </c>
      <c r="H367" s="8" t="s">
        <v>2364</v>
      </c>
      <c r="I367" s="8" t="s">
        <v>2659</v>
      </c>
      <c r="J367" s="8" t="s">
        <v>2341</v>
      </c>
      <c r="K367" s="8" t="s">
        <v>2342</v>
      </c>
    </row>
    <row r="368" spans="1:11" ht="47.25">
      <c r="A368" s="4" t="s">
        <v>505</v>
      </c>
      <c r="B368" s="4" t="s">
        <v>1038</v>
      </c>
      <c r="C368" s="8" t="s">
        <v>98</v>
      </c>
      <c r="D368" s="8" t="s">
        <v>98</v>
      </c>
      <c r="E368" s="8" t="s">
        <v>48</v>
      </c>
      <c r="F368" s="8" t="s">
        <v>98</v>
      </c>
      <c r="G368" s="8" t="s">
        <v>63</v>
      </c>
      <c r="H368" s="8" t="s">
        <v>2366</v>
      </c>
      <c r="I368" s="8" t="s">
        <v>2660</v>
      </c>
      <c r="J368" s="8" t="s">
        <v>2341</v>
      </c>
      <c r="K368" s="8" t="s">
        <v>2342</v>
      </c>
    </row>
    <row r="369" spans="1:11" ht="47.25">
      <c r="A369" s="4" t="s">
        <v>505</v>
      </c>
      <c r="B369" s="4" t="s">
        <v>1041</v>
      </c>
      <c r="C369" s="8" t="s">
        <v>49</v>
      </c>
      <c r="D369" s="8" t="s">
        <v>49</v>
      </c>
      <c r="E369" s="8" t="s">
        <v>48</v>
      </c>
      <c r="F369" s="8" t="s">
        <v>49</v>
      </c>
      <c r="G369" s="8" t="s">
        <v>63</v>
      </c>
      <c r="H369" s="8" t="s">
        <v>2351</v>
      </c>
      <c r="I369" s="8" t="s">
        <v>2660</v>
      </c>
      <c r="J369" s="8" t="s">
        <v>2341</v>
      </c>
      <c r="K369" s="8" t="s">
        <v>2342</v>
      </c>
    </row>
    <row r="370" spans="1:11" ht="126">
      <c r="A370" s="4" t="s">
        <v>505</v>
      </c>
      <c r="B370" s="4" t="s">
        <v>32</v>
      </c>
      <c r="C370" s="8" t="s">
        <v>99</v>
      </c>
      <c r="D370" s="8" t="s">
        <v>99</v>
      </c>
      <c r="E370" s="8" t="s">
        <v>48</v>
      </c>
      <c r="F370" s="8" t="s">
        <v>99</v>
      </c>
      <c r="G370" s="8" t="s">
        <v>63</v>
      </c>
      <c r="H370" s="8" t="s">
        <v>2661</v>
      </c>
      <c r="I370" s="8" t="s">
        <v>2660</v>
      </c>
      <c r="J370" s="8" t="s">
        <v>2341</v>
      </c>
      <c r="K370" s="8" t="s">
        <v>2342</v>
      </c>
    </row>
    <row r="371" spans="1:11" ht="47.25">
      <c r="A371" s="4" t="s">
        <v>505</v>
      </c>
      <c r="B371" s="4" t="s">
        <v>1090</v>
      </c>
      <c r="C371" s="8" t="s">
        <v>2353</v>
      </c>
      <c r="D371" s="8" t="s">
        <v>2353</v>
      </c>
      <c r="E371" s="8" t="s">
        <v>48</v>
      </c>
      <c r="F371" s="8" t="s">
        <v>2353</v>
      </c>
      <c r="G371" s="8" t="s">
        <v>63</v>
      </c>
      <c r="H371" s="8" t="s">
        <v>2354</v>
      </c>
      <c r="I371" s="8" t="s">
        <v>1617</v>
      </c>
      <c r="J371" s="8" t="s">
        <v>2341</v>
      </c>
      <c r="K371" s="8" t="s">
        <v>2342</v>
      </c>
    </row>
    <row r="372" spans="1:11" ht="141.75">
      <c r="A372" s="4" t="s">
        <v>505</v>
      </c>
      <c r="B372" s="4" t="s">
        <v>1091</v>
      </c>
      <c r="C372" s="8" t="s">
        <v>2355</v>
      </c>
      <c r="D372" s="8" t="s">
        <v>2355</v>
      </c>
      <c r="E372" s="8" t="s">
        <v>48</v>
      </c>
      <c r="F372" s="8" t="s">
        <v>2355</v>
      </c>
      <c r="G372" s="8" t="s">
        <v>63</v>
      </c>
      <c r="H372" s="8" t="s">
        <v>2662</v>
      </c>
      <c r="I372" s="8" t="s">
        <v>2663</v>
      </c>
      <c r="J372" s="8" t="s">
        <v>2341</v>
      </c>
      <c r="K372" s="8" t="s">
        <v>2342</v>
      </c>
    </row>
    <row r="373" spans="1:11" ht="47.25">
      <c r="A373" s="4" t="s">
        <v>505</v>
      </c>
      <c r="B373" s="4" t="s">
        <v>35</v>
      </c>
      <c r="C373" s="8" t="s">
        <v>50</v>
      </c>
      <c r="D373" s="8" t="s">
        <v>50</v>
      </c>
      <c r="E373" s="8" t="s">
        <v>48</v>
      </c>
      <c r="F373" s="8" t="s">
        <v>50</v>
      </c>
      <c r="G373" s="8" t="s">
        <v>63</v>
      </c>
      <c r="H373" s="8" t="s">
        <v>2358</v>
      </c>
      <c r="I373" s="8" t="s">
        <v>2664</v>
      </c>
      <c r="J373" s="8" t="s">
        <v>2341</v>
      </c>
      <c r="K373" s="8" t="s">
        <v>2342</v>
      </c>
    </row>
    <row r="374" spans="1:11" ht="47.25">
      <c r="A374" s="4" t="s">
        <v>514</v>
      </c>
      <c r="B374" s="4" t="s">
        <v>1028</v>
      </c>
      <c r="C374" s="8" t="s">
        <v>56</v>
      </c>
      <c r="D374" s="8" t="s">
        <v>56</v>
      </c>
      <c r="E374" s="8" t="s">
        <v>48</v>
      </c>
      <c r="F374" s="8" t="s">
        <v>56</v>
      </c>
      <c r="G374" s="8" t="s">
        <v>63</v>
      </c>
      <c r="H374" s="8" t="s">
        <v>2572</v>
      </c>
      <c r="I374" s="8" t="s">
        <v>2665</v>
      </c>
      <c r="J374" s="8" t="s">
        <v>2341</v>
      </c>
      <c r="K374" s="8" t="s">
        <v>2342</v>
      </c>
    </row>
    <row r="375" spans="1:11" ht="47.25">
      <c r="A375" s="4" t="s">
        <v>514</v>
      </c>
      <c r="B375" s="4" t="s">
        <v>1030</v>
      </c>
      <c r="C375" s="8" t="s">
        <v>57</v>
      </c>
      <c r="D375" s="8" t="s">
        <v>57</v>
      </c>
      <c r="E375" s="8" t="s">
        <v>48</v>
      </c>
      <c r="F375" s="8" t="s">
        <v>57</v>
      </c>
      <c r="G375" s="8" t="s">
        <v>63</v>
      </c>
      <c r="H375" s="8" t="s">
        <v>2343</v>
      </c>
      <c r="I375" s="8" t="s">
        <v>2666</v>
      </c>
      <c r="J375" s="8" t="s">
        <v>2341</v>
      </c>
      <c r="K375" s="8" t="s">
        <v>2342</v>
      </c>
    </row>
    <row r="376" spans="1:11" ht="47.25">
      <c r="A376" s="4" t="s">
        <v>514</v>
      </c>
      <c r="B376" s="4" t="s">
        <v>1032</v>
      </c>
      <c r="C376" s="8" t="s">
        <v>85</v>
      </c>
      <c r="D376" s="8" t="s">
        <v>85</v>
      </c>
      <c r="E376" s="8" t="s">
        <v>48</v>
      </c>
      <c r="F376" s="8" t="s">
        <v>85</v>
      </c>
      <c r="G376" s="8" t="s">
        <v>63</v>
      </c>
      <c r="H376" s="8" t="s">
        <v>2362</v>
      </c>
      <c r="I376" s="8" t="s">
        <v>2603</v>
      </c>
      <c r="J376" s="8" t="s">
        <v>2341</v>
      </c>
      <c r="K376" s="8" t="s">
        <v>2342</v>
      </c>
    </row>
    <row r="377" spans="1:11" ht="47.25">
      <c r="A377" s="4" t="s">
        <v>514</v>
      </c>
      <c r="B377" s="4" t="s">
        <v>1034</v>
      </c>
      <c r="C377" s="8" t="s">
        <v>59</v>
      </c>
      <c r="D377" s="8" t="s">
        <v>59</v>
      </c>
      <c r="E377" s="8" t="s">
        <v>48</v>
      </c>
      <c r="F377" s="8" t="s">
        <v>59</v>
      </c>
      <c r="G377" s="8" t="s">
        <v>63</v>
      </c>
      <c r="H377" s="8" t="s">
        <v>2364</v>
      </c>
      <c r="I377" s="8" t="s">
        <v>2667</v>
      </c>
      <c r="J377" s="8" t="s">
        <v>2341</v>
      </c>
      <c r="K377" s="8" t="s">
        <v>2342</v>
      </c>
    </row>
    <row r="378" spans="1:11" ht="47.25">
      <c r="A378" s="4" t="s">
        <v>514</v>
      </c>
      <c r="B378" s="4" t="s">
        <v>1038</v>
      </c>
      <c r="C378" s="8" t="s">
        <v>98</v>
      </c>
      <c r="D378" s="8" t="s">
        <v>98</v>
      </c>
      <c r="E378" s="8" t="s">
        <v>48</v>
      </c>
      <c r="F378" s="8" t="s">
        <v>98</v>
      </c>
      <c r="G378" s="8" t="s">
        <v>63</v>
      </c>
      <c r="H378" s="8" t="s">
        <v>2366</v>
      </c>
      <c r="I378" s="8" t="s">
        <v>2668</v>
      </c>
      <c r="J378" s="8" t="s">
        <v>2341</v>
      </c>
      <c r="K378" s="8" t="s">
        <v>2342</v>
      </c>
    </row>
    <row r="379" spans="1:11" ht="47.25">
      <c r="A379" s="4" t="s">
        <v>514</v>
      </c>
      <c r="B379" s="4" t="s">
        <v>1041</v>
      </c>
      <c r="C379" s="8" t="s">
        <v>49</v>
      </c>
      <c r="D379" s="8" t="s">
        <v>49</v>
      </c>
      <c r="E379" s="8" t="s">
        <v>48</v>
      </c>
      <c r="F379" s="8" t="s">
        <v>49</v>
      </c>
      <c r="G379" s="8" t="s">
        <v>63</v>
      </c>
      <c r="H379" s="8" t="s">
        <v>2351</v>
      </c>
      <c r="I379" s="8" t="s">
        <v>2668</v>
      </c>
      <c r="J379" s="8" t="s">
        <v>2341</v>
      </c>
      <c r="K379" s="8" t="s">
        <v>2342</v>
      </c>
    </row>
    <row r="380" spans="1:11" ht="126">
      <c r="A380" s="4" t="s">
        <v>514</v>
      </c>
      <c r="B380" s="4" t="s">
        <v>32</v>
      </c>
      <c r="C380" s="8" t="s">
        <v>99</v>
      </c>
      <c r="D380" s="8" t="s">
        <v>99</v>
      </c>
      <c r="E380" s="8" t="s">
        <v>48</v>
      </c>
      <c r="F380" s="8" t="s">
        <v>99</v>
      </c>
      <c r="G380" s="8" t="s">
        <v>63</v>
      </c>
      <c r="H380" s="8" t="s">
        <v>2669</v>
      </c>
      <c r="I380" s="8" t="s">
        <v>2668</v>
      </c>
      <c r="J380" s="8" t="s">
        <v>2341</v>
      </c>
      <c r="K380" s="8" t="s">
        <v>2342</v>
      </c>
    </row>
    <row r="381" spans="1:11" ht="47.25">
      <c r="A381" s="4" t="s">
        <v>514</v>
      </c>
      <c r="B381" s="4" t="s">
        <v>1090</v>
      </c>
      <c r="C381" s="8" t="s">
        <v>2353</v>
      </c>
      <c r="D381" s="8" t="s">
        <v>2353</v>
      </c>
      <c r="E381" s="8" t="s">
        <v>48</v>
      </c>
      <c r="F381" s="8" t="s">
        <v>2353</v>
      </c>
      <c r="G381" s="8" t="s">
        <v>63</v>
      </c>
      <c r="H381" s="8" t="s">
        <v>2354</v>
      </c>
      <c r="I381" s="8" t="s">
        <v>1617</v>
      </c>
      <c r="J381" s="8" t="s">
        <v>2341</v>
      </c>
      <c r="K381" s="8" t="s">
        <v>2342</v>
      </c>
    </row>
    <row r="382" spans="1:11" ht="141.75">
      <c r="A382" s="4" t="s">
        <v>514</v>
      </c>
      <c r="B382" s="4" t="s">
        <v>1091</v>
      </c>
      <c r="C382" s="8" t="s">
        <v>2355</v>
      </c>
      <c r="D382" s="8" t="s">
        <v>2355</v>
      </c>
      <c r="E382" s="8" t="s">
        <v>48</v>
      </c>
      <c r="F382" s="8" t="s">
        <v>2355</v>
      </c>
      <c r="G382" s="8" t="s">
        <v>63</v>
      </c>
      <c r="H382" s="8" t="s">
        <v>2670</v>
      </c>
      <c r="I382" s="8" t="s">
        <v>2671</v>
      </c>
      <c r="J382" s="8" t="s">
        <v>2341</v>
      </c>
      <c r="K382" s="8" t="s">
        <v>2342</v>
      </c>
    </row>
    <row r="383" spans="1:11" ht="47.25">
      <c r="A383" s="4" t="s">
        <v>514</v>
      </c>
      <c r="B383" s="4" t="s">
        <v>35</v>
      </c>
      <c r="C383" s="8" t="s">
        <v>65</v>
      </c>
      <c r="D383" s="8" t="s">
        <v>65</v>
      </c>
      <c r="E383" s="8" t="s">
        <v>48</v>
      </c>
      <c r="F383" s="8" t="s">
        <v>65</v>
      </c>
      <c r="G383" s="8" t="s">
        <v>63</v>
      </c>
      <c r="H383" s="8" t="s">
        <v>2371</v>
      </c>
      <c r="I383" s="8" t="s">
        <v>2672</v>
      </c>
      <c r="J383" s="8" t="s">
        <v>2341</v>
      </c>
      <c r="K383" s="8" t="s">
        <v>2342</v>
      </c>
    </row>
    <row r="384" spans="1:11" ht="47.25">
      <c r="A384" s="4" t="s">
        <v>523</v>
      </c>
      <c r="B384" s="4" t="s">
        <v>1028</v>
      </c>
      <c r="C384" s="8" t="s">
        <v>56</v>
      </c>
      <c r="D384" s="8" t="s">
        <v>56</v>
      </c>
      <c r="E384" s="8" t="s">
        <v>48</v>
      </c>
      <c r="F384" s="8" t="s">
        <v>56</v>
      </c>
      <c r="G384" s="8" t="s">
        <v>63</v>
      </c>
      <c r="H384" s="8" t="s">
        <v>2572</v>
      </c>
      <c r="I384" s="8" t="s">
        <v>2673</v>
      </c>
      <c r="J384" s="8" t="s">
        <v>2341</v>
      </c>
      <c r="K384" s="8" t="s">
        <v>2342</v>
      </c>
    </row>
    <row r="385" spans="1:11" ht="47.25">
      <c r="A385" s="4" t="s">
        <v>523</v>
      </c>
      <c r="B385" s="4" t="s">
        <v>1030</v>
      </c>
      <c r="C385" s="8" t="s">
        <v>57</v>
      </c>
      <c r="D385" s="8" t="s">
        <v>57</v>
      </c>
      <c r="E385" s="8" t="s">
        <v>48</v>
      </c>
      <c r="F385" s="8" t="s">
        <v>57</v>
      </c>
      <c r="G385" s="8" t="s">
        <v>63</v>
      </c>
      <c r="H385" s="8" t="s">
        <v>2343</v>
      </c>
      <c r="I385" s="8" t="s">
        <v>2674</v>
      </c>
      <c r="J385" s="8" t="s">
        <v>2341</v>
      </c>
      <c r="K385" s="8" t="s">
        <v>2342</v>
      </c>
    </row>
    <row r="386" spans="1:11" ht="47.25">
      <c r="A386" s="4" t="s">
        <v>523</v>
      </c>
      <c r="B386" s="4" t="s">
        <v>1032</v>
      </c>
      <c r="C386" s="8" t="s">
        <v>85</v>
      </c>
      <c r="D386" s="8" t="s">
        <v>85</v>
      </c>
      <c r="E386" s="8" t="s">
        <v>48</v>
      </c>
      <c r="F386" s="8" t="s">
        <v>85</v>
      </c>
      <c r="G386" s="8" t="s">
        <v>63</v>
      </c>
      <c r="H386" s="8" t="s">
        <v>2362</v>
      </c>
      <c r="I386" s="8" t="s">
        <v>2675</v>
      </c>
      <c r="J386" s="8" t="s">
        <v>2341</v>
      </c>
      <c r="K386" s="8" t="s">
        <v>2342</v>
      </c>
    </row>
    <row r="387" spans="1:11" ht="47.25">
      <c r="A387" s="4" t="s">
        <v>523</v>
      </c>
      <c r="B387" s="4" t="s">
        <v>1034</v>
      </c>
      <c r="C387" s="8" t="s">
        <v>59</v>
      </c>
      <c r="D387" s="8" t="s">
        <v>59</v>
      </c>
      <c r="E387" s="8" t="s">
        <v>48</v>
      </c>
      <c r="F387" s="8" t="s">
        <v>59</v>
      </c>
      <c r="G387" s="8" t="s">
        <v>63</v>
      </c>
      <c r="H387" s="8" t="s">
        <v>2364</v>
      </c>
      <c r="I387" s="8" t="s">
        <v>2676</v>
      </c>
      <c r="J387" s="8" t="s">
        <v>2341</v>
      </c>
      <c r="K387" s="8" t="s">
        <v>2342</v>
      </c>
    </row>
    <row r="388" spans="1:11" ht="47.25">
      <c r="A388" s="4" t="s">
        <v>523</v>
      </c>
      <c r="B388" s="4" t="s">
        <v>1038</v>
      </c>
      <c r="C388" s="8" t="s">
        <v>98</v>
      </c>
      <c r="D388" s="8" t="s">
        <v>98</v>
      </c>
      <c r="E388" s="8" t="s">
        <v>48</v>
      </c>
      <c r="F388" s="8" t="s">
        <v>98</v>
      </c>
      <c r="G388" s="8" t="s">
        <v>63</v>
      </c>
      <c r="H388" s="8" t="s">
        <v>2366</v>
      </c>
      <c r="I388" s="8" t="s">
        <v>2677</v>
      </c>
      <c r="J388" s="8" t="s">
        <v>2341</v>
      </c>
      <c r="K388" s="8" t="s">
        <v>2342</v>
      </c>
    </row>
    <row r="389" spans="1:11" ht="47.25">
      <c r="A389" s="4" t="s">
        <v>523</v>
      </c>
      <c r="B389" s="4" t="s">
        <v>1041</v>
      </c>
      <c r="C389" s="8" t="s">
        <v>49</v>
      </c>
      <c r="D389" s="8" t="s">
        <v>49</v>
      </c>
      <c r="E389" s="8" t="s">
        <v>48</v>
      </c>
      <c r="F389" s="8" t="s">
        <v>49</v>
      </c>
      <c r="G389" s="8" t="s">
        <v>63</v>
      </c>
      <c r="H389" s="8" t="s">
        <v>2351</v>
      </c>
      <c r="I389" s="8" t="s">
        <v>2677</v>
      </c>
      <c r="J389" s="8" t="s">
        <v>2341</v>
      </c>
      <c r="K389" s="8" t="s">
        <v>2342</v>
      </c>
    </row>
    <row r="390" spans="1:11" ht="126">
      <c r="A390" s="4" t="s">
        <v>523</v>
      </c>
      <c r="B390" s="4" t="s">
        <v>32</v>
      </c>
      <c r="C390" s="8" t="s">
        <v>99</v>
      </c>
      <c r="D390" s="8" t="s">
        <v>99</v>
      </c>
      <c r="E390" s="8" t="s">
        <v>48</v>
      </c>
      <c r="F390" s="8" t="s">
        <v>99</v>
      </c>
      <c r="G390" s="8" t="s">
        <v>63</v>
      </c>
      <c r="H390" s="8" t="s">
        <v>2678</v>
      </c>
      <c r="I390" s="8" t="s">
        <v>2677</v>
      </c>
      <c r="J390" s="8" t="s">
        <v>2341</v>
      </c>
      <c r="K390" s="8" t="s">
        <v>2342</v>
      </c>
    </row>
    <row r="391" spans="1:11" ht="47.25">
      <c r="A391" s="4" t="s">
        <v>523</v>
      </c>
      <c r="B391" s="4" t="s">
        <v>1090</v>
      </c>
      <c r="C391" s="8" t="s">
        <v>2353</v>
      </c>
      <c r="D391" s="8" t="s">
        <v>2353</v>
      </c>
      <c r="E391" s="8" t="s">
        <v>48</v>
      </c>
      <c r="F391" s="8" t="s">
        <v>2353</v>
      </c>
      <c r="G391" s="8" t="s">
        <v>63</v>
      </c>
      <c r="H391" s="8" t="s">
        <v>2354</v>
      </c>
      <c r="I391" s="8" t="s">
        <v>1617</v>
      </c>
      <c r="J391" s="8" t="s">
        <v>2341</v>
      </c>
      <c r="K391" s="8" t="s">
        <v>2342</v>
      </c>
    </row>
    <row r="392" spans="1:11" ht="141.75">
      <c r="A392" s="4" t="s">
        <v>523</v>
      </c>
      <c r="B392" s="4" t="s">
        <v>1091</v>
      </c>
      <c r="C392" s="8" t="s">
        <v>2355</v>
      </c>
      <c r="D392" s="8" t="s">
        <v>2355</v>
      </c>
      <c r="E392" s="8" t="s">
        <v>48</v>
      </c>
      <c r="F392" s="8" t="s">
        <v>2355</v>
      </c>
      <c r="G392" s="8" t="s">
        <v>63</v>
      </c>
      <c r="H392" s="8" t="s">
        <v>2679</v>
      </c>
      <c r="I392" s="8" t="s">
        <v>2680</v>
      </c>
      <c r="J392" s="8" t="s">
        <v>2341</v>
      </c>
      <c r="K392" s="8" t="s">
        <v>2342</v>
      </c>
    </row>
    <row r="393" spans="1:11" ht="47.25">
      <c r="A393" s="4" t="s">
        <v>523</v>
      </c>
      <c r="B393" s="4" t="s">
        <v>35</v>
      </c>
      <c r="C393" s="8" t="s">
        <v>65</v>
      </c>
      <c r="D393" s="8" t="s">
        <v>65</v>
      </c>
      <c r="E393" s="8" t="s">
        <v>48</v>
      </c>
      <c r="F393" s="8" t="s">
        <v>65</v>
      </c>
      <c r="G393" s="8" t="s">
        <v>63</v>
      </c>
      <c r="H393" s="8" t="s">
        <v>2371</v>
      </c>
      <c r="I393" s="8" t="s">
        <v>2681</v>
      </c>
      <c r="J393" s="8" t="s">
        <v>2341</v>
      </c>
      <c r="K393" s="8" t="s">
        <v>2342</v>
      </c>
    </row>
    <row r="394" spans="1:11" ht="47.25">
      <c r="A394" s="4" t="s">
        <v>532</v>
      </c>
      <c r="B394" s="4" t="s">
        <v>1028</v>
      </c>
      <c r="C394" s="8" t="s">
        <v>78</v>
      </c>
      <c r="D394" s="8" t="s">
        <v>78</v>
      </c>
      <c r="E394" s="8" t="s">
        <v>2480</v>
      </c>
      <c r="F394" s="8" t="s">
        <v>78</v>
      </c>
      <c r="G394" s="8" t="s">
        <v>63</v>
      </c>
      <c r="H394" s="8" t="s">
        <v>2682</v>
      </c>
      <c r="I394" s="8" t="s">
        <v>2683</v>
      </c>
      <c r="J394" s="8" t="s">
        <v>2612</v>
      </c>
      <c r="K394" s="8" t="s">
        <v>2342</v>
      </c>
    </row>
    <row r="395" spans="1:11" ht="47.25">
      <c r="A395" s="4" t="s">
        <v>532</v>
      </c>
      <c r="B395" s="4" t="s">
        <v>1030</v>
      </c>
      <c r="C395" s="8" t="s">
        <v>78</v>
      </c>
      <c r="D395" s="8" t="s">
        <v>78</v>
      </c>
      <c r="E395" s="8" t="s">
        <v>2480</v>
      </c>
      <c r="F395" s="8" t="s">
        <v>78</v>
      </c>
      <c r="G395" s="8" t="s">
        <v>63</v>
      </c>
      <c r="H395" s="8" t="s">
        <v>2682</v>
      </c>
      <c r="I395" s="8" t="s">
        <v>2683</v>
      </c>
      <c r="J395" s="8" t="s">
        <v>2612</v>
      </c>
      <c r="K395" s="8" t="s">
        <v>2342</v>
      </c>
    </row>
    <row r="396" spans="1:11" ht="47.25">
      <c r="A396" s="4" t="s">
        <v>532</v>
      </c>
      <c r="B396" s="4" t="s">
        <v>1032</v>
      </c>
      <c r="C396" s="8" t="s">
        <v>78</v>
      </c>
      <c r="D396" s="8" t="s">
        <v>78</v>
      </c>
      <c r="E396" s="8" t="s">
        <v>2480</v>
      </c>
      <c r="F396" s="8" t="s">
        <v>78</v>
      </c>
      <c r="G396" s="8" t="s">
        <v>63</v>
      </c>
      <c r="H396" s="8" t="s">
        <v>2682</v>
      </c>
      <c r="I396" s="8" t="s">
        <v>2684</v>
      </c>
      <c r="J396" s="8" t="s">
        <v>2612</v>
      </c>
      <c r="K396" s="8" t="s">
        <v>2342</v>
      </c>
    </row>
    <row r="397" spans="1:11" ht="47.25">
      <c r="A397" s="4" t="s">
        <v>532</v>
      </c>
      <c r="B397" s="4" t="s">
        <v>1034</v>
      </c>
      <c r="C397" s="8" t="s">
        <v>78</v>
      </c>
      <c r="D397" s="8" t="s">
        <v>78</v>
      </c>
      <c r="E397" s="8" t="s">
        <v>2480</v>
      </c>
      <c r="F397" s="8" t="s">
        <v>78</v>
      </c>
      <c r="G397" s="8" t="s">
        <v>63</v>
      </c>
      <c r="H397" s="8" t="s">
        <v>2682</v>
      </c>
      <c r="I397" s="8" t="s">
        <v>2684</v>
      </c>
      <c r="J397" s="8" t="s">
        <v>2612</v>
      </c>
      <c r="K397" s="8" t="s">
        <v>2342</v>
      </c>
    </row>
    <row r="398" spans="1:11" ht="47.25">
      <c r="A398" s="4" t="s">
        <v>532</v>
      </c>
      <c r="B398" s="4" t="s">
        <v>1038</v>
      </c>
      <c r="C398" s="8" t="s">
        <v>78</v>
      </c>
      <c r="D398" s="8" t="s">
        <v>78</v>
      </c>
      <c r="E398" s="8" t="s">
        <v>2480</v>
      </c>
      <c r="F398" s="8" t="s">
        <v>78</v>
      </c>
      <c r="G398" s="8" t="s">
        <v>63</v>
      </c>
      <c r="H398" s="8" t="s">
        <v>2682</v>
      </c>
      <c r="I398" s="8" t="s">
        <v>2684</v>
      </c>
      <c r="J398" s="8" t="s">
        <v>2612</v>
      </c>
      <c r="K398" s="8" t="s">
        <v>2342</v>
      </c>
    </row>
    <row r="399" spans="1:11" ht="47.25">
      <c r="A399" s="4" t="s">
        <v>532</v>
      </c>
      <c r="B399" s="4" t="s">
        <v>1041</v>
      </c>
      <c r="C399" s="8" t="s">
        <v>78</v>
      </c>
      <c r="D399" s="8" t="s">
        <v>78</v>
      </c>
      <c r="E399" s="8" t="s">
        <v>2480</v>
      </c>
      <c r="F399" s="8" t="s">
        <v>78</v>
      </c>
      <c r="G399" s="8" t="s">
        <v>63</v>
      </c>
      <c r="H399" s="8" t="s">
        <v>2682</v>
      </c>
      <c r="I399" s="8" t="s">
        <v>2684</v>
      </c>
      <c r="J399" s="8" t="s">
        <v>2612</v>
      </c>
      <c r="K399" s="8" t="s">
        <v>2342</v>
      </c>
    </row>
    <row r="400" spans="1:11" ht="47.25">
      <c r="A400" s="4" t="s">
        <v>532</v>
      </c>
      <c r="B400" s="4" t="s">
        <v>32</v>
      </c>
      <c r="C400" s="8" t="s">
        <v>78</v>
      </c>
      <c r="D400" s="8" t="s">
        <v>78</v>
      </c>
      <c r="E400" s="8" t="s">
        <v>2480</v>
      </c>
      <c r="F400" s="8" t="s">
        <v>78</v>
      </c>
      <c r="G400" s="8" t="s">
        <v>63</v>
      </c>
      <c r="H400" s="8" t="s">
        <v>2682</v>
      </c>
      <c r="I400" s="8" t="s">
        <v>2684</v>
      </c>
      <c r="J400" s="8" t="s">
        <v>2612</v>
      </c>
      <c r="K400" s="8" t="s">
        <v>2342</v>
      </c>
    </row>
    <row r="401" spans="1:11" ht="47.25">
      <c r="A401" s="4" t="s">
        <v>532</v>
      </c>
      <c r="B401" s="4" t="s">
        <v>1090</v>
      </c>
      <c r="C401" s="8" t="s">
        <v>78</v>
      </c>
      <c r="D401" s="8" t="s">
        <v>78</v>
      </c>
      <c r="E401" s="8" t="s">
        <v>2480</v>
      </c>
      <c r="F401" s="8" t="s">
        <v>78</v>
      </c>
      <c r="G401" s="8" t="s">
        <v>63</v>
      </c>
      <c r="H401" s="8" t="s">
        <v>2682</v>
      </c>
      <c r="I401" s="8" t="s">
        <v>1772</v>
      </c>
      <c r="J401" s="8" t="s">
        <v>2612</v>
      </c>
      <c r="K401" s="8" t="s">
        <v>2342</v>
      </c>
    </row>
    <row r="402" spans="1:11" ht="47.25">
      <c r="A402" s="4" t="s">
        <v>532</v>
      </c>
      <c r="B402" s="4" t="s">
        <v>1091</v>
      </c>
      <c r="C402" s="8" t="s">
        <v>78</v>
      </c>
      <c r="D402" s="8" t="s">
        <v>78</v>
      </c>
      <c r="E402" s="8" t="s">
        <v>2480</v>
      </c>
      <c r="F402" s="8" t="s">
        <v>78</v>
      </c>
      <c r="G402" s="8" t="s">
        <v>63</v>
      </c>
      <c r="H402" s="8" t="s">
        <v>2682</v>
      </c>
      <c r="I402" s="8" t="s">
        <v>2684</v>
      </c>
      <c r="J402" s="8" t="s">
        <v>2612</v>
      </c>
      <c r="K402" s="8" t="s">
        <v>2342</v>
      </c>
    </row>
    <row r="403" spans="1:11" ht="47.25">
      <c r="A403" s="4" t="s">
        <v>532</v>
      </c>
      <c r="B403" s="4" t="s">
        <v>35</v>
      </c>
      <c r="C403" s="8" t="s">
        <v>78</v>
      </c>
      <c r="D403" s="8" t="s">
        <v>78</v>
      </c>
      <c r="E403" s="8" t="s">
        <v>2480</v>
      </c>
      <c r="F403" s="8" t="s">
        <v>78</v>
      </c>
      <c r="G403" s="8" t="s">
        <v>63</v>
      </c>
      <c r="H403" s="8" t="s">
        <v>2682</v>
      </c>
      <c r="I403" s="8" t="s">
        <v>2684</v>
      </c>
      <c r="J403" s="8" t="s">
        <v>2612</v>
      </c>
      <c r="K403" s="8" t="s">
        <v>2342</v>
      </c>
    </row>
    <row r="404" spans="1:11" ht="47.25">
      <c r="A404" s="4" t="s">
        <v>541</v>
      </c>
      <c r="B404" s="4" t="s">
        <v>1028</v>
      </c>
      <c r="C404" s="8" t="s">
        <v>56</v>
      </c>
      <c r="D404" s="8" t="s">
        <v>56</v>
      </c>
      <c r="E404" s="8" t="s">
        <v>48</v>
      </c>
      <c r="F404" s="8" t="s">
        <v>56</v>
      </c>
      <c r="G404" s="8" t="s">
        <v>63</v>
      </c>
      <c r="H404" s="8" t="s">
        <v>2572</v>
      </c>
      <c r="I404" s="8" t="s">
        <v>2685</v>
      </c>
      <c r="J404" s="8" t="s">
        <v>2341</v>
      </c>
      <c r="K404" s="8" t="s">
        <v>2342</v>
      </c>
    </row>
    <row r="405" spans="1:11" ht="47.25">
      <c r="A405" s="4" t="s">
        <v>541</v>
      </c>
      <c r="B405" s="4" t="s">
        <v>1030</v>
      </c>
      <c r="C405" s="8" t="s">
        <v>57</v>
      </c>
      <c r="D405" s="8" t="s">
        <v>57</v>
      </c>
      <c r="E405" s="8" t="s">
        <v>48</v>
      </c>
      <c r="F405" s="8" t="s">
        <v>57</v>
      </c>
      <c r="G405" s="8" t="s">
        <v>63</v>
      </c>
      <c r="H405" s="8" t="s">
        <v>2343</v>
      </c>
      <c r="I405" s="8" t="s">
        <v>2686</v>
      </c>
      <c r="J405" s="8" t="s">
        <v>2341</v>
      </c>
      <c r="K405" s="8" t="s">
        <v>2342</v>
      </c>
    </row>
    <row r="406" spans="1:11" ht="47.25">
      <c r="A406" s="4" t="s">
        <v>541</v>
      </c>
      <c r="B406" s="4" t="s">
        <v>1032</v>
      </c>
      <c r="C406" s="8" t="s">
        <v>43</v>
      </c>
      <c r="D406" s="8" t="s">
        <v>43</v>
      </c>
      <c r="E406" s="8" t="s">
        <v>48</v>
      </c>
      <c r="F406" s="8" t="s">
        <v>43</v>
      </c>
      <c r="G406" s="8" t="s">
        <v>63</v>
      </c>
      <c r="H406" s="8" t="s">
        <v>2549</v>
      </c>
      <c r="I406" s="8" t="s">
        <v>2687</v>
      </c>
      <c r="J406" s="8" t="s">
        <v>2341</v>
      </c>
      <c r="K406" s="8" t="s">
        <v>2342</v>
      </c>
    </row>
    <row r="407" spans="1:11" ht="47.25">
      <c r="A407" s="4" t="s">
        <v>541</v>
      </c>
      <c r="B407" s="4" t="s">
        <v>1034</v>
      </c>
      <c r="C407" s="8" t="s">
        <v>59</v>
      </c>
      <c r="D407" s="8" t="s">
        <v>59</v>
      </c>
      <c r="E407" s="8" t="s">
        <v>48</v>
      </c>
      <c r="F407" s="8" t="s">
        <v>59</v>
      </c>
      <c r="G407" s="8" t="s">
        <v>63</v>
      </c>
      <c r="H407" s="8" t="s">
        <v>2364</v>
      </c>
      <c r="I407" s="8" t="s">
        <v>2688</v>
      </c>
      <c r="J407" s="8" t="s">
        <v>2341</v>
      </c>
      <c r="K407" s="8" t="s">
        <v>2342</v>
      </c>
    </row>
    <row r="408" spans="1:11" ht="47.25">
      <c r="A408" s="4" t="s">
        <v>541</v>
      </c>
      <c r="B408" s="4" t="s">
        <v>1038</v>
      </c>
      <c r="C408" s="8" t="s">
        <v>98</v>
      </c>
      <c r="D408" s="8" t="s">
        <v>98</v>
      </c>
      <c r="E408" s="8" t="s">
        <v>48</v>
      </c>
      <c r="F408" s="8" t="s">
        <v>98</v>
      </c>
      <c r="G408" s="8" t="s">
        <v>63</v>
      </c>
      <c r="H408" s="8" t="s">
        <v>2366</v>
      </c>
      <c r="I408" s="8" t="s">
        <v>2689</v>
      </c>
      <c r="J408" s="8" t="s">
        <v>2341</v>
      </c>
      <c r="K408" s="8" t="s">
        <v>2342</v>
      </c>
    </row>
    <row r="409" spans="1:11" ht="47.25">
      <c r="A409" s="4" t="s">
        <v>541</v>
      </c>
      <c r="B409" s="4" t="s">
        <v>1041</v>
      </c>
      <c r="C409" s="8" t="s">
        <v>49</v>
      </c>
      <c r="D409" s="8" t="s">
        <v>49</v>
      </c>
      <c r="E409" s="8" t="s">
        <v>48</v>
      </c>
      <c r="F409" s="8" t="s">
        <v>49</v>
      </c>
      <c r="G409" s="8" t="s">
        <v>63</v>
      </c>
      <c r="H409" s="8" t="s">
        <v>2351</v>
      </c>
      <c r="I409" s="8" t="s">
        <v>2689</v>
      </c>
      <c r="J409" s="8" t="s">
        <v>2341</v>
      </c>
      <c r="K409" s="8" t="s">
        <v>2342</v>
      </c>
    </row>
    <row r="410" spans="1:11" ht="126">
      <c r="A410" s="4" t="s">
        <v>541</v>
      </c>
      <c r="B410" s="4" t="s">
        <v>32</v>
      </c>
      <c r="C410" s="8" t="s">
        <v>99</v>
      </c>
      <c r="D410" s="8" t="s">
        <v>99</v>
      </c>
      <c r="E410" s="8" t="s">
        <v>48</v>
      </c>
      <c r="F410" s="8" t="s">
        <v>99</v>
      </c>
      <c r="G410" s="8" t="s">
        <v>63</v>
      </c>
      <c r="H410" s="8" t="s">
        <v>2690</v>
      </c>
      <c r="I410" s="8" t="s">
        <v>2689</v>
      </c>
      <c r="J410" s="8" t="s">
        <v>2341</v>
      </c>
      <c r="K410" s="8" t="s">
        <v>2342</v>
      </c>
    </row>
    <row r="411" spans="1:11" ht="47.25">
      <c r="A411" s="4" t="s">
        <v>541</v>
      </c>
      <c r="B411" s="4" t="s">
        <v>1090</v>
      </c>
      <c r="C411" s="8" t="s">
        <v>2353</v>
      </c>
      <c r="D411" s="8" t="s">
        <v>2353</v>
      </c>
      <c r="E411" s="8" t="s">
        <v>48</v>
      </c>
      <c r="F411" s="8" t="s">
        <v>2353</v>
      </c>
      <c r="G411" s="8" t="s">
        <v>63</v>
      </c>
      <c r="H411" s="8" t="s">
        <v>2354</v>
      </c>
      <c r="I411" s="8" t="s">
        <v>1617</v>
      </c>
      <c r="J411" s="8" t="s">
        <v>2341</v>
      </c>
      <c r="K411" s="8" t="s">
        <v>2342</v>
      </c>
    </row>
    <row r="412" spans="1:11" ht="141.75">
      <c r="A412" s="4" t="s">
        <v>541</v>
      </c>
      <c r="B412" s="4" t="s">
        <v>1091</v>
      </c>
      <c r="C412" s="8" t="s">
        <v>2355</v>
      </c>
      <c r="D412" s="8" t="s">
        <v>2355</v>
      </c>
      <c r="E412" s="8" t="s">
        <v>48</v>
      </c>
      <c r="F412" s="8" t="s">
        <v>2355</v>
      </c>
      <c r="G412" s="8" t="s">
        <v>63</v>
      </c>
      <c r="H412" s="8" t="s">
        <v>2691</v>
      </c>
      <c r="I412" s="8" t="s">
        <v>2692</v>
      </c>
      <c r="J412" s="8" t="s">
        <v>2341</v>
      </c>
      <c r="K412" s="8" t="s">
        <v>2342</v>
      </c>
    </row>
    <row r="413" spans="1:11" ht="47.25">
      <c r="A413" s="4" t="s">
        <v>541</v>
      </c>
      <c r="B413" s="4" t="s">
        <v>35</v>
      </c>
      <c r="C413" s="8" t="s">
        <v>50</v>
      </c>
      <c r="D413" s="8" t="s">
        <v>50</v>
      </c>
      <c r="E413" s="8" t="s">
        <v>48</v>
      </c>
      <c r="F413" s="8" t="s">
        <v>50</v>
      </c>
      <c r="G413" s="8" t="s">
        <v>63</v>
      </c>
      <c r="H413" s="8" t="s">
        <v>2358</v>
      </c>
      <c r="I413" s="8" t="s">
        <v>2688</v>
      </c>
      <c r="J413" s="8" t="s">
        <v>2341</v>
      </c>
      <c r="K413" s="8" t="s">
        <v>2342</v>
      </c>
    </row>
    <row r="414" spans="1:11" ht="47.25">
      <c r="A414" s="4" t="s">
        <v>550</v>
      </c>
      <c r="B414" s="4" t="s">
        <v>1028</v>
      </c>
      <c r="C414" s="8" t="s">
        <v>71</v>
      </c>
      <c r="D414" s="8" t="s">
        <v>71</v>
      </c>
      <c r="E414" s="8" t="s">
        <v>48</v>
      </c>
      <c r="F414" s="8" t="s">
        <v>71</v>
      </c>
      <c r="G414" s="8" t="s">
        <v>63</v>
      </c>
      <c r="H414" s="8" t="s">
        <v>2693</v>
      </c>
      <c r="I414" s="8" t="s">
        <v>2694</v>
      </c>
      <c r="J414" s="8" t="s">
        <v>2341</v>
      </c>
      <c r="K414" s="8" t="s">
        <v>2342</v>
      </c>
    </row>
    <row r="415" spans="1:11" ht="47.25">
      <c r="A415" s="4" t="s">
        <v>550</v>
      </c>
      <c r="B415" s="4" t="s">
        <v>1030</v>
      </c>
      <c r="C415" s="8" t="s">
        <v>72</v>
      </c>
      <c r="D415" s="8" t="s">
        <v>72</v>
      </c>
      <c r="E415" s="8" t="s">
        <v>48</v>
      </c>
      <c r="F415" s="8" t="s">
        <v>72</v>
      </c>
      <c r="G415" s="8" t="s">
        <v>63</v>
      </c>
      <c r="H415" s="8" t="s">
        <v>2695</v>
      </c>
      <c r="I415" s="8" t="s">
        <v>2631</v>
      </c>
      <c r="J415" s="8" t="s">
        <v>2341</v>
      </c>
      <c r="K415" s="8" t="s">
        <v>2342</v>
      </c>
    </row>
    <row r="416" spans="1:11" ht="47.25">
      <c r="A416" s="4" t="s">
        <v>550</v>
      </c>
      <c r="B416" s="4" t="s">
        <v>1032</v>
      </c>
      <c r="C416" s="8" t="s">
        <v>140</v>
      </c>
      <c r="D416" s="8" t="s">
        <v>140</v>
      </c>
      <c r="E416" s="8" t="s">
        <v>48</v>
      </c>
      <c r="F416" s="8" t="s">
        <v>140</v>
      </c>
      <c r="G416" s="8" t="s">
        <v>63</v>
      </c>
      <c r="H416" s="8" t="s">
        <v>2696</v>
      </c>
      <c r="I416" s="8" t="s">
        <v>1321</v>
      </c>
      <c r="J416" s="8" t="s">
        <v>2341</v>
      </c>
      <c r="K416" s="8" t="s">
        <v>2342</v>
      </c>
    </row>
    <row r="417" spans="1:11" ht="47.25">
      <c r="A417" s="4" t="s">
        <v>550</v>
      </c>
      <c r="B417" s="4" t="s">
        <v>1034</v>
      </c>
      <c r="C417" s="8" t="s">
        <v>44</v>
      </c>
      <c r="D417" s="8" t="s">
        <v>44</v>
      </c>
      <c r="E417" s="8" t="s">
        <v>48</v>
      </c>
      <c r="F417" s="8" t="s">
        <v>44</v>
      </c>
      <c r="G417" s="8" t="s">
        <v>63</v>
      </c>
      <c r="H417" s="8" t="s">
        <v>2550</v>
      </c>
      <c r="I417" s="8" t="s">
        <v>2697</v>
      </c>
      <c r="J417" s="8" t="s">
        <v>2341</v>
      </c>
      <c r="K417" s="8" t="s">
        <v>2342</v>
      </c>
    </row>
    <row r="418" spans="1:11" ht="47.25">
      <c r="A418" s="4" t="s">
        <v>550</v>
      </c>
      <c r="B418" s="4" t="s">
        <v>1038</v>
      </c>
      <c r="C418" s="8" t="s">
        <v>114</v>
      </c>
      <c r="D418" s="8" t="s">
        <v>114</v>
      </c>
      <c r="E418" s="8" t="s">
        <v>48</v>
      </c>
      <c r="F418" s="8" t="s">
        <v>114</v>
      </c>
      <c r="G418" s="8" t="s">
        <v>63</v>
      </c>
      <c r="H418" s="8" t="s">
        <v>2698</v>
      </c>
      <c r="I418" s="8" t="s">
        <v>2699</v>
      </c>
      <c r="J418" s="8" t="s">
        <v>2341</v>
      </c>
      <c r="K418" s="8" t="s">
        <v>2342</v>
      </c>
    </row>
    <row r="419" spans="1:11" ht="47.25">
      <c r="A419" s="4" t="s">
        <v>550</v>
      </c>
      <c r="B419" s="4" t="s">
        <v>1041</v>
      </c>
      <c r="C419" s="8" t="s">
        <v>64</v>
      </c>
      <c r="D419" s="8" t="s">
        <v>64</v>
      </c>
      <c r="E419" s="8" t="s">
        <v>48</v>
      </c>
      <c r="F419" s="8" t="s">
        <v>64</v>
      </c>
      <c r="G419" s="8" t="s">
        <v>63</v>
      </c>
      <c r="H419" s="8" t="s">
        <v>2700</v>
      </c>
      <c r="I419" s="8" t="s">
        <v>2699</v>
      </c>
      <c r="J419" s="8" t="s">
        <v>2341</v>
      </c>
      <c r="K419" s="8" t="s">
        <v>2342</v>
      </c>
    </row>
    <row r="420" spans="1:11" ht="47.25">
      <c r="A420" s="4" t="s">
        <v>550</v>
      </c>
      <c r="B420" s="4" t="s">
        <v>32</v>
      </c>
      <c r="C420" s="8" t="s">
        <v>68</v>
      </c>
      <c r="D420" s="8" t="s">
        <v>68</v>
      </c>
      <c r="E420" s="8" t="s">
        <v>48</v>
      </c>
      <c r="F420" s="8" t="s">
        <v>68</v>
      </c>
      <c r="G420" s="8" t="s">
        <v>63</v>
      </c>
      <c r="H420" s="8" t="s">
        <v>2701</v>
      </c>
      <c r="I420" s="8" t="s">
        <v>2699</v>
      </c>
      <c r="J420" s="8" t="s">
        <v>2341</v>
      </c>
      <c r="K420" s="8" t="s">
        <v>2342</v>
      </c>
    </row>
    <row r="421" spans="1:11" ht="47.25">
      <c r="A421" s="4" t="s">
        <v>550</v>
      </c>
      <c r="B421" s="4" t="s">
        <v>1090</v>
      </c>
      <c r="C421" s="8" t="s">
        <v>2353</v>
      </c>
      <c r="D421" s="8" t="s">
        <v>2353</v>
      </c>
      <c r="E421" s="8" t="s">
        <v>48</v>
      </c>
      <c r="F421" s="8" t="s">
        <v>2353</v>
      </c>
      <c r="G421" s="8" t="s">
        <v>63</v>
      </c>
      <c r="H421" s="8" t="s">
        <v>2354</v>
      </c>
      <c r="I421" s="8" t="s">
        <v>1617</v>
      </c>
      <c r="J421" s="8" t="s">
        <v>2341</v>
      </c>
      <c r="K421" s="8" t="s">
        <v>2342</v>
      </c>
    </row>
    <row r="422" spans="1:11" ht="47.25">
      <c r="A422" s="4" t="s">
        <v>550</v>
      </c>
      <c r="B422" s="4" t="s">
        <v>1091</v>
      </c>
      <c r="C422" s="8" t="s">
        <v>68</v>
      </c>
      <c r="D422" s="8" t="s">
        <v>68</v>
      </c>
      <c r="E422" s="8" t="s">
        <v>48</v>
      </c>
      <c r="F422" s="8" t="s">
        <v>68</v>
      </c>
      <c r="G422" s="8" t="s">
        <v>63</v>
      </c>
      <c r="H422" s="8" t="s">
        <v>2702</v>
      </c>
      <c r="I422" s="8" t="s">
        <v>2703</v>
      </c>
      <c r="J422" s="8" t="s">
        <v>2341</v>
      </c>
      <c r="K422" s="8" t="s">
        <v>2342</v>
      </c>
    </row>
    <row r="423" spans="1:11" ht="47.25">
      <c r="A423" s="4" t="s">
        <v>550</v>
      </c>
      <c r="B423" s="4" t="s">
        <v>35</v>
      </c>
      <c r="C423" s="8" t="s">
        <v>68</v>
      </c>
      <c r="D423" s="8" t="s">
        <v>68</v>
      </c>
      <c r="E423" s="8" t="s">
        <v>48</v>
      </c>
      <c r="F423" s="8" t="s">
        <v>68</v>
      </c>
      <c r="G423" s="8" t="s">
        <v>63</v>
      </c>
      <c r="H423" s="8" t="s">
        <v>2704</v>
      </c>
      <c r="I423" s="8" t="s">
        <v>2705</v>
      </c>
      <c r="J423" s="8" t="s">
        <v>2341</v>
      </c>
      <c r="K423" s="8" t="s">
        <v>2342</v>
      </c>
    </row>
    <row r="424" spans="1:11" ht="47.25">
      <c r="A424" s="4" t="s">
        <v>560</v>
      </c>
      <c r="B424" s="4" t="s">
        <v>1028</v>
      </c>
      <c r="C424" s="8" t="s">
        <v>71</v>
      </c>
      <c r="D424" s="8" t="s">
        <v>71</v>
      </c>
      <c r="E424" s="8" t="s">
        <v>48</v>
      </c>
      <c r="F424" s="8" t="s">
        <v>71</v>
      </c>
      <c r="G424" s="8" t="s">
        <v>63</v>
      </c>
      <c r="H424" s="8" t="s">
        <v>2693</v>
      </c>
      <c r="I424" s="8" t="s">
        <v>2706</v>
      </c>
      <c r="J424" s="8" t="s">
        <v>2341</v>
      </c>
      <c r="K424" s="8" t="s">
        <v>2342</v>
      </c>
    </row>
    <row r="425" spans="1:11" ht="47.25">
      <c r="A425" s="4" t="s">
        <v>560</v>
      </c>
      <c r="B425" s="4" t="s">
        <v>1030</v>
      </c>
      <c r="C425" s="8" t="s">
        <v>72</v>
      </c>
      <c r="D425" s="8" t="s">
        <v>72</v>
      </c>
      <c r="E425" s="8" t="s">
        <v>48</v>
      </c>
      <c r="F425" s="8" t="s">
        <v>72</v>
      </c>
      <c r="G425" s="8" t="s">
        <v>63</v>
      </c>
      <c r="H425" s="8" t="s">
        <v>2695</v>
      </c>
      <c r="I425" s="8" t="s">
        <v>2707</v>
      </c>
      <c r="J425" s="8" t="s">
        <v>2341</v>
      </c>
      <c r="K425" s="8" t="s">
        <v>2342</v>
      </c>
    </row>
    <row r="426" spans="1:11" ht="47.25">
      <c r="A426" s="4" t="s">
        <v>560</v>
      </c>
      <c r="B426" s="4" t="s">
        <v>1032</v>
      </c>
      <c r="C426" s="8" t="s">
        <v>140</v>
      </c>
      <c r="D426" s="8" t="s">
        <v>140</v>
      </c>
      <c r="E426" s="8" t="s">
        <v>48</v>
      </c>
      <c r="F426" s="8" t="s">
        <v>140</v>
      </c>
      <c r="G426" s="8" t="s">
        <v>63</v>
      </c>
      <c r="H426" s="8" t="s">
        <v>2696</v>
      </c>
      <c r="I426" s="8" t="s">
        <v>2706</v>
      </c>
      <c r="J426" s="8" t="s">
        <v>2341</v>
      </c>
      <c r="K426" s="8" t="s">
        <v>2342</v>
      </c>
    </row>
    <row r="427" spans="1:11" ht="47.25">
      <c r="A427" s="4" t="s">
        <v>560</v>
      </c>
      <c r="B427" s="4" t="s">
        <v>1034</v>
      </c>
      <c r="C427" s="8" t="s">
        <v>44</v>
      </c>
      <c r="D427" s="8" t="s">
        <v>44</v>
      </c>
      <c r="E427" s="8" t="s">
        <v>48</v>
      </c>
      <c r="F427" s="8" t="s">
        <v>44</v>
      </c>
      <c r="G427" s="8" t="s">
        <v>63</v>
      </c>
      <c r="H427" s="8" t="s">
        <v>2550</v>
      </c>
      <c r="I427" s="8" t="s">
        <v>2707</v>
      </c>
      <c r="J427" s="8" t="s">
        <v>2341</v>
      </c>
      <c r="K427" s="8" t="s">
        <v>2342</v>
      </c>
    </row>
    <row r="428" spans="1:11" ht="47.25">
      <c r="A428" s="4" t="s">
        <v>560</v>
      </c>
      <c r="B428" s="4" t="s">
        <v>1038</v>
      </c>
      <c r="C428" s="8" t="s">
        <v>121</v>
      </c>
      <c r="D428" s="8" t="s">
        <v>121</v>
      </c>
      <c r="E428" s="8" t="s">
        <v>48</v>
      </c>
      <c r="F428" s="8" t="s">
        <v>121</v>
      </c>
      <c r="G428" s="8" t="s">
        <v>63</v>
      </c>
      <c r="H428" s="8" t="s">
        <v>2708</v>
      </c>
      <c r="I428" s="8" t="s">
        <v>2709</v>
      </c>
      <c r="J428" s="8" t="s">
        <v>2341</v>
      </c>
      <c r="K428" s="8" t="s">
        <v>2342</v>
      </c>
    </row>
    <row r="429" spans="1:11" ht="47.25">
      <c r="A429" s="4" t="s">
        <v>560</v>
      </c>
      <c r="B429" s="4" t="s">
        <v>1041</v>
      </c>
      <c r="C429" s="8" t="s">
        <v>64</v>
      </c>
      <c r="D429" s="8" t="s">
        <v>64</v>
      </c>
      <c r="E429" s="8" t="s">
        <v>48</v>
      </c>
      <c r="F429" s="8" t="s">
        <v>64</v>
      </c>
      <c r="G429" s="8" t="s">
        <v>63</v>
      </c>
      <c r="H429" s="8" t="s">
        <v>2700</v>
      </c>
      <c r="I429" s="8" t="s">
        <v>2709</v>
      </c>
      <c r="J429" s="8" t="s">
        <v>2341</v>
      </c>
      <c r="K429" s="8" t="s">
        <v>2342</v>
      </c>
    </row>
    <row r="430" spans="1:11" ht="47.25">
      <c r="A430" s="4" t="s">
        <v>560</v>
      </c>
      <c r="B430" s="4" t="s">
        <v>32</v>
      </c>
      <c r="C430" s="8" t="s">
        <v>68</v>
      </c>
      <c r="D430" s="8" t="s">
        <v>68</v>
      </c>
      <c r="E430" s="8" t="s">
        <v>48</v>
      </c>
      <c r="F430" s="8" t="s">
        <v>68</v>
      </c>
      <c r="G430" s="8" t="s">
        <v>63</v>
      </c>
      <c r="H430" s="8" t="s">
        <v>2701</v>
      </c>
      <c r="I430" s="8" t="s">
        <v>2709</v>
      </c>
      <c r="J430" s="8" t="s">
        <v>2341</v>
      </c>
      <c r="K430" s="8" t="s">
        <v>2342</v>
      </c>
    </row>
    <row r="431" spans="1:11" ht="47.25">
      <c r="A431" s="4" t="s">
        <v>560</v>
      </c>
      <c r="B431" s="4" t="s">
        <v>1090</v>
      </c>
      <c r="C431" s="8" t="s">
        <v>2353</v>
      </c>
      <c r="D431" s="8" t="s">
        <v>2353</v>
      </c>
      <c r="E431" s="8" t="s">
        <v>48</v>
      </c>
      <c r="F431" s="8" t="s">
        <v>2353</v>
      </c>
      <c r="G431" s="8" t="s">
        <v>63</v>
      </c>
      <c r="H431" s="8" t="s">
        <v>2354</v>
      </c>
      <c r="I431" s="8" t="s">
        <v>1617</v>
      </c>
      <c r="J431" s="8" t="s">
        <v>2341</v>
      </c>
      <c r="K431" s="8" t="s">
        <v>2342</v>
      </c>
    </row>
    <row r="432" spans="1:11" ht="47.25">
      <c r="A432" s="4" t="s">
        <v>560</v>
      </c>
      <c r="B432" s="4" t="s">
        <v>1091</v>
      </c>
      <c r="C432" s="8" t="s">
        <v>68</v>
      </c>
      <c r="D432" s="8" t="s">
        <v>68</v>
      </c>
      <c r="E432" s="8" t="s">
        <v>48</v>
      </c>
      <c r="F432" s="8" t="s">
        <v>68</v>
      </c>
      <c r="G432" s="8" t="s">
        <v>63</v>
      </c>
      <c r="H432" s="8" t="s">
        <v>2702</v>
      </c>
      <c r="I432" s="8" t="s">
        <v>2710</v>
      </c>
      <c r="J432" s="8" t="s">
        <v>2341</v>
      </c>
      <c r="K432" s="8" t="s">
        <v>2342</v>
      </c>
    </row>
    <row r="433" spans="1:11" ht="47.25">
      <c r="A433" s="4" t="s">
        <v>560</v>
      </c>
      <c r="B433" s="4" t="s">
        <v>35</v>
      </c>
      <c r="C433" s="8" t="s">
        <v>68</v>
      </c>
      <c r="D433" s="8" t="s">
        <v>68</v>
      </c>
      <c r="E433" s="8" t="s">
        <v>48</v>
      </c>
      <c r="F433" s="8" t="s">
        <v>68</v>
      </c>
      <c r="G433" s="8" t="s">
        <v>63</v>
      </c>
      <c r="H433" s="8" t="s">
        <v>2704</v>
      </c>
      <c r="I433" s="8" t="s">
        <v>2711</v>
      </c>
      <c r="J433" s="8" t="s">
        <v>2341</v>
      </c>
      <c r="K433" s="8" t="s">
        <v>2342</v>
      </c>
    </row>
    <row r="434" spans="1:11" ht="47.25">
      <c r="A434" s="4" t="s">
        <v>569</v>
      </c>
      <c r="B434" s="4" t="s">
        <v>1028</v>
      </c>
      <c r="C434" s="8" t="s">
        <v>71</v>
      </c>
      <c r="D434" s="8" t="s">
        <v>71</v>
      </c>
      <c r="E434" s="8" t="s">
        <v>48</v>
      </c>
      <c r="F434" s="8" t="s">
        <v>71</v>
      </c>
      <c r="G434" s="8" t="s">
        <v>63</v>
      </c>
      <c r="H434" s="8" t="s">
        <v>2693</v>
      </c>
      <c r="I434" s="8" t="s">
        <v>2712</v>
      </c>
      <c r="J434" s="8" t="s">
        <v>2341</v>
      </c>
      <c r="K434" s="8" t="s">
        <v>2342</v>
      </c>
    </row>
    <row r="435" spans="1:11" ht="47.25">
      <c r="A435" s="4" t="s">
        <v>569</v>
      </c>
      <c r="B435" s="4" t="s">
        <v>1030</v>
      </c>
      <c r="C435" s="8" t="s">
        <v>72</v>
      </c>
      <c r="D435" s="8" t="s">
        <v>72</v>
      </c>
      <c r="E435" s="8" t="s">
        <v>48</v>
      </c>
      <c r="F435" s="8" t="s">
        <v>72</v>
      </c>
      <c r="G435" s="8" t="s">
        <v>63</v>
      </c>
      <c r="H435" s="8" t="s">
        <v>2695</v>
      </c>
      <c r="I435" s="8" t="s">
        <v>2713</v>
      </c>
      <c r="J435" s="8" t="s">
        <v>2341</v>
      </c>
      <c r="K435" s="8" t="s">
        <v>2342</v>
      </c>
    </row>
    <row r="436" spans="1:11" ht="47.25">
      <c r="A436" s="4" t="s">
        <v>569</v>
      </c>
      <c r="B436" s="4" t="s">
        <v>1032</v>
      </c>
      <c r="C436" s="8" t="s">
        <v>130</v>
      </c>
      <c r="D436" s="8" t="s">
        <v>130</v>
      </c>
      <c r="E436" s="8" t="s">
        <v>48</v>
      </c>
      <c r="F436" s="8" t="s">
        <v>130</v>
      </c>
      <c r="G436" s="8" t="s">
        <v>63</v>
      </c>
      <c r="H436" s="8" t="s">
        <v>2714</v>
      </c>
      <c r="I436" s="8" t="s">
        <v>2715</v>
      </c>
      <c r="J436" s="8" t="s">
        <v>2341</v>
      </c>
      <c r="K436" s="8" t="s">
        <v>2342</v>
      </c>
    </row>
    <row r="437" spans="1:11" ht="47.25">
      <c r="A437" s="4" t="s">
        <v>569</v>
      </c>
      <c r="B437" s="4" t="s">
        <v>1034</v>
      </c>
      <c r="C437" s="8" t="s">
        <v>44</v>
      </c>
      <c r="D437" s="8" t="s">
        <v>44</v>
      </c>
      <c r="E437" s="8" t="s">
        <v>48</v>
      </c>
      <c r="F437" s="8" t="s">
        <v>44</v>
      </c>
      <c r="G437" s="8" t="s">
        <v>63</v>
      </c>
      <c r="H437" s="8" t="s">
        <v>2550</v>
      </c>
      <c r="I437" s="8" t="s">
        <v>2716</v>
      </c>
      <c r="J437" s="8" t="s">
        <v>2341</v>
      </c>
      <c r="K437" s="8" t="s">
        <v>2342</v>
      </c>
    </row>
    <row r="438" spans="1:11" ht="47.25">
      <c r="A438" s="4" t="s">
        <v>569</v>
      </c>
      <c r="B438" s="4" t="s">
        <v>1038</v>
      </c>
      <c r="C438" s="8" t="s">
        <v>127</v>
      </c>
      <c r="D438" s="8" t="s">
        <v>127</v>
      </c>
      <c r="E438" s="8" t="s">
        <v>48</v>
      </c>
      <c r="F438" s="8" t="s">
        <v>127</v>
      </c>
      <c r="G438" s="8" t="s">
        <v>63</v>
      </c>
      <c r="H438" s="8" t="s">
        <v>2473</v>
      </c>
      <c r="I438" s="8" t="s">
        <v>2717</v>
      </c>
      <c r="J438" s="8" t="s">
        <v>2341</v>
      </c>
      <c r="K438" s="8" t="s">
        <v>2342</v>
      </c>
    </row>
    <row r="439" spans="1:11" ht="47.25">
      <c r="A439" s="4" t="s">
        <v>569</v>
      </c>
      <c r="B439" s="4" t="s">
        <v>1041</v>
      </c>
      <c r="C439" s="8" t="s">
        <v>49</v>
      </c>
      <c r="D439" s="8" t="s">
        <v>49</v>
      </c>
      <c r="E439" s="8" t="s">
        <v>48</v>
      </c>
      <c r="F439" s="8" t="s">
        <v>49</v>
      </c>
      <c r="G439" s="8" t="s">
        <v>63</v>
      </c>
      <c r="H439" s="8" t="s">
        <v>2351</v>
      </c>
      <c r="I439" s="8" t="s">
        <v>2717</v>
      </c>
      <c r="J439" s="8" t="s">
        <v>2341</v>
      </c>
      <c r="K439" s="8" t="s">
        <v>2342</v>
      </c>
    </row>
    <row r="440" spans="1:11" ht="126">
      <c r="A440" s="4" t="s">
        <v>569</v>
      </c>
      <c r="B440" s="4" t="s">
        <v>32</v>
      </c>
      <c r="C440" s="8" t="s">
        <v>108</v>
      </c>
      <c r="D440" s="8" t="s">
        <v>108</v>
      </c>
      <c r="E440" s="8" t="s">
        <v>48</v>
      </c>
      <c r="F440" s="8" t="s">
        <v>108</v>
      </c>
      <c r="G440" s="8" t="s">
        <v>63</v>
      </c>
      <c r="H440" s="8" t="s">
        <v>2718</v>
      </c>
      <c r="I440" s="8" t="s">
        <v>2717</v>
      </c>
      <c r="J440" s="8" t="s">
        <v>2341</v>
      </c>
      <c r="K440" s="8" t="s">
        <v>2342</v>
      </c>
    </row>
    <row r="441" spans="1:11" ht="47.25">
      <c r="A441" s="4" t="s">
        <v>569</v>
      </c>
      <c r="B441" s="4" t="s">
        <v>1090</v>
      </c>
      <c r="C441" s="8" t="s">
        <v>2353</v>
      </c>
      <c r="D441" s="8" t="s">
        <v>2353</v>
      </c>
      <c r="E441" s="8" t="s">
        <v>48</v>
      </c>
      <c r="F441" s="8" t="s">
        <v>2353</v>
      </c>
      <c r="G441" s="8" t="s">
        <v>63</v>
      </c>
      <c r="H441" s="8" t="s">
        <v>2354</v>
      </c>
      <c r="I441" s="8" t="s">
        <v>1617</v>
      </c>
      <c r="J441" s="8" t="s">
        <v>2341</v>
      </c>
      <c r="K441" s="8" t="s">
        <v>2342</v>
      </c>
    </row>
    <row r="442" spans="1:11" ht="141.75">
      <c r="A442" s="4" t="s">
        <v>569</v>
      </c>
      <c r="B442" s="4" t="s">
        <v>1091</v>
      </c>
      <c r="C442" s="8" t="s">
        <v>2476</v>
      </c>
      <c r="D442" s="8" t="s">
        <v>2476</v>
      </c>
      <c r="E442" s="8" t="s">
        <v>48</v>
      </c>
      <c r="F442" s="8" t="s">
        <v>2476</v>
      </c>
      <c r="G442" s="8" t="s">
        <v>63</v>
      </c>
      <c r="H442" s="8" t="s">
        <v>2719</v>
      </c>
      <c r="I442" s="8" t="s">
        <v>2720</v>
      </c>
      <c r="J442" s="8" t="s">
        <v>2341</v>
      </c>
      <c r="K442" s="8" t="s">
        <v>2342</v>
      </c>
    </row>
    <row r="443" spans="1:11" ht="47.25">
      <c r="A443" s="4" t="s">
        <v>569</v>
      </c>
      <c r="B443" s="4" t="s">
        <v>35</v>
      </c>
      <c r="C443" s="8" t="s">
        <v>50</v>
      </c>
      <c r="D443" s="8" t="s">
        <v>50</v>
      </c>
      <c r="E443" s="8" t="s">
        <v>48</v>
      </c>
      <c r="F443" s="8" t="s">
        <v>50</v>
      </c>
      <c r="G443" s="8" t="s">
        <v>63</v>
      </c>
      <c r="H443" s="8" t="s">
        <v>2358</v>
      </c>
      <c r="I443" s="8" t="s">
        <v>2721</v>
      </c>
      <c r="J443" s="8" t="s">
        <v>2341</v>
      </c>
      <c r="K443" s="8" t="s">
        <v>2342</v>
      </c>
    </row>
    <row r="444" spans="1:11" ht="47.25">
      <c r="A444" s="4" t="s">
        <v>578</v>
      </c>
      <c r="B444" s="4" t="s">
        <v>1028</v>
      </c>
      <c r="C444" s="8" t="s">
        <v>71</v>
      </c>
      <c r="D444" s="8" t="s">
        <v>71</v>
      </c>
      <c r="E444" s="8" t="s">
        <v>48</v>
      </c>
      <c r="F444" s="8" t="s">
        <v>71</v>
      </c>
      <c r="G444" s="8" t="s">
        <v>63</v>
      </c>
      <c r="H444" s="8" t="s">
        <v>2693</v>
      </c>
      <c r="I444" s="8" t="s">
        <v>2722</v>
      </c>
      <c r="J444" s="8" t="s">
        <v>2341</v>
      </c>
      <c r="K444" s="8" t="s">
        <v>2342</v>
      </c>
    </row>
    <row r="445" spans="1:11" ht="47.25">
      <c r="A445" s="4" t="s">
        <v>578</v>
      </c>
      <c r="B445" s="4" t="s">
        <v>1030</v>
      </c>
      <c r="C445" s="8" t="s">
        <v>72</v>
      </c>
      <c r="D445" s="8" t="s">
        <v>72</v>
      </c>
      <c r="E445" s="8" t="s">
        <v>48</v>
      </c>
      <c r="F445" s="8" t="s">
        <v>72</v>
      </c>
      <c r="G445" s="8" t="s">
        <v>63</v>
      </c>
      <c r="H445" s="8" t="s">
        <v>2695</v>
      </c>
      <c r="I445" s="8" t="s">
        <v>2723</v>
      </c>
      <c r="J445" s="8" t="s">
        <v>2341</v>
      </c>
      <c r="K445" s="8" t="s">
        <v>2342</v>
      </c>
    </row>
    <row r="446" spans="1:11" ht="47.25">
      <c r="A446" s="4" t="s">
        <v>578</v>
      </c>
      <c r="B446" s="4" t="s">
        <v>1032</v>
      </c>
      <c r="C446" s="8" t="s">
        <v>111</v>
      </c>
      <c r="D446" s="8" t="s">
        <v>111</v>
      </c>
      <c r="E446" s="8" t="s">
        <v>48</v>
      </c>
      <c r="F446" s="8" t="s">
        <v>111</v>
      </c>
      <c r="G446" s="8" t="s">
        <v>63</v>
      </c>
      <c r="H446" s="8" t="s">
        <v>2724</v>
      </c>
      <c r="I446" s="8" t="s">
        <v>2725</v>
      </c>
      <c r="J446" s="8" t="s">
        <v>2341</v>
      </c>
      <c r="K446" s="8" t="s">
        <v>2342</v>
      </c>
    </row>
    <row r="447" spans="1:11" ht="47.25">
      <c r="A447" s="4" t="s">
        <v>578</v>
      </c>
      <c r="B447" s="4" t="s">
        <v>1034</v>
      </c>
      <c r="C447" s="8" t="s">
        <v>74</v>
      </c>
      <c r="D447" s="8" t="s">
        <v>74</v>
      </c>
      <c r="E447" s="8" t="s">
        <v>48</v>
      </c>
      <c r="F447" s="8" t="s">
        <v>74</v>
      </c>
      <c r="G447" s="8" t="s">
        <v>63</v>
      </c>
      <c r="H447" s="8" t="s">
        <v>2726</v>
      </c>
      <c r="I447" s="8" t="s">
        <v>2727</v>
      </c>
      <c r="J447" s="8" t="s">
        <v>2341</v>
      </c>
      <c r="K447" s="8" t="s">
        <v>2342</v>
      </c>
    </row>
    <row r="448" spans="1:11" ht="47.25">
      <c r="A448" s="4" t="s">
        <v>578</v>
      </c>
      <c r="B448" s="4" t="s">
        <v>1038</v>
      </c>
      <c r="C448" s="8" t="s">
        <v>132</v>
      </c>
      <c r="D448" s="8" t="s">
        <v>132</v>
      </c>
      <c r="E448" s="8" t="s">
        <v>48</v>
      </c>
      <c r="F448" s="8" t="s">
        <v>132</v>
      </c>
      <c r="G448" s="8" t="s">
        <v>63</v>
      </c>
      <c r="H448" s="8" t="s">
        <v>2728</v>
      </c>
      <c r="I448" s="8" t="s">
        <v>2729</v>
      </c>
      <c r="J448" s="8" t="s">
        <v>2341</v>
      </c>
      <c r="K448" s="8" t="s">
        <v>2342</v>
      </c>
    </row>
    <row r="449" spans="1:11" ht="47.25">
      <c r="A449" s="4" t="s">
        <v>578</v>
      </c>
      <c r="B449" s="4" t="s">
        <v>1041</v>
      </c>
      <c r="C449" s="8" t="s">
        <v>49</v>
      </c>
      <c r="D449" s="8" t="s">
        <v>49</v>
      </c>
      <c r="E449" s="8" t="s">
        <v>48</v>
      </c>
      <c r="F449" s="8" t="s">
        <v>49</v>
      </c>
      <c r="G449" s="8" t="s">
        <v>63</v>
      </c>
      <c r="H449" s="8" t="s">
        <v>2351</v>
      </c>
      <c r="I449" s="8" t="s">
        <v>2729</v>
      </c>
      <c r="J449" s="8" t="s">
        <v>2341</v>
      </c>
      <c r="K449" s="8" t="s">
        <v>2342</v>
      </c>
    </row>
    <row r="450" spans="1:11" ht="126">
      <c r="A450" s="4" t="s">
        <v>578</v>
      </c>
      <c r="B450" s="4" t="s">
        <v>32</v>
      </c>
      <c r="C450" s="8" t="s">
        <v>115</v>
      </c>
      <c r="D450" s="8" t="s">
        <v>115</v>
      </c>
      <c r="E450" s="8" t="s">
        <v>48</v>
      </c>
      <c r="F450" s="8" t="s">
        <v>115</v>
      </c>
      <c r="G450" s="8" t="s">
        <v>63</v>
      </c>
      <c r="H450" s="8" t="s">
        <v>2730</v>
      </c>
      <c r="I450" s="8" t="s">
        <v>2729</v>
      </c>
      <c r="J450" s="8" t="s">
        <v>2341</v>
      </c>
      <c r="K450" s="8" t="s">
        <v>2342</v>
      </c>
    </row>
    <row r="451" spans="1:11" ht="47.25">
      <c r="A451" s="4" t="s">
        <v>578</v>
      </c>
      <c r="B451" s="4" t="s">
        <v>1090</v>
      </c>
      <c r="C451" s="8" t="s">
        <v>2353</v>
      </c>
      <c r="D451" s="8" t="s">
        <v>2353</v>
      </c>
      <c r="E451" s="8" t="s">
        <v>48</v>
      </c>
      <c r="F451" s="8" t="s">
        <v>2353</v>
      </c>
      <c r="G451" s="8" t="s">
        <v>63</v>
      </c>
      <c r="H451" s="8" t="s">
        <v>2354</v>
      </c>
      <c r="I451" s="8" t="s">
        <v>1617</v>
      </c>
      <c r="J451" s="8" t="s">
        <v>2341</v>
      </c>
      <c r="K451" s="8" t="s">
        <v>2342</v>
      </c>
    </row>
    <row r="452" spans="1:11" ht="141.75">
      <c r="A452" s="4" t="s">
        <v>578</v>
      </c>
      <c r="B452" s="4" t="s">
        <v>1091</v>
      </c>
      <c r="C452" s="8" t="s">
        <v>2731</v>
      </c>
      <c r="D452" s="8" t="s">
        <v>2731</v>
      </c>
      <c r="E452" s="8" t="s">
        <v>48</v>
      </c>
      <c r="F452" s="8" t="s">
        <v>2731</v>
      </c>
      <c r="G452" s="8" t="s">
        <v>63</v>
      </c>
      <c r="H452" s="8" t="s">
        <v>2732</v>
      </c>
      <c r="I452" s="8" t="s">
        <v>2733</v>
      </c>
      <c r="J452" s="8" t="s">
        <v>2341</v>
      </c>
      <c r="K452" s="8" t="s">
        <v>2342</v>
      </c>
    </row>
    <row r="453" spans="1:11" ht="47.25">
      <c r="A453" s="4" t="s">
        <v>578</v>
      </c>
      <c r="B453" s="4" t="s">
        <v>35</v>
      </c>
      <c r="C453" s="8" t="s">
        <v>65</v>
      </c>
      <c r="D453" s="8" t="s">
        <v>65</v>
      </c>
      <c r="E453" s="8" t="s">
        <v>48</v>
      </c>
      <c r="F453" s="8" t="s">
        <v>65</v>
      </c>
      <c r="G453" s="8" t="s">
        <v>63</v>
      </c>
      <c r="H453" s="8" t="s">
        <v>2371</v>
      </c>
      <c r="I453" s="8" t="s">
        <v>2734</v>
      </c>
      <c r="J453" s="8" t="s">
        <v>2341</v>
      </c>
      <c r="K453" s="8" t="s">
        <v>2342</v>
      </c>
    </row>
    <row r="454" spans="1:11" ht="47.25">
      <c r="A454" s="4" t="s">
        <v>586</v>
      </c>
      <c r="B454" s="4" t="s">
        <v>1028</v>
      </c>
      <c r="C454" s="8" t="s">
        <v>71</v>
      </c>
      <c r="D454" s="8" t="s">
        <v>71</v>
      </c>
      <c r="E454" s="8" t="s">
        <v>48</v>
      </c>
      <c r="F454" s="8" t="s">
        <v>71</v>
      </c>
      <c r="G454" s="8" t="s">
        <v>63</v>
      </c>
      <c r="H454" s="8" t="s">
        <v>2693</v>
      </c>
      <c r="I454" s="8" t="s">
        <v>2735</v>
      </c>
      <c r="J454" s="8" t="s">
        <v>2341</v>
      </c>
      <c r="K454" s="8" t="s">
        <v>2342</v>
      </c>
    </row>
    <row r="455" spans="1:11" ht="47.25">
      <c r="A455" s="4" t="s">
        <v>586</v>
      </c>
      <c r="B455" s="4" t="s">
        <v>1030</v>
      </c>
      <c r="C455" s="8" t="s">
        <v>94</v>
      </c>
      <c r="D455" s="8" t="s">
        <v>94</v>
      </c>
      <c r="E455" s="8" t="s">
        <v>48</v>
      </c>
      <c r="F455" s="8" t="s">
        <v>94</v>
      </c>
      <c r="G455" s="8" t="s">
        <v>63</v>
      </c>
      <c r="H455" s="8" t="s">
        <v>2736</v>
      </c>
      <c r="I455" s="8" t="s">
        <v>2737</v>
      </c>
      <c r="J455" s="8" t="s">
        <v>2341</v>
      </c>
      <c r="K455" s="8" t="s">
        <v>2342</v>
      </c>
    </row>
    <row r="456" spans="1:11" ht="47.25">
      <c r="A456" s="4" t="s">
        <v>586</v>
      </c>
      <c r="B456" s="4" t="s">
        <v>1032</v>
      </c>
      <c r="C456" s="8" t="s">
        <v>58</v>
      </c>
      <c r="D456" s="8" t="s">
        <v>58</v>
      </c>
      <c r="E456" s="8" t="s">
        <v>48</v>
      </c>
      <c r="F456" s="8" t="s">
        <v>58</v>
      </c>
      <c r="G456" s="8" t="s">
        <v>63</v>
      </c>
      <c r="H456" s="8" t="s">
        <v>2597</v>
      </c>
      <c r="I456" s="8" t="s">
        <v>2738</v>
      </c>
      <c r="J456" s="8" t="s">
        <v>2341</v>
      </c>
      <c r="K456" s="8" t="s">
        <v>2342</v>
      </c>
    </row>
    <row r="457" spans="1:11" ht="47.25">
      <c r="A457" s="4" t="s">
        <v>586</v>
      </c>
      <c r="B457" s="4" t="s">
        <v>1034</v>
      </c>
      <c r="C457" s="8" t="s">
        <v>86</v>
      </c>
      <c r="D457" s="8" t="s">
        <v>86</v>
      </c>
      <c r="E457" s="8" t="s">
        <v>48</v>
      </c>
      <c r="F457" s="8" t="s">
        <v>86</v>
      </c>
      <c r="G457" s="8" t="s">
        <v>63</v>
      </c>
      <c r="H457" s="8" t="s">
        <v>2347</v>
      </c>
      <c r="I457" s="8" t="s">
        <v>2739</v>
      </c>
      <c r="J457" s="8" t="s">
        <v>2341</v>
      </c>
      <c r="K457" s="8" t="s">
        <v>2342</v>
      </c>
    </row>
    <row r="458" spans="1:11" ht="47.25">
      <c r="A458" s="4" t="s">
        <v>586</v>
      </c>
      <c r="B458" s="4" t="s">
        <v>1038</v>
      </c>
      <c r="C458" s="8" t="s">
        <v>46</v>
      </c>
      <c r="D458" s="8" t="s">
        <v>46</v>
      </c>
      <c r="E458" s="8" t="s">
        <v>48</v>
      </c>
      <c r="F458" s="8" t="s">
        <v>46</v>
      </c>
      <c r="G458" s="8" t="s">
        <v>63</v>
      </c>
      <c r="H458" s="8" t="s">
        <v>2598</v>
      </c>
      <c r="I458" s="8" t="s">
        <v>2740</v>
      </c>
      <c r="J458" s="8" t="s">
        <v>2341</v>
      </c>
      <c r="K458" s="8" t="s">
        <v>2342</v>
      </c>
    </row>
    <row r="459" spans="1:11" ht="47.25">
      <c r="A459" s="4" t="s">
        <v>586</v>
      </c>
      <c r="B459" s="4" t="s">
        <v>1041</v>
      </c>
      <c r="C459" s="8" t="s">
        <v>49</v>
      </c>
      <c r="D459" s="8" t="s">
        <v>49</v>
      </c>
      <c r="E459" s="8" t="s">
        <v>48</v>
      </c>
      <c r="F459" s="8" t="s">
        <v>49</v>
      </c>
      <c r="G459" s="8" t="s">
        <v>63</v>
      </c>
      <c r="H459" s="8" t="s">
        <v>2351</v>
      </c>
      <c r="I459" s="8" t="s">
        <v>2740</v>
      </c>
      <c r="J459" s="8" t="s">
        <v>2341</v>
      </c>
      <c r="K459" s="8" t="s">
        <v>2342</v>
      </c>
    </row>
    <row r="460" spans="1:11" ht="126">
      <c r="A460" s="4" t="s">
        <v>586</v>
      </c>
      <c r="B460" s="4" t="s">
        <v>32</v>
      </c>
      <c r="C460" s="8" t="s">
        <v>47</v>
      </c>
      <c r="D460" s="8" t="s">
        <v>47</v>
      </c>
      <c r="E460" s="8" t="s">
        <v>48</v>
      </c>
      <c r="F460" s="8" t="s">
        <v>47</v>
      </c>
      <c r="G460" s="8" t="s">
        <v>63</v>
      </c>
      <c r="H460" s="8" t="s">
        <v>2741</v>
      </c>
      <c r="I460" s="8" t="s">
        <v>2740</v>
      </c>
      <c r="J460" s="8" t="s">
        <v>2341</v>
      </c>
      <c r="K460" s="8" t="s">
        <v>2342</v>
      </c>
    </row>
    <row r="461" spans="1:11" ht="47.25">
      <c r="A461" s="4" t="s">
        <v>586</v>
      </c>
      <c r="B461" s="4" t="s">
        <v>1090</v>
      </c>
      <c r="C461" s="8" t="s">
        <v>2353</v>
      </c>
      <c r="D461" s="8" t="s">
        <v>2353</v>
      </c>
      <c r="E461" s="8" t="s">
        <v>48</v>
      </c>
      <c r="F461" s="8" t="s">
        <v>2353</v>
      </c>
      <c r="G461" s="8" t="s">
        <v>63</v>
      </c>
      <c r="H461" s="8" t="s">
        <v>2354</v>
      </c>
      <c r="I461" s="8" t="s">
        <v>1617</v>
      </c>
      <c r="J461" s="8" t="s">
        <v>2341</v>
      </c>
      <c r="K461" s="8" t="s">
        <v>2342</v>
      </c>
    </row>
    <row r="462" spans="1:11" ht="141.75">
      <c r="A462" s="4" t="s">
        <v>586</v>
      </c>
      <c r="B462" s="4" t="s">
        <v>1091</v>
      </c>
      <c r="C462" s="8" t="s">
        <v>2579</v>
      </c>
      <c r="D462" s="8" t="s">
        <v>2579</v>
      </c>
      <c r="E462" s="8" t="s">
        <v>48</v>
      </c>
      <c r="F462" s="8" t="s">
        <v>2579</v>
      </c>
      <c r="G462" s="8" t="s">
        <v>63</v>
      </c>
      <c r="H462" s="8" t="s">
        <v>2742</v>
      </c>
      <c r="I462" s="8" t="s">
        <v>2739</v>
      </c>
      <c r="J462" s="8" t="s">
        <v>2341</v>
      </c>
      <c r="K462" s="8" t="s">
        <v>2342</v>
      </c>
    </row>
    <row r="463" spans="1:11" ht="47.25">
      <c r="A463" s="4" t="s">
        <v>586</v>
      </c>
      <c r="B463" s="4" t="s">
        <v>35</v>
      </c>
      <c r="C463" s="8" t="s">
        <v>50</v>
      </c>
      <c r="D463" s="8" t="s">
        <v>50</v>
      </c>
      <c r="E463" s="8" t="s">
        <v>48</v>
      </c>
      <c r="F463" s="8" t="s">
        <v>50</v>
      </c>
      <c r="G463" s="8" t="s">
        <v>63</v>
      </c>
      <c r="H463" s="8" t="s">
        <v>2358</v>
      </c>
      <c r="I463" s="8" t="s">
        <v>2739</v>
      </c>
      <c r="J463" s="8" t="s">
        <v>2341</v>
      </c>
      <c r="K463" s="8" t="s">
        <v>2342</v>
      </c>
    </row>
    <row r="464" spans="1:11" ht="47.25">
      <c r="A464" s="4" t="s">
        <v>595</v>
      </c>
      <c r="B464" s="4" t="s">
        <v>1028</v>
      </c>
      <c r="C464" s="8" t="s">
        <v>71</v>
      </c>
      <c r="D464" s="8" t="s">
        <v>71</v>
      </c>
      <c r="E464" s="8" t="s">
        <v>48</v>
      </c>
      <c r="F464" s="8" t="s">
        <v>71</v>
      </c>
      <c r="G464" s="8" t="s">
        <v>63</v>
      </c>
      <c r="H464" s="8" t="s">
        <v>2693</v>
      </c>
      <c r="I464" s="8" t="s">
        <v>2743</v>
      </c>
      <c r="J464" s="8" t="s">
        <v>2341</v>
      </c>
      <c r="K464" s="8" t="s">
        <v>2342</v>
      </c>
    </row>
    <row r="465" spans="1:11" ht="47.25">
      <c r="A465" s="4" t="s">
        <v>595</v>
      </c>
      <c r="B465" s="4" t="s">
        <v>1030</v>
      </c>
      <c r="C465" s="8" t="s">
        <v>42</v>
      </c>
      <c r="D465" s="8" t="s">
        <v>42</v>
      </c>
      <c r="E465" s="8" t="s">
        <v>48</v>
      </c>
      <c r="F465" s="8" t="s">
        <v>42</v>
      </c>
      <c r="G465" s="8" t="s">
        <v>63</v>
      </c>
      <c r="H465" s="8" t="s">
        <v>2596</v>
      </c>
      <c r="I465" s="8" t="s">
        <v>2744</v>
      </c>
      <c r="J465" s="8" t="s">
        <v>2341</v>
      </c>
      <c r="K465" s="8" t="s">
        <v>2342</v>
      </c>
    </row>
    <row r="466" spans="1:11" ht="47.25">
      <c r="A466" s="4" t="s">
        <v>595</v>
      </c>
      <c r="B466" s="4" t="s">
        <v>1032</v>
      </c>
      <c r="C466" s="8" t="s">
        <v>85</v>
      </c>
      <c r="D466" s="8" t="s">
        <v>85</v>
      </c>
      <c r="E466" s="8" t="s">
        <v>48</v>
      </c>
      <c r="F466" s="8" t="s">
        <v>85</v>
      </c>
      <c r="G466" s="8" t="s">
        <v>63</v>
      </c>
      <c r="H466" s="8" t="s">
        <v>2362</v>
      </c>
      <c r="I466" s="8" t="s">
        <v>2745</v>
      </c>
      <c r="J466" s="8" t="s">
        <v>2341</v>
      </c>
      <c r="K466" s="8" t="s">
        <v>2342</v>
      </c>
    </row>
    <row r="467" spans="1:11" ht="47.25">
      <c r="A467" s="4" t="s">
        <v>595</v>
      </c>
      <c r="B467" s="4" t="s">
        <v>1034</v>
      </c>
      <c r="C467" s="8" t="s">
        <v>59</v>
      </c>
      <c r="D467" s="8" t="s">
        <v>59</v>
      </c>
      <c r="E467" s="8" t="s">
        <v>48</v>
      </c>
      <c r="F467" s="8" t="s">
        <v>59</v>
      </c>
      <c r="G467" s="8" t="s">
        <v>63</v>
      </c>
      <c r="H467" s="8" t="s">
        <v>2364</v>
      </c>
      <c r="I467" s="8" t="s">
        <v>2746</v>
      </c>
      <c r="J467" s="8" t="s">
        <v>2341</v>
      </c>
      <c r="K467" s="8" t="s">
        <v>2342</v>
      </c>
    </row>
    <row r="468" spans="1:11" ht="47.25">
      <c r="A468" s="4" t="s">
        <v>595</v>
      </c>
      <c r="B468" s="4" t="s">
        <v>1038</v>
      </c>
      <c r="C468" s="8" t="s">
        <v>61</v>
      </c>
      <c r="D468" s="8" t="s">
        <v>61</v>
      </c>
      <c r="E468" s="8" t="s">
        <v>48</v>
      </c>
      <c r="F468" s="8" t="s">
        <v>61</v>
      </c>
      <c r="G468" s="8" t="s">
        <v>63</v>
      </c>
      <c r="H468" s="8" t="s">
        <v>2576</v>
      </c>
      <c r="I468" s="8" t="s">
        <v>2619</v>
      </c>
      <c r="J468" s="8" t="s">
        <v>2341</v>
      </c>
      <c r="K468" s="8" t="s">
        <v>2342</v>
      </c>
    </row>
    <row r="469" spans="1:11" ht="47.25">
      <c r="A469" s="4" t="s">
        <v>595</v>
      </c>
      <c r="B469" s="4" t="s">
        <v>1041</v>
      </c>
      <c r="C469" s="8" t="s">
        <v>49</v>
      </c>
      <c r="D469" s="8" t="s">
        <v>49</v>
      </c>
      <c r="E469" s="8" t="s">
        <v>48</v>
      </c>
      <c r="F469" s="8" t="s">
        <v>49</v>
      </c>
      <c r="G469" s="8" t="s">
        <v>63</v>
      </c>
      <c r="H469" s="8" t="s">
        <v>2351</v>
      </c>
      <c r="I469" s="8" t="s">
        <v>2619</v>
      </c>
      <c r="J469" s="8" t="s">
        <v>2341</v>
      </c>
      <c r="K469" s="8" t="s">
        <v>2342</v>
      </c>
    </row>
    <row r="470" spans="1:11" ht="94.5">
      <c r="A470" s="4" t="s">
        <v>595</v>
      </c>
      <c r="B470" s="4" t="s">
        <v>32</v>
      </c>
      <c r="C470" s="8" t="s">
        <v>62</v>
      </c>
      <c r="D470" s="8" t="s">
        <v>62</v>
      </c>
      <c r="E470" s="8" t="s">
        <v>48</v>
      </c>
      <c r="F470" s="8" t="s">
        <v>62</v>
      </c>
      <c r="G470" s="8" t="s">
        <v>63</v>
      </c>
      <c r="H470" s="8" t="s">
        <v>2747</v>
      </c>
      <c r="I470" s="8" t="s">
        <v>2619</v>
      </c>
      <c r="J470" s="8" t="s">
        <v>2341</v>
      </c>
      <c r="K470" s="8" t="s">
        <v>2342</v>
      </c>
    </row>
    <row r="471" spans="1:11" ht="47.25">
      <c r="A471" s="4" t="s">
        <v>595</v>
      </c>
      <c r="B471" s="4" t="s">
        <v>1090</v>
      </c>
      <c r="C471" s="8" t="s">
        <v>2353</v>
      </c>
      <c r="D471" s="8" t="s">
        <v>2353</v>
      </c>
      <c r="E471" s="8" t="s">
        <v>48</v>
      </c>
      <c r="F471" s="8" t="s">
        <v>2353</v>
      </c>
      <c r="G471" s="8" t="s">
        <v>63</v>
      </c>
      <c r="H471" s="8" t="s">
        <v>2354</v>
      </c>
      <c r="I471" s="8" t="s">
        <v>1617</v>
      </c>
      <c r="J471" s="8" t="s">
        <v>2341</v>
      </c>
      <c r="K471" s="8" t="s">
        <v>2342</v>
      </c>
    </row>
    <row r="472" spans="1:11" ht="141.75">
      <c r="A472" s="4" t="s">
        <v>595</v>
      </c>
      <c r="B472" s="4" t="s">
        <v>1091</v>
      </c>
      <c r="C472" s="8" t="s">
        <v>2390</v>
      </c>
      <c r="D472" s="8" t="s">
        <v>2390</v>
      </c>
      <c r="E472" s="8" t="s">
        <v>48</v>
      </c>
      <c r="F472" s="8" t="s">
        <v>2390</v>
      </c>
      <c r="G472" s="8" t="s">
        <v>63</v>
      </c>
      <c r="H472" s="8" t="s">
        <v>2748</v>
      </c>
      <c r="I472" s="8" t="s">
        <v>2749</v>
      </c>
      <c r="J472" s="8" t="s">
        <v>2341</v>
      </c>
      <c r="K472" s="8" t="s">
        <v>2342</v>
      </c>
    </row>
    <row r="473" spans="1:11" ht="47.25">
      <c r="A473" s="4" t="s">
        <v>595</v>
      </c>
      <c r="B473" s="4" t="s">
        <v>35</v>
      </c>
      <c r="C473" s="8" t="s">
        <v>65</v>
      </c>
      <c r="D473" s="8" t="s">
        <v>65</v>
      </c>
      <c r="E473" s="8" t="s">
        <v>48</v>
      </c>
      <c r="F473" s="8" t="s">
        <v>65</v>
      </c>
      <c r="G473" s="8" t="s">
        <v>63</v>
      </c>
      <c r="H473" s="8" t="s">
        <v>2371</v>
      </c>
      <c r="I473" s="8" t="s">
        <v>2746</v>
      </c>
      <c r="J473" s="8" t="s">
        <v>2341</v>
      </c>
      <c r="K473" s="8" t="s">
        <v>2342</v>
      </c>
    </row>
    <row r="474" spans="1:11" ht="47.25">
      <c r="A474" s="4" t="s">
        <v>603</v>
      </c>
      <c r="B474" s="4" t="s">
        <v>1028</v>
      </c>
      <c r="C474" s="8" t="s">
        <v>71</v>
      </c>
      <c r="D474" s="8" t="s">
        <v>71</v>
      </c>
      <c r="E474" s="8" t="s">
        <v>48</v>
      </c>
      <c r="F474" s="8" t="s">
        <v>71</v>
      </c>
      <c r="G474" s="8" t="s">
        <v>63</v>
      </c>
      <c r="H474" s="8" t="s">
        <v>2693</v>
      </c>
      <c r="I474" s="8" t="s">
        <v>2750</v>
      </c>
      <c r="J474" s="8" t="s">
        <v>2341</v>
      </c>
      <c r="K474" s="8" t="s">
        <v>2342</v>
      </c>
    </row>
    <row r="475" spans="1:11" ht="47.25">
      <c r="A475" s="4" t="s">
        <v>603</v>
      </c>
      <c r="B475" s="4" t="s">
        <v>1030</v>
      </c>
      <c r="C475" s="8" t="s">
        <v>57</v>
      </c>
      <c r="D475" s="8" t="s">
        <v>57</v>
      </c>
      <c r="E475" s="8" t="s">
        <v>48</v>
      </c>
      <c r="F475" s="8" t="s">
        <v>57</v>
      </c>
      <c r="G475" s="8" t="s">
        <v>63</v>
      </c>
      <c r="H475" s="8" t="s">
        <v>2343</v>
      </c>
      <c r="I475" s="8" t="s">
        <v>2751</v>
      </c>
      <c r="J475" s="8" t="s">
        <v>2341</v>
      </c>
      <c r="K475" s="8" t="s">
        <v>2342</v>
      </c>
    </row>
    <row r="476" spans="1:11" ht="47.25">
      <c r="A476" s="4" t="s">
        <v>603</v>
      </c>
      <c r="B476" s="4" t="s">
        <v>1032</v>
      </c>
      <c r="C476" s="8" t="s">
        <v>58</v>
      </c>
      <c r="D476" s="8" t="s">
        <v>58</v>
      </c>
      <c r="E476" s="8" t="s">
        <v>48</v>
      </c>
      <c r="F476" s="8" t="s">
        <v>58</v>
      </c>
      <c r="G476" s="8" t="s">
        <v>63</v>
      </c>
      <c r="H476" s="8" t="s">
        <v>2597</v>
      </c>
      <c r="I476" s="8" t="s">
        <v>2752</v>
      </c>
      <c r="J476" s="8" t="s">
        <v>2341</v>
      </c>
      <c r="K476" s="8" t="s">
        <v>2342</v>
      </c>
    </row>
    <row r="477" spans="1:11" ht="47.25">
      <c r="A477" s="4" t="s">
        <v>603</v>
      </c>
      <c r="B477" s="4" t="s">
        <v>1034</v>
      </c>
      <c r="C477" s="8" t="s">
        <v>59</v>
      </c>
      <c r="D477" s="8" t="s">
        <v>59</v>
      </c>
      <c r="E477" s="8" t="s">
        <v>48</v>
      </c>
      <c r="F477" s="8" t="s">
        <v>59</v>
      </c>
      <c r="G477" s="8" t="s">
        <v>63</v>
      </c>
      <c r="H477" s="8" t="s">
        <v>2364</v>
      </c>
      <c r="I477" s="8" t="s">
        <v>2753</v>
      </c>
      <c r="J477" s="8" t="s">
        <v>2341</v>
      </c>
      <c r="K477" s="8" t="s">
        <v>2342</v>
      </c>
    </row>
    <row r="478" spans="1:11" ht="47.25">
      <c r="A478" s="4" t="s">
        <v>603</v>
      </c>
      <c r="B478" s="4" t="s">
        <v>1038</v>
      </c>
      <c r="C478" s="8" t="s">
        <v>114</v>
      </c>
      <c r="D478" s="8" t="s">
        <v>114</v>
      </c>
      <c r="E478" s="8" t="s">
        <v>48</v>
      </c>
      <c r="F478" s="8" t="s">
        <v>114</v>
      </c>
      <c r="G478" s="8" t="s">
        <v>63</v>
      </c>
      <c r="H478" s="8" t="s">
        <v>2698</v>
      </c>
      <c r="I478" s="8" t="s">
        <v>2754</v>
      </c>
      <c r="J478" s="8" t="s">
        <v>2341</v>
      </c>
      <c r="K478" s="8" t="s">
        <v>2342</v>
      </c>
    </row>
    <row r="479" spans="1:11" ht="47.25">
      <c r="A479" s="4" t="s">
        <v>603</v>
      </c>
      <c r="B479" s="4" t="s">
        <v>1041</v>
      </c>
      <c r="C479" s="8" t="s">
        <v>49</v>
      </c>
      <c r="D479" s="8" t="s">
        <v>49</v>
      </c>
      <c r="E479" s="8" t="s">
        <v>48</v>
      </c>
      <c r="F479" s="8" t="s">
        <v>49</v>
      </c>
      <c r="G479" s="8" t="s">
        <v>63</v>
      </c>
      <c r="H479" s="8" t="s">
        <v>2351</v>
      </c>
      <c r="I479" s="8" t="s">
        <v>2754</v>
      </c>
      <c r="J479" s="8" t="s">
        <v>2341</v>
      </c>
      <c r="K479" s="8" t="s">
        <v>2342</v>
      </c>
    </row>
    <row r="480" spans="1:11" ht="126">
      <c r="A480" s="4" t="s">
        <v>603</v>
      </c>
      <c r="B480" s="4" t="s">
        <v>32</v>
      </c>
      <c r="C480" s="8" t="s">
        <v>99</v>
      </c>
      <c r="D480" s="8" t="s">
        <v>99</v>
      </c>
      <c r="E480" s="8" t="s">
        <v>48</v>
      </c>
      <c r="F480" s="8" t="s">
        <v>99</v>
      </c>
      <c r="G480" s="8" t="s">
        <v>63</v>
      </c>
      <c r="H480" s="8" t="s">
        <v>2755</v>
      </c>
      <c r="I480" s="8" t="s">
        <v>2754</v>
      </c>
      <c r="J480" s="8" t="s">
        <v>2341</v>
      </c>
      <c r="K480" s="8" t="s">
        <v>2342</v>
      </c>
    </row>
    <row r="481" spans="1:11" ht="47.25">
      <c r="A481" s="4" t="s">
        <v>603</v>
      </c>
      <c r="B481" s="4" t="s">
        <v>1090</v>
      </c>
      <c r="C481" s="8" t="s">
        <v>2353</v>
      </c>
      <c r="D481" s="8" t="s">
        <v>2353</v>
      </c>
      <c r="E481" s="8" t="s">
        <v>48</v>
      </c>
      <c r="F481" s="8" t="s">
        <v>2353</v>
      </c>
      <c r="G481" s="8" t="s">
        <v>63</v>
      </c>
      <c r="H481" s="8" t="s">
        <v>2354</v>
      </c>
      <c r="I481" s="8" t="s">
        <v>1617</v>
      </c>
      <c r="J481" s="8" t="s">
        <v>2341</v>
      </c>
      <c r="K481" s="8" t="s">
        <v>2342</v>
      </c>
    </row>
    <row r="482" spans="1:11" ht="141.75">
      <c r="A482" s="4" t="s">
        <v>603</v>
      </c>
      <c r="B482" s="4" t="s">
        <v>1091</v>
      </c>
      <c r="C482" s="8" t="s">
        <v>2355</v>
      </c>
      <c r="D482" s="8" t="s">
        <v>2355</v>
      </c>
      <c r="E482" s="8" t="s">
        <v>48</v>
      </c>
      <c r="F482" s="8" t="s">
        <v>2355</v>
      </c>
      <c r="G482" s="8" t="s">
        <v>63</v>
      </c>
      <c r="H482" s="8" t="s">
        <v>2756</v>
      </c>
      <c r="I482" s="8" t="s">
        <v>2757</v>
      </c>
      <c r="J482" s="8" t="s">
        <v>2341</v>
      </c>
      <c r="K482" s="8" t="s">
        <v>2342</v>
      </c>
    </row>
    <row r="483" spans="1:11" ht="47.25">
      <c r="A483" s="4" t="s">
        <v>603</v>
      </c>
      <c r="B483" s="4" t="s">
        <v>35</v>
      </c>
      <c r="C483" s="8" t="s">
        <v>50</v>
      </c>
      <c r="D483" s="8" t="s">
        <v>50</v>
      </c>
      <c r="E483" s="8" t="s">
        <v>48</v>
      </c>
      <c r="F483" s="8" t="s">
        <v>50</v>
      </c>
      <c r="G483" s="8" t="s">
        <v>63</v>
      </c>
      <c r="H483" s="8" t="s">
        <v>2358</v>
      </c>
      <c r="I483" s="8" t="s">
        <v>2758</v>
      </c>
      <c r="J483" s="8" t="s">
        <v>2341</v>
      </c>
      <c r="K483" s="8" t="s">
        <v>2342</v>
      </c>
    </row>
    <row r="484" spans="1:11" ht="47.25">
      <c r="A484" s="4" t="s">
        <v>611</v>
      </c>
      <c r="B484" s="4" t="s">
        <v>1028</v>
      </c>
      <c r="C484" s="8" t="s">
        <v>71</v>
      </c>
      <c r="D484" s="8" t="s">
        <v>71</v>
      </c>
      <c r="E484" s="8" t="s">
        <v>48</v>
      </c>
      <c r="F484" s="8" t="s">
        <v>71</v>
      </c>
      <c r="G484" s="8" t="s">
        <v>63</v>
      </c>
      <c r="H484" s="8" t="s">
        <v>2693</v>
      </c>
      <c r="I484" s="8" t="s">
        <v>2759</v>
      </c>
      <c r="J484" s="8" t="s">
        <v>2341</v>
      </c>
      <c r="K484" s="8" t="s">
        <v>2342</v>
      </c>
    </row>
    <row r="485" spans="1:11" ht="47.25">
      <c r="A485" s="4" t="s">
        <v>611</v>
      </c>
      <c r="B485" s="4" t="s">
        <v>1030</v>
      </c>
      <c r="C485" s="8" t="s">
        <v>72</v>
      </c>
      <c r="D485" s="8" t="s">
        <v>72</v>
      </c>
      <c r="E485" s="8" t="s">
        <v>48</v>
      </c>
      <c r="F485" s="8" t="s">
        <v>72</v>
      </c>
      <c r="G485" s="8" t="s">
        <v>63</v>
      </c>
      <c r="H485" s="8" t="s">
        <v>2695</v>
      </c>
      <c r="I485" s="8" t="s">
        <v>2760</v>
      </c>
      <c r="J485" s="8" t="s">
        <v>2341</v>
      </c>
      <c r="K485" s="8" t="s">
        <v>2342</v>
      </c>
    </row>
    <row r="486" spans="1:11" ht="47.25">
      <c r="A486" s="4" t="s">
        <v>611</v>
      </c>
      <c r="B486" s="4" t="s">
        <v>1032</v>
      </c>
      <c r="C486" s="8" t="s">
        <v>140</v>
      </c>
      <c r="D486" s="8" t="s">
        <v>140</v>
      </c>
      <c r="E486" s="8" t="s">
        <v>48</v>
      </c>
      <c r="F486" s="8" t="s">
        <v>140</v>
      </c>
      <c r="G486" s="8" t="s">
        <v>63</v>
      </c>
      <c r="H486" s="8" t="s">
        <v>2696</v>
      </c>
      <c r="I486" s="8" t="s">
        <v>2761</v>
      </c>
      <c r="J486" s="8" t="s">
        <v>2341</v>
      </c>
      <c r="K486" s="8" t="s">
        <v>2342</v>
      </c>
    </row>
    <row r="487" spans="1:11" ht="47.25">
      <c r="A487" s="4" t="s">
        <v>611</v>
      </c>
      <c r="B487" s="4" t="s">
        <v>1034</v>
      </c>
      <c r="C487" s="8" t="s">
        <v>44</v>
      </c>
      <c r="D487" s="8" t="s">
        <v>44</v>
      </c>
      <c r="E487" s="8" t="s">
        <v>48</v>
      </c>
      <c r="F487" s="8" t="s">
        <v>44</v>
      </c>
      <c r="G487" s="8" t="s">
        <v>63</v>
      </c>
      <c r="H487" s="8" t="s">
        <v>2550</v>
      </c>
      <c r="I487" s="8" t="s">
        <v>2762</v>
      </c>
      <c r="J487" s="8" t="s">
        <v>2341</v>
      </c>
      <c r="K487" s="8" t="s">
        <v>2342</v>
      </c>
    </row>
    <row r="488" spans="1:11" ht="47.25">
      <c r="A488" s="4" t="s">
        <v>611</v>
      </c>
      <c r="B488" s="4" t="s">
        <v>1038</v>
      </c>
      <c r="C488" s="8" t="s">
        <v>114</v>
      </c>
      <c r="D488" s="8" t="s">
        <v>114</v>
      </c>
      <c r="E488" s="8" t="s">
        <v>48</v>
      </c>
      <c r="F488" s="8" t="s">
        <v>114</v>
      </c>
      <c r="G488" s="8" t="s">
        <v>63</v>
      </c>
      <c r="H488" s="8" t="s">
        <v>2698</v>
      </c>
      <c r="I488" s="8" t="s">
        <v>2763</v>
      </c>
      <c r="J488" s="8" t="s">
        <v>2341</v>
      </c>
      <c r="K488" s="8" t="s">
        <v>2342</v>
      </c>
    </row>
    <row r="489" spans="1:11" ht="47.25">
      <c r="A489" s="4" t="s">
        <v>611</v>
      </c>
      <c r="B489" s="4" t="s">
        <v>1041</v>
      </c>
      <c r="C489" s="8" t="s">
        <v>64</v>
      </c>
      <c r="D489" s="8" t="s">
        <v>64</v>
      </c>
      <c r="E489" s="8" t="s">
        <v>48</v>
      </c>
      <c r="F489" s="8" t="s">
        <v>64</v>
      </c>
      <c r="G489" s="8" t="s">
        <v>63</v>
      </c>
      <c r="H489" s="8" t="s">
        <v>2700</v>
      </c>
      <c r="I489" s="8" t="s">
        <v>2763</v>
      </c>
      <c r="J489" s="8" t="s">
        <v>2341</v>
      </c>
      <c r="K489" s="8" t="s">
        <v>2342</v>
      </c>
    </row>
    <row r="490" spans="1:11" ht="47.25">
      <c r="A490" s="4" t="s">
        <v>611</v>
      </c>
      <c r="B490" s="4" t="s">
        <v>32</v>
      </c>
      <c r="C490" s="8" t="s">
        <v>68</v>
      </c>
      <c r="D490" s="8" t="s">
        <v>68</v>
      </c>
      <c r="E490" s="8" t="s">
        <v>48</v>
      </c>
      <c r="F490" s="8" t="s">
        <v>68</v>
      </c>
      <c r="G490" s="8" t="s">
        <v>63</v>
      </c>
      <c r="H490" s="8" t="s">
        <v>2701</v>
      </c>
      <c r="I490" s="8" t="s">
        <v>2763</v>
      </c>
      <c r="J490" s="8" t="s">
        <v>2341</v>
      </c>
      <c r="K490" s="8" t="s">
        <v>2342</v>
      </c>
    </row>
    <row r="491" spans="1:11" ht="47.25">
      <c r="A491" s="4" t="s">
        <v>611</v>
      </c>
      <c r="B491" s="4" t="s">
        <v>1090</v>
      </c>
      <c r="C491" s="8" t="s">
        <v>2353</v>
      </c>
      <c r="D491" s="8" t="s">
        <v>2353</v>
      </c>
      <c r="E491" s="8" t="s">
        <v>48</v>
      </c>
      <c r="F491" s="8" t="s">
        <v>2353</v>
      </c>
      <c r="G491" s="8" t="s">
        <v>63</v>
      </c>
      <c r="H491" s="8" t="s">
        <v>2354</v>
      </c>
      <c r="I491" s="8" t="s">
        <v>1617</v>
      </c>
      <c r="J491" s="8" t="s">
        <v>2341</v>
      </c>
      <c r="K491" s="8" t="s">
        <v>2342</v>
      </c>
    </row>
    <row r="492" spans="1:11" ht="47.25">
      <c r="A492" s="4" t="s">
        <v>611</v>
      </c>
      <c r="B492" s="4" t="s">
        <v>1091</v>
      </c>
      <c r="C492" s="8" t="s">
        <v>68</v>
      </c>
      <c r="D492" s="8" t="s">
        <v>68</v>
      </c>
      <c r="E492" s="8" t="s">
        <v>48</v>
      </c>
      <c r="F492" s="8" t="s">
        <v>68</v>
      </c>
      <c r="G492" s="8" t="s">
        <v>63</v>
      </c>
      <c r="H492" s="8" t="s">
        <v>2702</v>
      </c>
      <c r="I492" s="8" t="s">
        <v>2764</v>
      </c>
      <c r="J492" s="8" t="s">
        <v>2341</v>
      </c>
      <c r="K492" s="8" t="s">
        <v>2342</v>
      </c>
    </row>
    <row r="493" spans="1:11" ht="47.25">
      <c r="A493" s="4" t="s">
        <v>611</v>
      </c>
      <c r="B493" s="4" t="s">
        <v>35</v>
      </c>
      <c r="C493" s="8" t="s">
        <v>68</v>
      </c>
      <c r="D493" s="8" t="s">
        <v>68</v>
      </c>
      <c r="E493" s="8" t="s">
        <v>48</v>
      </c>
      <c r="F493" s="8" t="s">
        <v>68</v>
      </c>
      <c r="G493" s="8" t="s">
        <v>63</v>
      </c>
      <c r="H493" s="8" t="s">
        <v>2704</v>
      </c>
      <c r="I493" s="8" t="s">
        <v>2765</v>
      </c>
      <c r="J493" s="8" t="s">
        <v>2341</v>
      </c>
      <c r="K493" s="8" t="s">
        <v>2342</v>
      </c>
    </row>
    <row r="494" spans="1:11" ht="47.25">
      <c r="A494" s="4" t="s">
        <v>620</v>
      </c>
      <c r="B494" s="4" t="s">
        <v>1028</v>
      </c>
      <c r="C494" s="8" t="s">
        <v>71</v>
      </c>
      <c r="D494" s="8" t="s">
        <v>71</v>
      </c>
      <c r="E494" s="8" t="s">
        <v>48</v>
      </c>
      <c r="F494" s="8" t="s">
        <v>71</v>
      </c>
      <c r="G494" s="8" t="s">
        <v>63</v>
      </c>
      <c r="H494" s="8" t="s">
        <v>2693</v>
      </c>
      <c r="I494" s="8" t="s">
        <v>2766</v>
      </c>
      <c r="J494" s="8" t="s">
        <v>2341</v>
      </c>
      <c r="K494" s="8" t="s">
        <v>2342</v>
      </c>
    </row>
    <row r="495" spans="1:11" ht="47.25">
      <c r="A495" s="4" t="s">
        <v>620</v>
      </c>
      <c r="B495" s="4" t="s">
        <v>1030</v>
      </c>
      <c r="C495" s="8" t="s">
        <v>57</v>
      </c>
      <c r="D495" s="8" t="s">
        <v>57</v>
      </c>
      <c r="E495" s="8" t="s">
        <v>48</v>
      </c>
      <c r="F495" s="8" t="s">
        <v>57</v>
      </c>
      <c r="G495" s="8" t="s">
        <v>63</v>
      </c>
      <c r="H495" s="8" t="s">
        <v>2343</v>
      </c>
      <c r="I495" s="8" t="s">
        <v>2767</v>
      </c>
      <c r="J495" s="8" t="s">
        <v>2341</v>
      </c>
      <c r="K495" s="8" t="s">
        <v>2342</v>
      </c>
    </row>
    <row r="496" spans="1:11" ht="47.25">
      <c r="A496" s="4" t="s">
        <v>620</v>
      </c>
      <c r="B496" s="4" t="s">
        <v>1032</v>
      </c>
      <c r="C496" s="8" t="s">
        <v>58</v>
      </c>
      <c r="D496" s="8" t="s">
        <v>58</v>
      </c>
      <c r="E496" s="8" t="s">
        <v>48</v>
      </c>
      <c r="F496" s="8" t="s">
        <v>58</v>
      </c>
      <c r="G496" s="8" t="s">
        <v>63</v>
      </c>
      <c r="H496" s="8" t="s">
        <v>2597</v>
      </c>
      <c r="I496" s="8" t="s">
        <v>2687</v>
      </c>
      <c r="J496" s="8" t="s">
        <v>2341</v>
      </c>
      <c r="K496" s="8" t="s">
        <v>2342</v>
      </c>
    </row>
    <row r="497" spans="1:11" ht="47.25">
      <c r="A497" s="4" t="s">
        <v>620</v>
      </c>
      <c r="B497" s="4" t="s">
        <v>1034</v>
      </c>
      <c r="C497" s="8" t="s">
        <v>74</v>
      </c>
      <c r="D497" s="8" t="s">
        <v>74</v>
      </c>
      <c r="E497" s="8" t="s">
        <v>48</v>
      </c>
      <c r="F497" s="8" t="s">
        <v>74</v>
      </c>
      <c r="G497" s="8" t="s">
        <v>63</v>
      </c>
      <c r="H497" s="8" t="s">
        <v>2726</v>
      </c>
      <c r="I497" s="8" t="s">
        <v>2768</v>
      </c>
      <c r="J497" s="8" t="s">
        <v>2341</v>
      </c>
      <c r="K497" s="8" t="s">
        <v>2342</v>
      </c>
    </row>
    <row r="498" spans="1:11" ht="47.25">
      <c r="A498" s="4" t="s">
        <v>620</v>
      </c>
      <c r="B498" s="4" t="s">
        <v>1038</v>
      </c>
      <c r="C498" s="8" t="s">
        <v>98</v>
      </c>
      <c r="D498" s="8" t="s">
        <v>98</v>
      </c>
      <c r="E498" s="8" t="s">
        <v>48</v>
      </c>
      <c r="F498" s="8" t="s">
        <v>98</v>
      </c>
      <c r="G498" s="8" t="s">
        <v>63</v>
      </c>
      <c r="H498" s="8" t="s">
        <v>2366</v>
      </c>
      <c r="I498" s="8" t="s">
        <v>2769</v>
      </c>
      <c r="J498" s="8" t="s">
        <v>2341</v>
      </c>
      <c r="K498" s="8" t="s">
        <v>2342</v>
      </c>
    </row>
    <row r="499" spans="1:11" ht="47.25">
      <c r="A499" s="4" t="s">
        <v>620</v>
      </c>
      <c r="B499" s="4" t="s">
        <v>1041</v>
      </c>
      <c r="C499" s="8" t="s">
        <v>49</v>
      </c>
      <c r="D499" s="8" t="s">
        <v>49</v>
      </c>
      <c r="E499" s="8" t="s">
        <v>48</v>
      </c>
      <c r="F499" s="8" t="s">
        <v>49</v>
      </c>
      <c r="G499" s="8" t="s">
        <v>63</v>
      </c>
      <c r="H499" s="8" t="s">
        <v>2351</v>
      </c>
      <c r="I499" s="8" t="s">
        <v>2769</v>
      </c>
      <c r="J499" s="8" t="s">
        <v>2341</v>
      </c>
      <c r="K499" s="8" t="s">
        <v>2342</v>
      </c>
    </row>
    <row r="500" spans="1:11" ht="126">
      <c r="A500" s="4" t="s">
        <v>620</v>
      </c>
      <c r="B500" s="4" t="s">
        <v>32</v>
      </c>
      <c r="C500" s="8" t="s">
        <v>89</v>
      </c>
      <c r="D500" s="8" t="s">
        <v>89</v>
      </c>
      <c r="E500" s="8" t="s">
        <v>48</v>
      </c>
      <c r="F500" s="8" t="s">
        <v>89</v>
      </c>
      <c r="G500" s="8" t="s">
        <v>63</v>
      </c>
      <c r="H500" s="8" t="s">
        <v>2770</v>
      </c>
      <c r="I500" s="8" t="s">
        <v>2769</v>
      </c>
      <c r="J500" s="8" t="s">
        <v>2341</v>
      </c>
      <c r="K500" s="8" t="s">
        <v>2342</v>
      </c>
    </row>
    <row r="501" spans="1:11" ht="47.25">
      <c r="A501" s="4" t="s">
        <v>620</v>
      </c>
      <c r="B501" s="4" t="s">
        <v>1090</v>
      </c>
      <c r="C501" s="8" t="s">
        <v>2353</v>
      </c>
      <c r="D501" s="8" t="s">
        <v>2353</v>
      </c>
      <c r="E501" s="8" t="s">
        <v>48</v>
      </c>
      <c r="F501" s="8" t="s">
        <v>2353</v>
      </c>
      <c r="G501" s="8" t="s">
        <v>63</v>
      </c>
      <c r="H501" s="8" t="s">
        <v>2354</v>
      </c>
      <c r="I501" s="8" t="s">
        <v>1617</v>
      </c>
      <c r="J501" s="8" t="s">
        <v>2341</v>
      </c>
      <c r="K501" s="8" t="s">
        <v>2342</v>
      </c>
    </row>
    <row r="502" spans="1:11" ht="141.75">
      <c r="A502" s="4" t="s">
        <v>620</v>
      </c>
      <c r="B502" s="4" t="s">
        <v>1091</v>
      </c>
      <c r="C502" s="8" t="s">
        <v>2401</v>
      </c>
      <c r="D502" s="8" t="s">
        <v>2401</v>
      </c>
      <c r="E502" s="8" t="s">
        <v>48</v>
      </c>
      <c r="F502" s="8" t="s">
        <v>2401</v>
      </c>
      <c r="G502" s="8" t="s">
        <v>63</v>
      </c>
      <c r="H502" s="8" t="s">
        <v>2771</v>
      </c>
      <c r="I502" s="8" t="s">
        <v>2772</v>
      </c>
      <c r="J502" s="8" t="s">
        <v>2341</v>
      </c>
      <c r="K502" s="8" t="s">
        <v>2342</v>
      </c>
    </row>
    <row r="503" spans="1:11" ht="47.25">
      <c r="A503" s="4" t="s">
        <v>620</v>
      </c>
      <c r="B503" s="4" t="s">
        <v>35</v>
      </c>
      <c r="C503" s="8" t="s">
        <v>50</v>
      </c>
      <c r="D503" s="8" t="s">
        <v>50</v>
      </c>
      <c r="E503" s="8" t="s">
        <v>48</v>
      </c>
      <c r="F503" s="8" t="s">
        <v>50</v>
      </c>
      <c r="G503" s="8" t="s">
        <v>63</v>
      </c>
      <c r="H503" s="8" t="s">
        <v>2358</v>
      </c>
      <c r="I503" s="8" t="s">
        <v>2773</v>
      </c>
      <c r="J503" s="8" t="s">
        <v>2341</v>
      </c>
      <c r="K503" s="8" t="s">
        <v>2342</v>
      </c>
    </row>
    <row r="504" spans="1:11" ht="47.25">
      <c r="A504" s="4" t="s">
        <v>628</v>
      </c>
      <c r="B504" s="4" t="s">
        <v>1028</v>
      </c>
      <c r="C504" s="8" t="s">
        <v>71</v>
      </c>
      <c r="D504" s="8" t="s">
        <v>71</v>
      </c>
      <c r="E504" s="8" t="s">
        <v>48</v>
      </c>
      <c r="F504" s="8" t="s">
        <v>71</v>
      </c>
      <c r="G504" s="8" t="s">
        <v>63</v>
      </c>
      <c r="H504" s="8" t="s">
        <v>2693</v>
      </c>
      <c r="I504" s="8" t="s">
        <v>2774</v>
      </c>
      <c r="J504" s="8" t="s">
        <v>2341</v>
      </c>
      <c r="K504" s="8" t="s">
        <v>2342</v>
      </c>
    </row>
    <row r="505" spans="1:11" ht="47.25">
      <c r="A505" s="4" t="s">
        <v>628</v>
      </c>
      <c r="B505" s="4" t="s">
        <v>1030</v>
      </c>
      <c r="C505" s="8" t="s">
        <v>57</v>
      </c>
      <c r="D505" s="8" t="s">
        <v>57</v>
      </c>
      <c r="E505" s="8" t="s">
        <v>48</v>
      </c>
      <c r="F505" s="8" t="s">
        <v>57</v>
      </c>
      <c r="G505" s="8" t="s">
        <v>63</v>
      </c>
      <c r="H505" s="8" t="s">
        <v>2343</v>
      </c>
      <c r="I505" s="8" t="s">
        <v>2775</v>
      </c>
      <c r="J505" s="8" t="s">
        <v>2341</v>
      </c>
      <c r="K505" s="8" t="s">
        <v>2342</v>
      </c>
    </row>
    <row r="506" spans="1:11" ht="47.25">
      <c r="A506" s="4" t="s">
        <v>628</v>
      </c>
      <c r="B506" s="4" t="s">
        <v>1032</v>
      </c>
      <c r="C506" s="8" t="s">
        <v>111</v>
      </c>
      <c r="D506" s="8" t="s">
        <v>111</v>
      </c>
      <c r="E506" s="8" t="s">
        <v>48</v>
      </c>
      <c r="F506" s="8" t="s">
        <v>111</v>
      </c>
      <c r="G506" s="8" t="s">
        <v>63</v>
      </c>
      <c r="H506" s="8" t="s">
        <v>2724</v>
      </c>
      <c r="I506" s="8" t="s">
        <v>2776</v>
      </c>
      <c r="J506" s="8" t="s">
        <v>2341</v>
      </c>
      <c r="K506" s="8" t="s">
        <v>2342</v>
      </c>
    </row>
    <row r="507" spans="1:11" ht="47.25">
      <c r="A507" s="4" t="s">
        <v>628</v>
      </c>
      <c r="B507" s="4" t="s">
        <v>1034</v>
      </c>
      <c r="C507" s="8" t="s">
        <v>74</v>
      </c>
      <c r="D507" s="8" t="s">
        <v>74</v>
      </c>
      <c r="E507" s="8" t="s">
        <v>48</v>
      </c>
      <c r="F507" s="8" t="s">
        <v>74</v>
      </c>
      <c r="G507" s="8" t="s">
        <v>63</v>
      </c>
      <c r="H507" s="8" t="s">
        <v>2726</v>
      </c>
      <c r="I507" s="8" t="s">
        <v>2777</v>
      </c>
      <c r="J507" s="8" t="s">
        <v>2341</v>
      </c>
      <c r="K507" s="8" t="s">
        <v>2342</v>
      </c>
    </row>
    <row r="508" spans="1:11" ht="47.25">
      <c r="A508" s="4" t="s">
        <v>628</v>
      </c>
      <c r="B508" s="4" t="s">
        <v>1038</v>
      </c>
      <c r="C508" s="8" t="s">
        <v>98</v>
      </c>
      <c r="D508" s="8" t="s">
        <v>98</v>
      </c>
      <c r="E508" s="8" t="s">
        <v>48</v>
      </c>
      <c r="F508" s="8" t="s">
        <v>98</v>
      </c>
      <c r="G508" s="8" t="s">
        <v>63</v>
      </c>
      <c r="H508" s="8" t="s">
        <v>2366</v>
      </c>
      <c r="I508" s="8" t="s">
        <v>2778</v>
      </c>
      <c r="J508" s="8" t="s">
        <v>2341</v>
      </c>
      <c r="K508" s="8" t="s">
        <v>2342</v>
      </c>
    </row>
    <row r="509" spans="1:11" ht="47.25">
      <c r="A509" s="4" t="s">
        <v>628</v>
      </c>
      <c r="B509" s="4" t="s">
        <v>1041</v>
      </c>
      <c r="C509" s="8" t="s">
        <v>49</v>
      </c>
      <c r="D509" s="8" t="s">
        <v>49</v>
      </c>
      <c r="E509" s="8" t="s">
        <v>48</v>
      </c>
      <c r="F509" s="8" t="s">
        <v>49</v>
      </c>
      <c r="G509" s="8" t="s">
        <v>63</v>
      </c>
      <c r="H509" s="8" t="s">
        <v>2351</v>
      </c>
      <c r="I509" s="8" t="s">
        <v>2778</v>
      </c>
      <c r="J509" s="8" t="s">
        <v>2341</v>
      </c>
      <c r="K509" s="8" t="s">
        <v>2342</v>
      </c>
    </row>
    <row r="510" spans="1:11" ht="110.25">
      <c r="A510" s="4" t="s">
        <v>628</v>
      </c>
      <c r="B510" s="4" t="s">
        <v>32</v>
      </c>
      <c r="C510" s="8" t="s">
        <v>89</v>
      </c>
      <c r="D510" s="8" t="s">
        <v>89</v>
      </c>
      <c r="E510" s="8" t="s">
        <v>48</v>
      </c>
      <c r="F510" s="8" t="s">
        <v>89</v>
      </c>
      <c r="G510" s="8" t="s">
        <v>63</v>
      </c>
      <c r="H510" s="8" t="s">
        <v>2779</v>
      </c>
      <c r="I510" s="8" t="s">
        <v>2778</v>
      </c>
      <c r="J510" s="8" t="s">
        <v>2341</v>
      </c>
      <c r="K510" s="8" t="s">
        <v>2342</v>
      </c>
    </row>
    <row r="511" spans="1:11" ht="47.25">
      <c r="A511" s="4" t="s">
        <v>628</v>
      </c>
      <c r="B511" s="4" t="s">
        <v>1090</v>
      </c>
      <c r="C511" s="8" t="s">
        <v>2353</v>
      </c>
      <c r="D511" s="8" t="s">
        <v>2353</v>
      </c>
      <c r="E511" s="8" t="s">
        <v>48</v>
      </c>
      <c r="F511" s="8" t="s">
        <v>2353</v>
      </c>
      <c r="G511" s="8" t="s">
        <v>63</v>
      </c>
      <c r="H511" s="8" t="s">
        <v>2354</v>
      </c>
      <c r="I511" s="8" t="s">
        <v>1617</v>
      </c>
      <c r="J511" s="8" t="s">
        <v>2341</v>
      </c>
      <c r="K511" s="8" t="s">
        <v>2342</v>
      </c>
    </row>
    <row r="512" spans="1:11" ht="141.75">
      <c r="A512" s="4" t="s">
        <v>628</v>
      </c>
      <c r="B512" s="4" t="s">
        <v>1091</v>
      </c>
      <c r="C512" s="8" t="s">
        <v>2401</v>
      </c>
      <c r="D512" s="8" t="s">
        <v>2401</v>
      </c>
      <c r="E512" s="8" t="s">
        <v>48</v>
      </c>
      <c r="F512" s="8" t="s">
        <v>2401</v>
      </c>
      <c r="G512" s="8" t="s">
        <v>63</v>
      </c>
      <c r="H512" s="8" t="s">
        <v>2780</v>
      </c>
      <c r="I512" s="8" t="s">
        <v>2781</v>
      </c>
      <c r="J512" s="8" t="s">
        <v>2341</v>
      </c>
      <c r="K512" s="8" t="s">
        <v>2342</v>
      </c>
    </row>
    <row r="513" spans="1:11" ht="47.25">
      <c r="A513" s="4" t="s">
        <v>628</v>
      </c>
      <c r="B513" s="4" t="s">
        <v>35</v>
      </c>
      <c r="C513" s="8" t="s">
        <v>50</v>
      </c>
      <c r="D513" s="8" t="s">
        <v>50</v>
      </c>
      <c r="E513" s="8" t="s">
        <v>48</v>
      </c>
      <c r="F513" s="8" t="s">
        <v>50</v>
      </c>
      <c r="G513" s="8" t="s">
        <v>63</v>
      </c>
      <c r="H513" s="8" t="s">
        <v>2358</v>
      </c>
      <c r="I513" s="8" t="s">
        <v>2782</v>
      </c>
      <c r="J513" s="8" t="s">
        <v>2341</v>
      </c>
      <c r="K513" s="8" t="s">
        <v>2342</v>
      </c>
    </row>
    <row r="514" spans="1:11" ht="47.25">
      <c r="A514" s="4" t="s">
        <v>637</v>
      </c>
      <c r="B514" s="4" t="s">
        <v>1028</v>
      </c>
      <c r="C514" s="8" t="s">
        <v>71</v>
      </c>
      <c r="D514" s="8" t="s">
        <v>71</v>
      </c>
      <c r="E514" s="8" t="s">
        <v>48</v>
      </c>
      <c r="F514" s="8" t="s">
        <v>71</v>
      </c>
      <c r="G514" s="8" t="s">
        <v>63</v>
      </c>
      <c r="H514" s="8" t="s">
        <v>2693</v>
      </c>
      <c r="I514" s="8" t="s">
        <v>2630</v>
      </c>
      <c r="J514" s="8" t="s">
        <v>2341</v>
      </c>
      <c r="K514" s="8" t="s">
        <v>2342</v>
      </c>
    </row>
    <row r="515" spans="1:11" ht="47.25">
      <c r="A515" s="4" t="s">
        <v>637</v>
      </c>
      <c r="B515" s="4" t="s">
        <v>1030</v>
      </c>
      <c r="C515" s="8" t="s">
        <v>72</v>
      </c>
      <c r="D515" s="8" t="s">
        <v>72</v>
      </c>
      <c r="E515" s="8" t="s">
        <v>48</v>
      </c>
      <c r="F515" s="8" t="s">
        <v>72</v>
      </c>
      <c r="G515" s="8" t="s">
        <v>63</v>
      </c>
      <c r="H515" s="8" t="s">
        <v>2695</v>
      </c>
      <c r="I515" s="8" t="s">
        <v>2694</v>
      </c>
      <c r="J515" s="8" t="s">
        <v>2341</v>
      </c>
      <c r="K515" s="8" t="s">
        <v>2342</v>
      </c>
    </row>
    <row r="516" spans="1:11" ht="47.25">
      <c r="A516" s="4" t="s">
        <v>637</v>
      </c>
      <c r="B516" s="4" t="s">
        <v>1032</v>
      </c>
      <c r="C516" s="8" t="s">
        <v>125</v>
      </c>
      <c r="D516" s="8" t="s">
        <v>125</v>
      </c>
      <c r="E516" s="8" t="s">
        <v>48</v>
      </c>
      <c r="F516" s="8" t="s">
        <v>125</v>
      </c>
      <c r="G516" s="8" t="s">
        <v>63</v>
      </c>
      <c r="H516" s="8" t="s">
        <v>2345</v>
      </c>
      <c r="I516" s="8" t="s">
        <v>2632</v>
      </c>
      <c r="J516" s="8" t="s">
        <v>2341</v>
      </c>
      <c r="K516" s="8" t="s">
        <v>2342</v>
      </c>
    </row>
    <row r="517" spans="1:11" ht="47.25">
      <c r="A517" s="4" t="s">
        <v>637</v>
      </c>
      <c r="B517" s="4" t="s">
        <v>1034</v>
      </c>
      <c r="C517" s="8" t="s">
        <v>74</v>
      </c>
      <c r="D517" s="8" t="s">
        <v>74</v>
      </c>
      <c r="E517" s="8" t="s">
        <v>48</v>
      </c>
      <c r="F517" s="8" t="s">
        <v>74</v>
      </c>
      <c r="G517" s="8" t="s">
        <v>63</v>
      </c>
      <c r="H517" s="8" t="s">
        <v>2726</v>
      </c>
      <c r="I517" s="8" t="s">
        <v>2783</v>
      </c>
      <c r="J517" s="8" t="s">
        <v>2341</v>
      </c>
      <c r="K517" s="8" t="s">
        <v>2342</v>
      </c>
    </row>
    <row r="518" spans="1:11" ht="47.25">
      <c r="A518" s="4" t="s">
        <v>637</v>
      </c>
      <c r="B518" s="4" t="s">
        <v>1038</v>
      </c>
      <c r="C518" s="8" t="s">
        <v>114</v>
      </c>
      <c r="D518" s="8" t="s">
        <v>114</v>
      </c>
      <c r="E518" s="8" t="s">
        <v>48</v>
      </c>
      <c r="F518" s="8" t="s">
        <v>114</v>
      </c>
      <c r="G518" s="8" t="s">
        <v>63</v>
      </c>
      <c r="H518" s="8" t="s">
        <v>2698</v>
      </c>
      <c r="I518" s="8" t="s">
        <v>1321</v>
      </c>
      <c r="J518" s="8" t="s">
        <v>2341</v>
      </c>
      <c r="K518" s="8" t="s">
        <v>2342</v>
      </c>
    </row>
    <row r="519" spans="1:11" ht="47.25">
      <c r="A519" s="4" t="s">
        <v>637</v>
      </c>
      <c r="B519" s="4" t="s">
        <v>1041</v>
      </c>
      <c r="C519" s="8" t="s">
        <v>64</v>
      </c>
      <c r="D519" s="8" t="s">
        <v>64</v>
      </c>
      <c r="E519" s="8" t="s">
        <v>48</v>
      </c>
      <c r="F519" s="8" t="s">
        <v>64</v>
      </c>
      <c r="G519" s="8" t="s">
        <v>63</v>
      </c>
      <c r="H519" s="8" t="s">
        <v>2700</v>
      </c>
      <c r="I519" s="8" t="s">
        <v>1321</v>
      </c>
      <c r="J519" s="8" t="s">
        <v>2341</v>
      </c>
      <c r="K519" s="8" t="s">
        <v>2342</v>
      </c>
    </row>
    <row r="520" spans="1:11" ht="47.25">
      <c r="A520" s="4" t="s">
        <v>637</v>
      </c>
      <c r="B520" s="4" t="s">
        <v>32</v>
      </c>
      <c r="C520" s="8" t="s">
        <v>68</v>
      </c>
      <c r="D520" s="8" t="s">
        <v>68</v>
      </c>
      <c r="E520" s="8" t="s">
        <v>48</v>
      </c>
      <c r="F520" s="8" t="s">
        <v>68</v>
      </c>
      <c r="G520" s="8" t="s">
        <v>63</v>
      </c>
      <c r="H520" s="8" t="s">
        <v>2701</v>
      </c>
      <c r="I520" s="8" t="s">
        <v>1321</v>
      </c>
      <c r="J520" s="8" t="s">
        <v>2341</v>
      </c>
      <c r="K520" s="8" t="s">
        <v>2342</v>
      </c>
    </row>
    <row r="521" spans="1:11" ht="47.25">
      <c r="A521" s="4" t="s">
        <v>637</v>
      </c>
      <c r="B521" s="4" t="s">
        <v>1090</v>
      </c>
      <c r="C521" s="8" t="s">
        <v>2353</v>
      </c>
      <c r="D521" s="8" t="s">
        <v>2353</v>
      </c>
      <c r="E521" s="8" t="s">
        <v>48</v>
      </c>
      <c r="F521" s="8" t="s">
        <v>2353</v>
      </c>
      <c r="G521" s="8" t="s">
        <v>63</v>
      </c>
      <c r="H521" s="8" t="s">
        <v>2354</v>
      </c>
      <c r="I521" s="8" t="s">
        <v>1617</v>
      </c>
      <c r="J521" s="8" t="s">
        <v>2341</v>
      </c>
      <c r="K521" s="8" t="s">
        <v>2342</v>
      </c>
    </row>
    <row r="522" spans="1:11" ht="47.25">
      <c r="A522" s="4" t="s">
        <v>637</v>
      </c>
      <c r="B522" s="4" t="s">
        <v>1091</v>
      </c>
      <c r="C522" s="8" t="s">
        <v>68</v>
      </c>
      <c r="D522" s="8" t="s">
        <v>68</v>
      </c>
      <c r="E522" s="8" t="s">
        <v>48</v>
      </c>
      <c r="F522" s="8" t="s">
        <v>68</v>
      </c>
      <c r="G522" s="8" t="s">
        <v>63</v>
      </c>
      <c r="H522" s="8" t="s">
        <v>2702</v>
      </c>
      <c r="I522" s="8" t="s">
        <v>2784</v>
      </c>
      <c r="J522" s="8" t="s">
        <v>2341</v>
      </c>
      <c r="K522" s="8" t="s">
        <v>2342</v>
      </c>
    </row>
    <row r="523" spans="1:11" ht="47.25">
      <c r="A523" s="4" t="s">
        <v>637</v>
      </c>
      <c r="B523" s="4" t="s">
        <v>35</v>
      </c>
      <c r="C523" s="8" t="s">
        <v>68</v>
      </c>
      <c r="D523" s="8" t="s">
        <v>68</v>
      </c>
      <c r="E523" s="8" t="s">
        <v>48</v>
      </c>
      <c r="F523" s="8" t="s">
        <v>68</v>
      </c>
      <c r="G523" s="8" t="s">
        <v>63</v>
      </c>
      <c r="H523" s="8" t="s">
        <v>2704</v>
      </c>
      <c r="I523" s="8" t="s">
        <v>2783</v>
      </c>
      <c r="J523" s="8" t="s">
        <v>2341</v>
      </c>
      <c r="K523" s="8" t="s">
        <v>2342</v>
      </c>
    </row>
    <row r="524" spans="1:11" ht="47.25">
      <c r="A524" s="4" t="s">
        <v>646</v>
      </c>
      <c r="B524" s="4" t="s">
        <v>1028</v>
      </c>
      <c r="C524" s="8" t="s">
        <v>71</v>
      </c>
      <c r="D524" s="8" t="s">
        <v>71</v>
      </c>
      <c r="E524" s="8" t="s">
        <v>48</v>
      </c>
      <c r="F524" s="8" t="s">
        <v>71</v>
      </c>
      <c r="G524" s="8" t="s">
        <v>63</v>
      </c>
      <c r="H524" s="8" t="s">
        <v>2693</v>
      </c>
      <c r="I524" s="8" t="s">
        <v>2785</v>
      </c>
      <c r="J524" s="8" t="s">
        <v>2341</v>
      </c>
      <c r="K524" s="8" t="s">
        <v>2342</v>
      </c>
    </row>
    <row r="525" spans="1:11" ht="47.25">
      <c r="A525" s="4" t="s">
        <v>646</v>
      </c>
      <c r="B525" s="4" t="s">
        <v>1030</v>
      </c>
      <c r="C525" s="8" t="s">
        <v>57</v>
      </c>
      <c r="D525" s="8" t="s">
        <v>57</v>
      </c>
      <c r="E525" s="8" t="s">
        <v>48</v>
      </c>
      <c r="F525" s="8" t="s">
        <v>57</v>
      </c>
      <c r="G525" s="8" t="s">
        <v>63</v>
      </c>
      <c r="H525" s="8" t="s">
        <v>2343</v>
      </c>
      <c r="I525" s="8" t="s">
        <v>2786</v>
      </c>
      <c r="J525" s="8" t="s">
        <v>2341</v>
      </c>
      <c r="K525" s="8" t="s">
        <v>2342</v>
      </c>
    </row>
    <row r="526" spans="1:11" ht="47.25">
      <c r="A526" s="4" t="s">
        <v>646</v>
      </c>
      <c r="B526" s="4" t="s">
        <v>1032</v>
      </c>
      <c r="C526" s="8" t="s">
        <v>58</v>
      </c>
      <c r="D526" s="8" t="s">
        <v>58</v>
      </c>
      <c r="E526" s="8" t="s">
        <v>48</v>
      </c>
      <c r="F526" s="8" t="s">
        <v>58</v>
      </c>
      <c r="G526" s="8" t="s">
        <v>63</v>
      </c>
      <c r="H526" s="8" t="s">
        <v>2597</v>
      </c>
      <c r="I526" s="8" t="s">
        <v>2787</v>
      </c>
      <c r="J526" s="8" t="s">
        <v>2341</v>
      </c>
      <c r="K526" s="8" t="s">
        <v>2342</v>
      </c>
    </row>
    <row r="527" spans="1:11" ht="47.25">
      <c r="A527" s="4" t="s">
        <v>646</v>
      </c>
      <c r="B527" s="4" t="s">
        <v>1034</v>
      </c>
      <c r="C527" s="8" t="s">
        <v>74</v>
      </c>
      <c r="D527" s="8" t="s">
        <v>74</v>
      </c>
      <c r="E527" s="8" t="s">
        <v>48</v>
      </c>
      <c r="F527" s="8" t="s">
        <v>74</v>
      </c>
      <c r="G527" s="8" t="s">
        <v>63</v>
      </c>
      <c r="H527" s="8" t="s">
        <v>2726</v>
      </c>
      <c r="I527" s="8" t="s">
        <v>2788</v>
      </c>
      <c r="J527" s="8" t="s">
        <v>2341</v>
      </c>
      <c r="K527" s="8" t="s">
        <v>2342</v>
      </c>
    </row>
    <row r="528" spans="1:11" ht="47.25">
      <c r="A528" s="4" t="s">
        <v>646</v>
      </c>
      <c r="B528" s="4" t="s">
        <v>1038</v>
      </c>
      <c r="C528" s="8" t="s">
        <v>98</v>
      </c>
      <c r="D528" s="8" t="s">
        <v>98</v>
      </c>
      <c r="E528" s="8" t="s">
        <v>48</v>
      </c>
      <c r="F528" s="8" t="s">
        <v>98</v>
      </c>
      <c r="G528" s="8" t="s">
        <v>63</v>
      </c>
      <c r="H528" s="8" t="s">
        <v>2366</v>
      </c>
      <c r="I528" s="8" t="s">
        <v>2789</v>
      </c>
      <c r="J528" s="8" t="s">
        <v>2341</v>
      </c>
      <c r="K528" s="8" t="s">
        <v>2342</v>
      </c>
    </row>
    <row r="529" spans="1:11" ht="47.25">
      <c r="A529" s="4" t="s">
        <v>646</v>
      </c>
      <c r="B529" s="4" t="s">
        <v>1041</v>
      </c>
      <c r="C529" s="8" t="s">
        <v>49</v>
      </c>
      <c r="D529" s="8" t="s">
        <v>49</v>
      </c>
      <c r="E529" s="8" t="s">
        <v>48</v>
      </c>
      <c r="F529" s="8" t="s">
        <v>49</v>
      </c>
      <c r="G529" s="8" t="s">
        <v>63</v>
      </c>
      <c r="H529" s="8" t="s">
        <v>2351</v>
      </c>
      <c r="I529" s="8" t="s">
        <v>2789</v>
      </c>
      <c r="J529" s="8" t="s">
        <v>2341</v>
      </c>
      <c r="K529" s="8" t="s">
        <v>2342</v>
      </c>
    </row>
    <row r="530" spans="1:11" ht="126">
      <c r="A530" s="4" t="s">
        <v>646</v>
      </c>
      <c r="B530" s="4" t="s">
        <v>32</v>
      </c>
      <c r="C530" s="8" t="s">
        <v>89</v>
      </c>
      <c r="D530" s="8" t="s">
        <v>89</v>
      </c>
      <c r="E530" s="8" t="s">
        <v>48</v>
      </c>
      <c r="F530" s="8" t="s">
        <v>89</v>
      </c>
      <c r="G530" s="8" t="s">
        <v>63</v>
      </c>
      <c r="H530" s="8" t="s">
        <v>2790</v>
      </c>
      <c r="I530" s="8" t="s">
        <v>2789</v>
      </c>
      <c r="J530" s="8" t="s">
        <v>2341</v>
      </c>
      <c r="K530" s="8" t="s">
        <v>2342</v>
      </c>
    </row>
    <row r="531" spans="1:11" ht="47.25">
      <c r="A531" s="4" t="s">
        <v>646</v>
      </c>
      <c r="B531" s="4" t="s">
        <v>1090</v>
      </c>
      <c r="C531" s="8" t="s">
        <v>2353</v>
      </c>
      <c r="D531" s="8" t="s">
        <v>2353</v>
      </c>
      <c r="E531" s="8" t="s">
        <v>48</v>
      </c>
      <c r="F531" s="8" t="s">
        <v>2353</v>
      </c>
      <c r="G531" s="8" t="s">
        <v>63</v>
      </c>
      <c r="H531" s="8" t="s">
        <v>2354</v>
      </c>
      <c r="I531" s="8" t="s">
        <v>1617</v>
      </c>
      <c r="J531" s="8" t="s">
        <v>2341</v>
      </c>
      <c r="K531" s="8" t="s">
        <v>2342</v>
      </c>
    </row>
    <row r="532" spans="1:11" ht="157.5">
      <c r="A532" s="4" t="s">
        <v>646</v>
      </c>
      <c r="B532" s="4" t="s">
        <v>1091</v>
      </c>
      <c r="C532" s="8" t="s">
        <v>2401</v>
      </c>
      <c r="D532" s="8" t="s">
        <v>2401</v>
      </c>
      <c r="E532" s="8" t="s">
        <v>48</v>
      </c>
      <c r="F532" s="8" t="s">
        <v>2401</v>
      </c>
      <c r="G532" s="8" t="s">
        <v>63</v>
      </c>
      <c r="H532" s="8" t="s">
        <v>2791</v>
      </c>
      <c r="I532" s="8" t="s">
        <v>2792</v>
      </c>
      <c r="J532" s="8" t="s">
        <v>2341</v>
      </c>
      <c r="K532" s="8" t="s">
        <v>2342</v>
      </c>
    </row>
    <row r="533" spans="1:11" ht="47.25">
      <c r="A533" s="4" t="s">
        <v>646</v>
      </c>
      <c r="B533" s="4" t="s">
        <v>35</v>
      </c>
      <c r="C533" s="8" t="s">
        <v>50</v>
      </c>
      <c r="D533" s="8" t="s">
        <v>50</v>
      </c>
      <c r="E533" s="8" t="s">
        <v>48</v>
      </c>
      <c r="F533" s="8" t="s">
        <v>50</v>
      </c>
      <c r="G533" s="8" t="s">
        <v>63</v>
      </c>
      <c r="H533" s="8" t="s">
        <v>2358</v>
      </c>
      <c r="I533" s="8" t="s">
        <v>2788</v>
      </c>
      <c r="J533" s="8" t="s">
        <v>2341</v>
      </c>
      <c r="K533" s="8" t="s">
        <v>2342</v>
      </c>
    </row>
    <row r="534" spans="1:11" ht="47.25">
      <c r="A534" s="4" t="s">
        <v>654</v>
      </c>
      <c r="B534" s="4" t="s">
        <v>1028</v>
      </c>
      <c r="C534" s="8" t="s">
        <v>71</v>
      </c>
      <c r="D534" s="8" t="s">
        <v>71</v>
      </c>
      <c r="E534" s="8" t="s">
        <v>48</v>
      </c>
      <c r="F534" s="8" t="s">
        <v>71</v>
      </c>
      <c r="G534" s="8" t="s">
        <v>63</v>
      </c>
      <c r="H534" s="8" t="s">
        <v>2693</v>
      </c>
      <c r="I534" s="8" t="s">
        <v>2793</v>
      </c>
      <c r="J534" s="8" t="s">
        <v>2341</v>
      </c>
      <c r="K534" s="8" t="s">
        <v>2342</v>
      </c>
    </row>
    <row r="535" spans="1:11" ht="47.25">
      <c r="A535" s="4" t="s">
        <v>654</v>
      </c>
      <c r="B535" s="4" t="s">
        <v>1030</v>
      </c>
      <c r="C535" s="8" t="s">
        <v>57</v>
      </c>
      <c r="D535" s="8" t="s">
        <v>57</v>
      </c>
      <c r="E535" s="8" t="s">
        <v>48</v>
      </c>
      <c r="F535" s="8" t="s">
        <v>57</v>
      </c>
      <c r="G535" s="8" t="s">
        <v>63</v>
      </c>
      <c r="H535" s="8" t="s">
        <v>2343</v>
      </c>
      <c r="I535" s="8" t="s">
        <v>2794</v>
      </c>
      <c r="J535" s="8" t="s">
        <v>2341</v>
      </c>
      <c r="K535" s="8" t="s">
        <v>2342</v>
      </c>
    </row>
    <row r="536" spans="1:11" ht="47.25">
      <c r="A536" s="4" t="s">
        <v>654</v>
      </c>
      <c r="B536" s="4" t="s">
        <v>1032</v>
      </c>
      <c r="C536" s="8" t="s">
        <v>111</v>
      </c>
      <c r="D536" s="8" t="s">
        <v>111</v>
      </c>
      <c r="E536" s="8" t="s">
        <v>48</v>
      </c>
      <c r="F536" s="8" t="s">
        <v>111</v>
      </c>
      <c r="G536" s="8" t="s">
        <v>63</v>
      </c>
      <c r="H536" s="8" t="s">
        <v>2724</v>
      </c>
      <c r="I536" s="8" t="s">
        <v>2795</v>
      </c>
      <c r="J536" s="8" t="s">
        <v>2341</v>
      </c>
      <c r="K536" s="8" t="s">
        <v>2342</v>
      </c>
    </row>
    <row r="537" spans="1:11" ht="47.25">
      <c r="A537" s="4" t="s">
        <v>654</v>
      </c>
      <c r="B537" s="4" t="s">
        <v>1034</v>
      </c>
      <c r="C537" s="8" t="s">
        <v>74</v>
      </c>
      <c r="D537" s="8" t="s">
        <v>74</v>
      </c>
      <c r="E537" s="8" t="s">
        <v>48</v>
      </c>
      <c r="F537" s="8" t="s">
        <v>74</v>
      </c>
      <c r="G537" s="8" t="s">
        <v>63</v>
      </c>
      <c r="H537" s="8" t="s">
        <v>2726</v>
      </c>
      <c r="I537" s="8" t="s">
        <v>2796</v>
      </c>
      <c r="J537" s="8" t="s">
        <v>2341</v>
      </c>
      <c r="K537" s="8" t="s">
        <v>2342</v>
      </c>
    </row>
    <row r="538" spans="1:11" ht="47.25">
      <c r="A538" s="4" t="s">
        <v>654</v>
      </c>
      <c r="B538" s="4" t="s">
        <v>1038</v>
      </c>
      <c r="C538" s="8" t="s">
        <v>76</v>
      </c>
      <c r="D538" s="8" t="s">
        <v>76</v>
      </c>
      <c r="E538" s="8" t="s">
        <v>48</v>
      </c>
      <c r="F538" s="8" t="s">
        <v>76</v>
      </c>
      <c r="G538" s="8" t="s">
        <v>63</v>
      </c>
      <c r="H538" s="8" t="s">
        <v>2797</v>
      </c>
      <c r="I538" s="8" t="s">
        <v>2798</v>
      </c>
      <c r="J538" s="8" t="s">
        <v>2341</v>
      </c>
      <c r="K538" s="8" t="s">
        <v>2342</v>
      </c>
    </row>
    <row r="539" spans="1:11" ht="47.25">
      <c r="A539" s="4" t="s">
        <v>654</v>
      </c>
      <c r="B539" s="4" t="s">
        <v>1041</v>
      </c>
      <c r="C539" s="8" t="s">
        <v>49</v>
      </c>
      <c r="D539" s="8" t="s">
        <v>49</v>
      </c>
      <c r="E539" s="8" t="s">
        <v>48</v>
      </c>
      <c r="F539" s="8" t="s">
        <v>49</v>
      </c>
      <c r="G539" s="8" t="s">
        <v>63</v>
      </c>
      <c r="H539" s="8" t="s">
        <v>2351</v>
      </c>
      <c r="I539" s="8" t="s">
        <v>2798</v>
      </c>
      <c r="J539" s="8" t="s">
        <v>2341</v>
      </c>
      <c r="K539" s="8" t="s">
        <v>2342</v>
      </c>
    </row>
    <row r="540" spans="1:11" ht="126">
      <c r="A540" s="4" t="s">
        <v>654</v>
      </c>
      <c r="B540" s="4" t="s">
        <v>32</v>
      </c>
      <c r="C540" s="8" t="s">
        <v>99</v>
      </c>
      <c r="D540" s="8" t="s">
        <v>99</v>
      </c>
      <c r="E540" s="8" t="s">
        <v>48</v>
      </c>
      <c r="F540" s="8" t="s">
        <v>99</v>
      </c>
      <c r="G540" s="8" t="s">
        <v>63</v>
      </c>
      <c r="H540" s="8" t="s">
        <v>2799</v>
      </c>
      <c r="I540" s="8" t="s">
        <v>2798</v>
      </c>
      <c r="J540" s="8" t="s">
        <v>2341</v>
      </c>
      <c r="K540" s="8" t="s">
        <v>2342</v>
      </c>
    </row>
    <row r="541" spans="1:11" ht="47.25">
      <c r="A541" s="4" t="s">
        <v>654</v>
      </c>
      <c r="B541" s="4" t="s">
        <v>1090</v>
      </c>
      <c r="C541" s="8" t="s">
        <v>2353</v>
      </c>
      <c r="D541" s="8" t="s">
        <v>2353</v>
      </c>
      <c r="E541" s="8" t="s">
        <v>48</v>
      </c>
      <c r="F541" s="8" t="s">
        <v>2353</v>
      </c>
      <c r="G541" s="8" t="s">
        <v>63</v>
      </c>
      <c r="H541" s="8" t="s">
        <v>2354</v>
      </c>
      <c r="I541" s="8" t="s">
        <v>1617</v>
      </c>
      <c r="J541" s="8" t="s">
        <v>2341</v>
      </c>
      <c r="K541" s="8" t="s">
        <v>2342</v>
      </c>
    </row>
    <row r="542" spans="1:11" ht="141.75">
      <c r="A542" s="4" t="s">
        <v>654</v>
      </c>
      <c r="B542" s="4" t="s">
        <v>1091</v>
      </c>
      <c r="C542" s="8" t="s">
        <v>2355</v>
      </c>
      <c r="D542" s="8" t="s">
        <v>2355</v>
      </c>
      <c r="E542" s="8" t="s">
        <v>48</v>
      </c>
      <c r="F542" s="8" t="s">
        <v>2355</v>
      </c>
      <c r="G542" s="8" t="s">
        <v>63</v>
      </c>
      <c r="H542" s="8" t="s">
        <v>2800</v>
      </c>
      <c r="I542" s="8" t="s">
        <v>2801</v>
      </c>
      <c r="J542" s="8" t="s">
        <v>2341</v>
      </c>
      <c r="K542" s="8" t="s">
        <v>2342</v>
      </c>
    </row>
    <row r="543" spans="1:11" ht="47.25">
      <c r="A543" s="4" t="s">
        <v>654</v>
      </c>
      <c r="B543" s="4" t="s">
        <v>35</v>
      </c>
      <c r="C543" s="8" t="s">
        <v>50</v>
      </c>
      <c r="D543" s="8" t="s">
        <v>50</v>
      </c>
      <c r="E543" s="8" t="s">
        <v>48</v>
      </c>
      <c r="F543" s="8" t="s">
        <v>50</v>
      </c>
      <c r="G543" s="8" t="s">
        <v>63</v>
      </c>
      <c r="H543" s="8" t="s">
        <v>2358</v>
      </c>
      <c r="I543" s="8" t="s">
        <v>2802</v>
      </c>
      <c r="J543" s="8" t="s">
        <v>2341</v>
      </c>
      <c r="K543" s="8" t="s">
        <v>2342</v>
      </c>
    </row>
    <row r="544" spans="1:11" ht="47.25">
      <c r="A544" s="4" t="s">
        <v>662</v>
      </c>
      <c r="B544" s="4" t="s">
        <v>1028</v>
      </c>
      <c r="C544" s="8" t="s">
        <v>71</v>
      </c>
      <c r="D544" s="8" t="s">
        <v>71</v>
      </c>
      <c r="E544" s="8" t="s">
        <v>48</v>
      </c>
      <c r="F544" s="8" t="s">
        <v>71</v>
      </c>
      <c r="G544" s="8" t="s">
        <v>63</v>
      </c>
      <c r="H544" s="8" t="s">
        <v>2693</v>
      </c>
      <c r="I544" s="8" t="s">
        <v>2803</v>
      </c>
      <c r="J544" s="8" t="s">
        <v>2341</v>
      </c>
      <c r="K544" s="8" t="s">
        <v>2342</v>
      </c>
    </row>
    <row r="545" spans="1:11" ht="47.25">
      <c r="A545" s="4" t="s">
        <v>662</v>
      </c>
      <c r="B545" s="4" t="s">
        <v>1030</v>
      </c>
      <c r="C545" s="8" t="s">
        <v>72</v>
      </c>
      <c r="D545" s="8" t="s">
        <v>72</v>
      </c>
      <c r="E545" s="8" t="s">
        <v>48</v>
      </c>
      <c r="F545" s="8" t="s">
        <v>72</v>
      </c>
      <c r="G545" s="8" t="s">
        <v>63</v>
      </c>
      <c r="H545" s="8" t="s">
        <v>2695</v>
      </c>
      <c r="I545" s="8" t="s">
        <v>2804</v>
      </c>
      <c r="J545" s="8" t="s">
        <v>2341</v>
      </c>
      <c r="K545" s="8" t="s">
        <v>2342</v>
      </c>
    </row>
    <row r="546" spans="1:11" ht="47.25">
      <c r="A546" s="4" t="s">
        <v>662</v>
      </c>
      <c r="B546" s="4" t="s">
        <v>1032</v>
      </c>
      <c r="C546" s="8" t="s">
        <v>140</v>
      </c>
      <c r="D546" s="8" t="s">
        <v>140</v>
      </c>
      <c r="E546" s="8" t="s">
        <v>48</v>
      </c>
      <c r="F546" s="8" t="s">
        <v>140</v>
      </c>
      <c r="G546" s="8" t="s">
        <v>63</v>
      </c>
      <c r="H546" s="8" t="s">
        <v>2696</v>
      </c>
      <c r="I546" s="8" t="s">
        <v>2805</v>
      </c>
      <c r="J546" s="8" t="s">
        <v>2341</v>
      </c>
      <c r="K546" s="8" t="s">
        <v>2342</v>
      </c>
    </row>
    <row r="547" spans="1:11" ht="47.25">
      <c r="A547" s="4" t="s">
        <v>662</v>
      </c>
      <c r="B547" s="4" t="s">
        <v>1034</v>
      </c>
      <c r="C547" s="8" t="s">
        <v>112</v>
      </c>
      <c r="D547" s="8" t="s">
        <v>112</v>
      </c>
      <c r="E547" s="8" t="s">
        <v>48</v>
      </c>
      <c r="F547" s="8" t="s">
        <v>112</v>
      </c>
      <c r="G547" s="8" t="s">
        <v>63</v>
      </c>
      <c r="H547" s="8" t="s">
        <v>2806</v>
      </c>
      <c r="I547" s="8" t="s">
        <v>2807</v>
      </c>
      <c r="J547" s="8" t="s">
        <v>2341</v>
      </c>
      <c r="K547" s="8" t="s">
        <v>2342</v>
      </c>
    </row>
    <row r="548" spans="1:11" ht="47.25">
      <c r="A548" s="4" t="s">
        <v>662</v>
      </c>
      <c r="B548" s="4" t="s">
        <v>1038</v>
      </c>
      <c r="C548" s="8" t="s">
        <v>107</v>
      </c>
      <c r="D548" s="8" t="s">
        <v>107</v>
      </c>
      <c r="E548" s="8" t="s">
        <v>48</v>
      </c>
      <c r="F548" s="8" t="s">
        <v>107</v>
      </c>
      <c r="G548" s="8" t="s">
        <v>63</v>
      </c>
      <c r="H548" s="8" t="s">
        <v>2349</v>
      </c>
      <c r="I548" s="8" t="s">
        <v>2808</v>
      </c>
      <c r="J548" s="8" t="s">
        <v>2341</v>
      </c>
      <c r="K548" s="8" t="s">
        <v>2342</v>
      </c>
    </row>
    <row r="549" spans="1:11" ht="47.25">
      <c r="A549" s="4" t="s">
        <v>662</v>
      </c>
      <c r="B549" s="4" t="s">
        <v>1041</v>
      </c>
      <c r="C549" s="8" t="s">
        <v>49</v>
      </c>
      <c r="D549" s="8" t="s">
        <v>49</v>
      </c>
      <c r="E549" s="8" t="s">
        <v>48</v>
      </c>
      <c r="F549" s="8" t="s">
        <v>49</v>
      </c>
      <c r="G549" s="8" t="s">
        <v>63</v>
      </c>
      <c r="H549" s="8" t="s">
        <v>2351</v>
      </c>
      <c r="I549" s="8" t="s">
        <v>2808</v>
      </c>
      <c r="J549" s="8" t="s">
        <v>2341</v>
      </c>
      <c r="K549" s="8" t="s">
        <v>2342</v>
      </c>
    </row>
    <row r="550" spans="1:11" ht="126">
      <c r="A550" s="4" t="s">
        <v>662</v>
      </c>
      <c r="B550" s="4" t="s">
        <v>32</v>
      </c>
      <c r="C550" s="8" t="s">
        <v>99</v>
      </c>
      <c r="D550" s="8" t="s">
        <v>99</v>
      </c>
      <c r="E550" s="8" t="s">
        <v>48</v>
      </c>
      <c r="F550" s="8" t="s">
        <v>99</v>
      </c>
      <c r="G550" s="8" t="s">
        <v>63</v>
      </c>
      <c r="H550" s="8" t="s">
        <v>2809</v>
      </c>
      <c r="I550" s="8" t="s">
        <v>2808</v>
      </c>
      <c r="J550" s="8" t="s">
        <v>2341</v>
      </c>
      <c r="K550" s="8" t="s">
        <v>2342</v>
      </c>
    </row>
    <row r="551" spans="1:11" ht="47.25">
      <c r="A551" s="4" t="s">
        <v>662</v>
      </c>
      <c r="B551" s="4" t="s">
        <v>1090</v>
      </c>
      <c r="C551" s="8" t="s">
        <v>2353</v>
      </c>
      <c r="D551" s="8" t="s">
        <v>2353</v>
      </c>
      <c r="E551" s="8" t="s">
        <v>48</v>
      </c>
      <c r="F551" s="8" t="s">
        <v>2353</v>
      </c>
      <c r="G551" s="8" t="s">
        <v>63</v>
      </c>
      <c r="H551" s="8" t="s">
        <v>2354</v>
      </c>
      <c r="I551" s="8" t="s">
        <v>1617</v>
      </c>
      <c r="J551" s="8" t="s">
        <v>2341</v>
      </c>
      <c r="K551" s="8" t="s">
        <v>2342</v>
      </c>
    </row>
    <row r="552" spans="1:11" ht="141.75">
      <c r="A552" s="4" t="s">
        <v>662</v>
      </c>
      <c r="B552" s="4" t="s">
        <v>1091</v>
      </c>
      <c r="C552" s="8" t="s">
        <v>2355</v>
      </c>
      <c r="D552" s="8" t="s">
        <v>2355</v>
      </c>
      <c r="E552" s="8" t="s">
        <v>48</v>
      </c>
      <c r="F552" s="8" t="s">
        <v>2355</v>
      </c>
      <c r="G552" s="8" t="s">
        <v>63</v>
      </c>
      <c r="H552" s="8" t="s">
        <v>2810</v>
      </c>
      <c r="I552" s="8" t="s">
        <v>2811</v>
      </c>
      <c r="J552" s="8" t="s">
        <v>2341</v>
      </c>
      <c r="K552" s="8" t="s">
        <v>2342</v>
      </c>
    </row>
    <row r="553" spans="1:11" ht="47.25">
      <c r="A553" s="4" t="s">
        <v>662</v>
      </c>
      <c r="B553" s="4" t="s">
        <v>35</v>
      </c>
      <c r="C553" s="8" t="s">
        <v>50</v>
      </c>
      <c r="D553" s="8" t="s">
        <v>50</v>
      </c>
      <c r="E553" s="8" t="s">
        <v>48</v>
      </c>
      <c r="F553" s="8" t="s">
        <v>50</v>
      </c>
      <c r="G553" s="8" t="s">
        <v>63</v>
      </c>
      <c r="H553" s="8" t="s">
        <v>2358</v>
      </c>
      <c r="I553" s="8" t="s">
        <v>2812</v>
      </c>
      <c r="J553" s="8" t="s">
        <v>2341</v>
      </c>
      <c r="K553" s="8" t="s">
        <v>2342</v>
      </c>
    </row>
    <row r="554" spans="1:11" ht="47.25">
      <c r="A554" s="4" t="s">
        <v>671</v>
      </c>
      <c r="B554" s="4" t="s">
        <v>1028</v>
      </c>
      <c r="C554" s="8" t="s">
        <v>71</v>
      </c>
      <c r="D554" s="8" t="s">
        <v>71</v>
      </c>
      <c r="E554" s="8" t="s">
        <v>48</v>
      </c>
      <c r="F554" s="8" t="s">
        <v>71</v>
      </c>
      <c r="G554" s="8" t="s">
        <v>63</v>
      </c>
      <c r="H554" s="8" t="s">
        <v>2693</v>
      </c>
      <c r="I554" s="8" t="s">
        <v>2694</v>
      </c>
      <c r="J554" s="8" t="s">
        <v>2341</v>
      </c>
      <c r="K554" s="8" t="s">
        <v>2342</v>
      </c>
    </row>
    <row r="555" spans="1:11" ht="47.25">
      <c r="A555" s="4" t="s">
        <v>671</v>
      </c>
      <c r="B555" s="4" t="s">
        <v>1030</v>
      </c>
      <c r="C555" s="8" t="s">
        <v>57</v>
      </c>
      <c r="D555" s="8" t="s">
        <v>57</v>
      </c>
      <c r="E555" s="8" t="s">
        <v>48</v>
      </c>
      <c r="F555" s="8" t="s">
        <v>57</v>
      </c>
      <c r="G555" s="8" t="s">
        <v>63</v>
      </c>
      <c r="H555" s="8" t="s">
        <v>2343</v>
      </c>
      <c r="I555" s="8" t="s">
        <v>2631</v>
      </c>
      <c r="J555" s="8" t="s">
        <v>2341</v>
      </c>
      <c r="K555" s="8" t="s">
        <v>2342</v>
      </c>
    </row>
    <row r="556" spans="1:11" ht="47.25">
      <c r="A556" s="4" t="s">
        <v>671</v>
      </c>
      <c r="B556" s="4" t="s">
        <v>1032</v>
      </c>
      <c r="C556" s="8" t="s">
        <v>125</v>
      </c>
      <c r="D556" s="8" t="s">
        <v>125</v>
      </c>
      <c r="E556" s="8" t="s">
        <v>48</v>
      </c>
      <c r="F556" s="8" t="s">
        <v>125</v>
      </c>
      <c r="G556" s="8" t="s">
        <v>63</v>
      </c>
      <c r="H556" s="8" t="s">
        <v>2345</v>
      </c>
      <c r="I556" s="8" t="s">
        <v>1321</v>
      </c>
      <c r="J556" s="8" t="s">
        <v>2341</v>
      </c>
      <c r="K556" s="8" t="s">
        <v>2342</v>
      </c>
    </row>
    <row r="557" spans="1:11" ht="47.25">
      <c r="A557" s="4" t="s">
        <v>671</v>
      </c>
      <c r="B557" s="4" t="s">
        <v>1034</v>
      </c>
      <c r="C557" s="8" t="s">
        <v>74</v>
      </c>
      <c r="D557" s="8" t="s">
        <v>74</v>
      </c>
      <c r="E557" s="8" t="s">
        <v>48</v>
      </c>
      <c r="F557" s="8" t="s">
        <v>74</v>
      </c>
      <c r="G557" s="8" t="s">
        <v>63</v>
      </c>
      <c r="H557" s="8" t="s">
        <v>2726</v>
      </c>
      <c r="I557" s="8" t="s">
        <v>2697</v>
      </c>
      <c r="J557" s="8" t="s">
        <v>2341</v>
      </c>
      <c r="K557" s="8" t="s">
        <v>2342</v>
      </c>
    </row>
    <row r="558" spans="1:11" ht="47.25">
      <c r="A558" s="4" t="s">
        <v>671</v>
      </c>
      <c r="B558" s="4" t="s">
        <v>1038</v>
      </c>
      <c r="C558" s="8" t="s">
        <v>107</v>
      </c>
      <c r="D558" s="8" t="s">
        <v>107</v>
      </c>
      <c r="E558" s="8" t="s">
        <v>48</v>
      </c>
      <c r="F558" s="8" t="s">
        <v>107</v>
      </c>
      <c r="G558" s="8" t="s">
        <v>63</v>
      </c>
      <c r="H558" s="8" t="s">
        <v>2349</v>
      </c>
      <c r="I558" s="8" t="s">
        <v>2813</v>
      </c>
      <c r="J558" s="8" t="s">
        <v>2341</v>
      </c>
      <c r="K558" s="8" t="s">
        <v>2342</v>
      </c>
    </row>
    <row r="559" spans="1:11" ht="47.25">
      <c r="A559" s="4" t="s">
        <v>671</v>
      </c>
      <c r="B559" s="4" t="s">
        <v>1041</v>
      </c>
      <c r="C559" s="8" t="s">
        <v>49</v>
      </c>
      <c r="D559" s="8" t="s">
        <v>49</v>
      </c>
      <c r="E559" s="8" t="s">
        <v>48</v>
      </c>
      <c r="F559" s="8" t="s">
        <v>49</v>
      </c>
      <c r="G559" s="8" t="s">
        <v>63</v>
      </c>
      <c r="H559" s="8" t="s">
        <v>2351</v>
      </c>
      <c r="I559" s="8" t="s">
        <v>2813</v>
      </c>
      <c r="J559" s="8" t="s">
        <v>2341</v>
      </c>
      <c r="K559" s="8" t="s">
        <v>2342</v>
      </c>
    </row>
    <row r="560" spans="1:11" ht="126">
      <c r="A560" s="4" t="s">
        <v>671</v>
      </c>
      <c r="B560" s="4" t="s">
        <v>32</v>
      </c>
      <c r="C560" s="8" t="s">
        <v>99</v>
      </c>
      <c r="D560" s="8" t="s">
        <v>99</v>
      </c>
      <c r="E560" s="8" t="s">
        <v>48</v>
      </c>
      <c r="F560" s="8" t="s">
        <v>99</v>
      </c>
      <c r="G560" s="8" t="s">
        <v>63</v>
      </c>
      <c r="H560" s="8" t="s">
        <v>2814</v>
      </c>
      <c r="I560" s="8" t="s">
        <v>2813</v>
      </c>
      <c r="J560" s="8" t="s">
        <v>2341</v>
      </c>
      <c r="K560" s="8" t="s">
        <v>2342</v>
      </c>
    </row>
    <row r="561" spans="1:11" ht="47.25">
      <c r="A561" s="4" t="s">
        <v>671</v>
      </c>
      <c r="B561" s="4" t="s">
        <v>1090</v>
      </c>
      <c r="C561" s="8" t="s">
        <v>2353</v>
      </c>
      <c r="D561" s="8" t="s">
        <v>2353</v>
      </c>
      <c r="E561" s="8" t="s">
        <v>48</v>
      </c>
      <c r="F561" s="8" t="s">
        <v>2353</v>
      </c>
      <c r="G561" s="8" t="s">
        <v>63</v>
      </c>
      <c r="H561" s="8" t="s">
        <v>2354</v>
      </c>
      <c r="I561" s="8" t="s">
        <v>1617</v>
      </c>
      <c r="J561" s="8" t="s">
        <v>2341</v>
      </c>
      <c r="K561" s="8" t="s">
        <v>2342</v>
      </c>
    </row>
    <row r="562" spans="1:11" ht="141.75">
      <c r="A562" s="4" t="s">
        <v>671</v>
      </c>
      <c r="B562" s="4" t="s">
        <v>1091</v>
      </c>
      <c r="C562" s="8" t="s">
        <v>2355</v>
      </c>
      <c r="D562" s="8" t="s">
        <v>2355</v>
      </c>
      <c r="E562" s="8" t="s">
        <v>48</v>
      </c>
      <c r="F562" s="8" t="s">
        <v>2355</v>
      </c>
      <c r="G562" s="8" t="s">
        <v>63</v>
      </c>
      <c r="H562" s="8" t="s">
        <v>2815</v>
      </c>
      <c r="I562" s="8" t="s">
        <v>2697</v>
      </c>
      <c r="J562" s="8" t="s">
        <v>2341</v>
      </c>
      <c r="K562" s="8" t="s">
        <v>2342</v>
      </c>
    </row>
    <row r="563" spans="1:11" ht="47.25">
      <c r="A563" s="4" t="s">
        <v>671</v>
      </c>
      <c r="B563" s="4" t="s">
        <v>35</v>
      </c>
      <c r="C563" s="8" t="s">
        <v>50</v>
      </c>
      <c r="D563" s="8" t="s">
        <v>50</v>
      </c>
      <c r="E563" s="8" t="s">
        <v>48</v>
      </c>
      <c r="F563" s="8" t="s">
        <v>50</v>
      </c>
      <c r="G563" s="8" t="s">
        <v>63</v>
      </c>
      <c r="H563" s="8" t="s">
        <v>2358</v>
      </c>
      <c r="I563" s="8" t="s">
        <v>1321</v>
      </c>
      <c r="J563" s="8" t="s">
        <v>2341</v>
      </c>
      <c r="K563" s="8" t="s">
        <v>2342</v>
      </c>
    </row>
    <row r="564" spans="1:11" ht="47.25">
      <c r="A564" s="4" t="s">
        <v>680</v>
      </c>
      <c r="B564" s="4" t="s">
        <v>1028</v>
      </c>
      <c r="C564" s="8" t="s">
        <v>71</v>
      </c>
      <c r="D564" s="8" t="s">
        <v>71</v>
      </c>
      <c r="E564" s="8" t="s">
        <v>48</v>
      </c>
      <c r="F564" s="8" t="s">
        <v>71</v>
      </c>
      <c r="G564" s="8" t="s">
        <v>63</v>
      </c>
      <c r="H564" s="8" t="s">
        <v>2693</v>
      </c>
      <c r="I564" s="8" t="s">
        <v>2816</v>
      </c>
      <c r="J564" s="8" t="s">
        <v>2341</v>
      </c>
      <c r="K564" s="8" t="s">
        <v>2342</v>
      </c>
    </row>
    <row r="565" spans="1:11" ht="47.25">
      <c r="A565" s="4" t="s">
        <v>680</v>
      </c>
      <c r="B565" s="4" t="s">
        <v>1030</v>
      </c>
      <c r="C565" s="8" t="s">
        <v>72</v>
      </c>
      <c r="D565" s="8" t="s">
        <v>72</v>
      </c>
      <c r="E565" s="8" t="s">
        <v>48</v>
      </c>
      <c r="F565" s="8" t="s">
        <v>72</v>
      </c>
      <c r="G565" s="8" t="s">
        <v>63</v>
      </c>
      <c r="H565" s="8" t="s">
        <v>2695</v>
      </c>
      <c r="I565" s="8" t="s">
        <v>2766</v>
      </c>
      <c r="J565" s="8" t="s">
        <v>2341</v>
      </c>
      <c r="K565" s="8" t="s">
        <v>2342</v>
      </c>
    </row>
    <row r="566" spans="1:11" ht="47.25">
      <c r="A566" s="4" t="s">
        <v>680</v>
      </c>
      <c r="B566" s="4" t="s">
        <v>1032</v>
      </c>
      <c r="C566" s="8" t="s">
        <v>140</v>
      </c>
      <c r="D566" s="8" t="s">
        <v>140</v>
      </c>
      <c r="E566" s="8" t="s">
        <v>48</v>
      </c>
      <c r="F566" s="8" t="s">
        <v>140</v>
      </c>
      <c r="G566" s="8" t="s">
        <v>63</v>
      </c>
      <c r="H566" s="8" t="s">
        <v>2696</v>
      </c>
      <c r="I566" s="8" t="s">
        <v>2715</v>
      </c>
      <c r="J566" s="8" t="s">
        <v>2341</v>
      </c>
      <c r="K566" s="8" t="s">
        <v>2342</v>
      </c>
    </row>
    <row r="567" spans="1:11" ht="47.25">
      <c r="A567" s="4" t="s">
        <v>680</v>
      </c>
      <c r="B567" s="4" t="s">
        <v>1034</v>
      </c>
      <c r="C567" s="8" t="s">
        <v>112</v>
      </c>
      <c r="D567" s="8" t="s">
        <v>112</v>
      </c>
      <c r="E567" s="8" t="s">
        <v>48</v>
      </c>
      <c r="F567" s="8" t="s">
        <v>112</v>
      </c>
      <c r="G567" s="8" t="s">
        <v>63</v>
      </c>
      <c r="H567" s="8" t="s">
        <v>2806</v>
      </c>
      <c r="I567" s="8" t="s">
        <v>2817</v>
      </c>
      <c r="J567" s="8" t="s">
        <v>2341</v>
      </c>
      <c r="K567" s="8" t="s">
        <v>2342</v>
      </c>
    </row>
    <row r="568" spans="1:11" ht="47.25">
      <c r="A568" s="4" t="s">
        <v>680</v>
      </c>
      <c r="B568" s="4" t="s">
        <v>1038</v>
      </c>
      <c r="C568" s="8" t="s">
        <v>114</v>
      </c>
      <c r="D568" s="8" t="s">
        <v>114</v>
      </c>
      <c r="E568" s="8" t="s">
        <v>48</v>
      </c>
      <c r="F568" s="8" t="s">
        <v>114</v>
      </c>
      <c r="G568" s="8" t="s">
        <v>63</v>
      </c>
      <c r="H568" s="8" t="s">
        <v>2698</v>
      </c>
      <c r="I568" s="8" t="s">
        <v>2818</v>
      </c>
      <c r="J568" s="8" t="s">
        <v>2341</v>
      </c>
      <c r="K568" s="8" t="s">
        <v>2342</v>
      </c>
    </row>
    <row r="569" spans="1:11" ht="47.25">
      <c r="A569" s="4" t="s">
        <v>680</v>
      </c>
      <c r="B569" s="4" t="s">
        <v>1041</v>
      </c>
      <c r="C569" s="8" t="s">
        <v>64</v>
      </c>
      <c r="D569" s="8" t="s">
        <v>64</v>
      </c>
      <c r="E569" s="8" t="s">
        <v>48</v>
      </c>
      <c r="F569" s="8" t="s">
        <v>64</v>
      </c>
      <c r="G569" s="8" t="s">
        <v>63</v>
      </c>
      <c r="H569" s="8" t="s">
        <v>2700</v>
      </c>
      <c r="I569" s="8" t="s">
        <v>2818</v>
      </c>
      <c r="J569" s="8" t="s">
        <v>2341</v>
      </c>
      <c r="K569" s="8" t="s">
        <v>2342</v>
      </c>
    </row>
    <row r="570" spans="1:11" ht="47.25">
      <c r="A570" s="4" t="s">
        <v>680</v>
      </c>
      <c r="B570" s="4" t="s">
        <v>32</v>
      </c>
      <c r="C570" s="8" t="s">
        <v>68</v>
      </c>
      <c r="D570" s="8" t="s">
        <v>68</v>
      </c>
      <c r="E570" s="8" t="s">
        <v>48</v>
      </c>
      <c r="F570" s="8" t="s">
        <v>68</v>
      </c>
      <c r="G570" s="8" t="s">
        <v>63</v>
      </c>
      <c r="H570" s="8" t="s">
        <v>2701</v>
      </c>
      <c r="I570" s="8" t="s">
        <v>2818</v>
      </c>
      <c r="J570" s="8" t="s">
        <v>2341</v>
      </c>
      <c r="K570" s="8" t="s">
        <v>2342</v>
      </c>
    </row>
    <row r="571" spans="1:11" ht="47.25">
      <c r="A571" s="4" t="s">
        <v>680</v>
      </c>
      <c r="B571" s="4" t="s">
        <v>1090</v>
      </c>
      <c r="C571" s="8" t="s">
        <v>2353</v>
      </c>
      <c r="D571" s="8" t="s">
        <v>2353</v>
      </c>
      <c r="E571" s="8" t="s">
        <v>48</v>
      </c>
      <c r="F571" s="8" t="s">
        <v>2353</v>
      </c>
      <c r="G571" s="8" t="s">
        <v>63</v>
      </c>
      <c r="H571" s="8" t="s">
        <v>2354</v>
      </c>
      <c r="I571" s="8" t="s">
        <v>1617</v>
      </c>
      <c r="J571" s="8" t="s">
        <v>2341</v>
      </c>
      <c r="K571" s="8" t="s">
        <v>2342</v>
      </c>
    </row>
    <row r="572" spans="1:11" ht="47.25">
      <c r="A572" s="4" t="s">
        <v>680</v>
      </c>
      <c r="B572" s="4" t="s">
        <v>1091</v>
      </c>
      <c r="C572" s="8" t="s">
        <v>68</v>
      </c>
      <c r="D572" s="8" t="s">
        <v>68</v>
      </c>
      <c r="E572" s="8" t="s">
        <v>48</v>
      </c>
      <c r="F572" s="8" t="s">
        <v>68</v>
      </c>
      <c r="G572" s="8" t="s">
        <v>63</v>
      </c>
      <c r="H572" s="8" t="s">
        <v>2702</v>
      </c>
      <c r="I572" s="8" t="s">
        <v>2819</v>
      </c>
      <c r="J572" s="8" t="s">
        <v>2341</v>
      </c>
      <c r="K572" s="8" t="s">
        <v>2342</v>
      </c>
    </row>
    <row r="573" spans="1:11" ht="47.25">
      <c r="A573" s="4" t="s">
        <v>680</v>
      </c>
      <c r="B573" s="4" t="s">
        <v>35</v>
      </c>
      <c r="C573" s="8" t="s">
        <v>68</v>
      </c>
      <c r="D573" s="8" t="s">
        <v>68</v>
      </c>
      <c r="E573" s="8" t="s">
        <v>48</v>
      </c>
      <c r="F573" s="8" t="s">
        <v>68</v>
      </c>
      <c r="G573" s="8" t="s">
        <v>63</v>
      </c>
      <c r="H573" s="8" t="s">
        <v>2704</v>
      </c>
      <c r="I573" s="8" t="s">
        <v>2820</v>
      </c>
      <c r="J573" s="8" t="s">
        <v>2341</v>
      </c>
      <c r="K573" s="8" t="s">
        <v>2342</v>
      </c>
    </row>
    <row r="574" spans="1:11" ht="47.25">
      <c r="A574" s="4" t="s">
        <v>689</v>
      </c>
      <c r="B574" s="4" t="s">
        <v>1028</v>
      </c>
      <c r="C574" s="8" t="s">
        <v>71</v>
      </c>
      <c r="D574" s="8" t="s">
        <v>71</v>
      </c>
      <c r="E574" s="8" t="s">
        <v>48</v>
      </c>
      <c r="F574" s="8" t="s">
        <v>71</v>
      </c>
      <c r="G574" s="8" t="s">
        <v>63</v>
      </c>
      <c r="H574" s="8" t="s">
        <v>2693</v>
      </c>
      <c r="I574" s="8" t="s">
        <v>2617</v>
      </c>
      <c r="J574" s="8" t="s">
        <v>2341</v>
      </c>
      <c r="K574" s="8" t="s">
        <v>2342</v>
      </c>
    </row>
    <row r="575" spans="1:11" ht="47.25">
      <c r="A575" s="4" t="s">
        <v>689</v>
      </c>
      <c r="B575" s="4" t="s">
        <v>1030</v>
      </c>
      <c r="C575" s="8" t="s">
        <v>57</v>
      </c>
      <c r="D575" s="8" t="s">
        <v>57</v>
      </c>
      <c r="E575" s="8" t="s">
        <v>48</v>
      </c>
      <c r="F575" s="8" t="s">
        <v>57</v>
      </c>
      <c r="G575" s="8" t="s">
        <v>63</v>
      </c>
      <c r="H575" s="8" t="s">
        <v>2343</v>
      </c>
      <c r="I575" s="8" t="s">
        <v>2821</v>
      </c>
      <c r="J575" s="8" t="s">
        <v>2341</v>
      </c>
      <c r="K575" s="8" t="s">
        <v>2342</v>
      </c>
    </row>
    <row r="576" spans="1:11" ht="47.25">
      <c r="A576" s="4" t="s">
        <v>689</v>
      </c>
      <c r="B576" s="4" t="s">
        <v>1032</v>
      </c>
      <c r="C576" s="8" t="s">
        <v>111</v>
      </c>
      <c r="D576" s="8" t="s">
        <v>111</v>
      </c>
      <c r="E576" s="8" t="s">
        <v>48</v>
      </c>
      <c r="F576" s="8" t="s">
        <v>111</v>
      </c>
      <c r="G576" s="8" t="s">
        <v>63</v>
      </c>
      <c r="H576" s="8" t="s">
        <v>2724</v>
      </c>
      <c r="I576" s="8" t="s">
        <v>2619</v>
      </c>
      <c r="J576" s="8" t="s">
        <v>2341</v>
      </c>
      <c r="K576" s="8" t="s">
        <v>2342</v>
      </c>
    </row>
    <row r="577" spans="1:11" ht="47.25">
      <c r="A577" s="4" t="s">
        <v>689</v>
      </c>
      <c r="B577" s="4" t="s">
        <v>1034</v>
      </c>
      <c r="C577" s="8" t="s">
        <v>59</v>
      </c>
      <c r="D577" s="8" t="s">
        <v>59</v>
      </c>
      <c r="E577" s="8" t="s">
        <v>48</v>
      </c>
      <c r="F577" s="8" t="s">
        <v>59</v>
      </c>
      <c r="G577" s="8" t="s">
        <v>63</v>
      </c>
      <c r="H577" s="8" t="s">
        <v>2364</v>
      </c>
      <c r="I577" s="8" t="s">
        <v>2822</v>
      </c>
      <c r="J577" s="8" t="s">
        <v>2341</v>
      </c>
      <c r="K577" s="8" t="s">
        <v>2342</v>
      </c>
    </row>
    <row r="578" spans="1:11" ht="47.25">
      <c r="A578" s="4" t="s">
        <v>689</v>
      </c>
      <c r="B578" s="4" t="s">
        <v>1038</v>
      </c>
      <c r="C578" s="8" t="s">
        <v>76</v>
      </c>
      <c r="D578" s="8" t="s">
        <v>76</v>
      </c>
      <c r="E578" s="8" t="s">
        <v>48</v>
      </c>
      <c r="F578" s="8" t="s">
        <v>76</v>
      </c>
      <c r="G578" s="8" t="s">
        <v>63</v>
      </c>
      <c r="H578" s="8" t="s">
        <v>2797</v>
      </c>
      <c r="I578" s="8" t="s">
        <v>2823</v>
      </c>
      <c r="J578" s="8" t="s">
        <v>2341</v>
      </c>
      <c r="K578" s="8" t="s">
        <v>2342</v>
      </c>
    </row>
    <row r="579" spans="1:11" ht="47.25">
      <c r="A579" s="4" t="s">
        <v>689</v>
      </c>
      <c r="B579" s="4" t="s">
        <v>1041</v>
      </c>
      <c r="C579" s="8" t="s">
        <v>49</v>
      </c>
      <c r="D579" s="8" t="s">
        <v>49</v>
      </c>
      <c r="E579" s="8" t="s">
        <v>48</v>
      </c>
      <c r="F579" s="8" t="s">
        <v>49</v>
      </c>
      <c r="G579" s="8" t="s">
        <v>63</v>
      </c>
      <c r="H579" s="8" t="s">
        <v>2351</v>
      </c>
      <c r="I579" s="8" t="s">
        <v>2823</v>
      </c>
      <c r="J579" s="8" t="s">
        <v>2341</v>
      </c>
      <c r="K579" s="8" t="s">
        <v>2342</v>
      </c>
    </row>
    <row r="580" spans="1:11" ht="126">
      <c r="A580" s="4" t="s">
        <v>689</v>
      </c>
      <c r="B580" s="4" t="s">
        <v>32</v>
      </c>
      <c r="C580" s="8" t="s">
        <v>62</v>
      </c>
      <c r="D580" s="8" t="s">
        <v>62</v>
      </c>
      <c r="E580" s="8" t="s">
        <v>48</v>
      </c>
      <c r="F580" s="8" t="s">
        <v>62</v>
      </c>
      <c r="G580" s="8" t="s">
        <v>63</v>
      </c>
      <c r="H580" s="8" t="s">
        <v>2824</v>
      </c>
      <c r="I580" s="8" t="s">
        <v>2823</v>
      </c>
      <c r="J580" s="8" t="s">
        <v>2341</v>
      </c>
      <c r="K580" s="8" t="s">
        <v>2342</v>
      </c>
    </row>
    <row r="581" spans="1:11" ht="47.25">
      <c r="A581" s="4" t="s">
        <v>689</v>
      </c>
      <c r="B581" s="4" t="s">
        <v>1090</v>
      </c>
      <c r="C581" s="8" t="s">
        <v>2353</v>
      </c>
      <c r="D581" s="8" t="s">
        <v>2353</v>
      </c>
      <c r="E581" s="8" t="s">
        <v>48</v>
      </c>
      <c r="F581" s="8" t="s">
        <v>2353</v>
      </c>
      <c r="G581" s="8" t="s">
        <v>63</v>
      </c>
      <c r="H581" s="8" t="s">
        <v>2354</v>
      </c>
      <c r="I581" s="8" t="s">
        <v>1617</v>
      </c>
      <c r="J581" s="8" t="s">
        <v>2341</v>
      </c>
      <c r="K581" s="8" t="s">
        <v>2342</v>
      </c>
    </row>
    <row r="582" spans="1:11" ht="141.75">
      <c r="A582" s="4" t="s">
        <v>689</v>
      </c>
      <c r="B582" s="4" t="s">
        <v>1091</v>
      </c>
      <c r="C582" s="8" t="s">
        <v>2390</v>
      </c>
      <c r="D582" s="8" t="s">
        <v>2390</v>
      </c>
      <c r="E582" s="8" t="s">
        <v>48</v>
      </c>
      <c r="F582" s="8" t="s">
        <v>2390</v>
      </c>
      <c r="G582" s="8" t="s">
        <v>63</v>
      </c>
      <c r="H582" s="8" t="s">
        <v>2825</v>
      </c>
      <c r="I582" s="8" t="s">
        <v>2826</v>
      </c>
      <c r="J582" s="8" t="s">
        <v>2341</v>
      </c>
      <c r="K582" s="8" t="s">
        <v>2342</v>
      </c>
    </row>
    <row r="583" spans="1:11" ht="47.25">
      <c r="A583" s="4" t="s">
        <v>689</v>
      </c>
      <c r="B583" s="4" t="s">
        <v>35</v>
      </c>
      <c r="C583" s="8" t="s">
        <v>50</v>
      </c>
      <c r="D583" s="8" t="s">
        <v>50</v>
      </c>
      <c r="E583" s="8" t="s">
        <v>48</v>
      </c>
      <c r="F583" s="8" t="s">
        <v>50</v>
      </c>
      <c r="G583" s="8" t="s">
        <v>63</v>
      </c>
      <c r="H583" s="8" t="s">
        <v>2358</v>
      </c>
      <c r="I583" s="8" t="s">
        <v>2822</v>
      </c>
      <c r="J583" s="8" t="s">
        <v>2341</v>
      </c>
      <c r="K583" s="8" t="s">
        <v>2342</v>
      </c>
    </row>
    <row r="584" spans="1:11" ht="47.25">
      <c r="A584" s="4" t="s">
        <v>698</v>
      </c>
      <c r="B584" s="4" t="s">
        <v>1028</v>
      </c>
      <c r="C584" s="8" t="s">
        <v>71</v>
      </c>
      <c r="D584" s="8" t="s">
        <v>71</v>
      </c>
      <c r="E584" s="8" t="s">
        <v>48</v>
      </c>
      <c r="F584" s="8" t="s">
        <v>71</v>
      </c>
      <c r="G584" s="8" t="s">
        <v>63</v>
      </c>
      <c r="H584" s="8" t="s">
        <v>2693</v>
      </c>
      <c r="I584" s="8" t="s">
        <v>2827</v>
      </c>
      <c r="J584" s="8" t="s">
        <v>2341</v>
      </c>
      <c r="K584" s="8" t="s">
        <v>2342</v>
      </c>
    </row>
    <row r="585" spans="1:11" ht="47.25">
      <c r="A585" s="4" t="s">
        <v>698</v>
      </c>
      <c r="B585" s="4" t="s">
        <v>1030</v>
      </c>
      <c r="C585" s="8" t="s">
        <v>72</v>
      </c>
      <c r="D585" s="8" t="s">
        <v>72</v>
      </c>
      <c r="E585" s="8" t="s">
        <v>48</v>
      </c>
      <c r="F585" s="8" t="s">
        <v>72</v>
      </c>
      <c r="G585" s="8" t="s">
        <v>63</v>
      </c>
      <c r="H585" s="8" t="s">
        <v>2695</v>
      </c>
      <c r="I585" s="8" t="s">
        <v>2828</v>
      </c>
      <c r="J585" s="8" t="s">
        <v>2341</v>
      </c>
      <c r="K585" s="8" t="s">
        <v>2342</v>
      </c>
    </row>
    <row r="586" spans="1:11" ht="47.25">
      <c r="A586" s="4" t="s">
        <v>698</v>
      </c>
      <c r="B586" s="4" t="s">
        <v>1032</v>
      </c>
      <c r="C586" s="8" t="s">
        <v>140</v>
      </c>
      <c r="D586" s="8" t="s">
        <v>140</v>
      </c>
      <c r="E586" s="8" t="s">
        <v>48</v>
      </c>
      <c r="F586" s="8" t="s">
        <v>140</v>
      </c>
      <c r="G586" s="8" t="s">
        <v>63</v>
      </c>
      <c r="H586" s="8" t="s">
        <v>2696</v>
      </c>
      <c r="I586" s="8" t="s">
        <v>2829</v>
      </c>
      <c r="J586" s="8" t="s">
        <v>2341</v>
      </c>
      <c r="K586" s="8" t="s">
        <v>2342</v>
      </c>
    </row>
    <row r="587" spans="1:11" ht="47.25">
      <c r="A587" s="4" t="s">
        <v>698</v>
      </c>
      <c r="B587" s="4" t="s">
        <v>1034</v>
      </c>
      <c r="C587" s="8" t="s">
        <v>112</v>
      </c>
      <c r="D587" s="8" t="s">
        <v>112</v>
      </c>
      <c r="E587" s="8" t="s">
        <v>48</v>
      </c>
      <c r="F587" s="8" t="s">
        <v>112</v>
      </c>
      <c r="G587" s="8" t="s">
        <v>63</v>
      </c>
      <c r="H587" s="8" t="s">
        <v>2806</v>
      </c>
      <c r="I587" s="8" t="s">
        <v>2830</v>
      </c>
      <c r="J587" s="8" t="s">
        <v>2341</v>
      </c>
      <c r="K587" s="8" t="s">
        <v>2342</v>
      </c>
    </row>
    <row r="588" spans="1:11" ht="47.25">
      <c r="A588" s="4" t="s">
        <v>698</v>
      </c>
      <c r="B588" s="4" t="s">
        <v>1038</v>
      </c>
      <c r="C588" s="8" t="s">
        <v>107</v>
      </c>
      <c r="D588" s="8" t="s">
        <v>107</v>
      </c>
      <c r="E588" s="8" t="s">
        <v>48</v>
      </c>
      <c r="F588" s="8" t="s">
        <v>107</v>
      </c>
      <c r="G588" s="8" t="s">
        <v>63</v>
      </c>
      <c r="H588" s="8" t="s">
        <v>2349</v>
      </c>
      <c r="I588" s="8" t="s">
        <v>2831</v>
      </c>
      <c r="J588" s="8" t="s">
        <v>2341</v>
      </c>
      <c r="K588" s="8" t="s">
        <v>2342</v>
      </c>
    </row>
    <row r="589" spans="1:11" ht="47.25">
      <c r="A589" s="4" t="s">
        <v>698</v>
      </c>
      <c r="B589" s="4" t="s">
        <v>1041</v>
      </c>
      <c r="C589" s="8" t="s">
        <v>49</v>
      </c>
      <c r="D589" s="8" t="s">
        <v>49</v>
      </c>
      <c r="E589" s="8" t="s">
        <v>48</v>
      </c>
      <c r="F589" s="8" t="s">
        <v>49</v>
      </c>
      <c r="G589" s="8" t="s">
        <v>63</v>
      </c>
      <c r="H589" s="8" t="s">
        <v>2351</v>
      </c>
      <c r="I589" s="8" t="s">
        <v>2831</v>
      </c>
      <c r="J589" s="8" t="s">
        <v>2341</v>
      </c>
      <c r="K589" s="8" t="s">
        <v>2342</v>
      </c>
    </row>
    <row r="590" spans="1:11" ht="126">
      <c r="A590" s="4" t="s">
        <v>698</v>
      </c>
      <c r="B590" s="4" t="s">
        <v>32</v>
      </c>
      <c r="C590" s="8" t="s">
        <v>99</v>
      </c>
      <c r="D590" s="8" t="s">
        <v>99</v>
      </c>
      <c r="E590" s="8" t="s">
        <v>48</v>
      </c>
      <c r="F590" s="8" t="s">
        <v>99</v>
      </c>
      <c r="G590" s="8" t="s">
        <v>63</v>
      </c>
      <c r="H590" s="8" t="s">
        <v>2832</v>
      </c>
      <c r="I590" s="8" t="s">
        <v>2831</v>
      </c>
      <c r="J590" s="8" t="s">
        <v>2341</v>
      </c>
      <c r="K590" s="8" t="s">
        <v>2342</v>
      </c>
    </row>
    <row r="591" spans="1:11" ht="47.25">
      <c r="A591" s="4" t="s">
        <v>698</v>
      </c>
      <c r="B591" s="4" t="s">
        <v>1090</v>
      </c>
      <c r="C591" s="8" t="s">
        <v>2353</v>
      </c>
      <c r="D591" s="8" t="s">
        <v>2353</v>
      </c>
      <c r="E591" s="8" t="s">
        <v>48</v>
      </c>
      <c r="F591" s="8" t="s">
        <v>2353</v>
      </c>
      <c r="G591" s="8" t="s">
        <v>63</v>
      </c>
      <c r="H591" s="8" t="s">
        <v>2354</v>
      </c>
      <c r="I591" s="8" t="s">
        <v>1617</v>
      </c>
      <c r="J591" s="8" t="s">
        <v>2341</v>
      </c>
      <c r="K591" s="8" t="s">
        <v>2342</v>
      </c>
    </row>
    <row r="592" spans="1:11" ht="141.75">
      <c r="A592" s="4" t="s">
        <v>698</v>
      </c>
      <c r="B592" s="4" t="s">
        <v>1091</v>
      </c>
      <c r="C592" s="8" t="s">
        <v>2355</v>
      </c>
      <c r="D592" s="8" t="s">
        <v>2355</v>
      </c>
      <c r="E592" s="8" t="s">
        <v>48</v>
      </c>
      <c r="F592" s="8" t="s">
        <v>2355</v>
      </c>
      <c r="G592" s="8" t="s">
        <v>63</v>
      </c>
      <c r="H592" s="8" t="s">
        <v>2833</v>
      </c>
      <c r="I592" s="8" t="s">
        <v>2834</v>
      </c>
      <c r="J592" s="8" t="s">
        <v>2341</v>
      </c>
      <c r="K592" s="8" t="s">
        <v>2342</v>
      </c>
    </row>
    <row r="593" spans="1:11" ht="47.25">
      <c r="A593" s="4" t="s">
        <v>698</v>
      </c>
      <c r="B593" s="4" t="s">
        <v>35</v>
      </c>
      <c r="C593" s="8" t="s">
        <v>50</v>
      </c>
      <c r="D593" s="8" t="s">
        <v>50</v>
      </c>
      <c r="E593" s="8" t="s">
        <v>48</v>
      </c>
      <c r="F593" s="8" t="s">
        <v>50</v>
      </c>
      <c r="G593" s="8" t="s">
        <v>63</v>
      </c>
      <c r="H593" s="8" t="s">
        <v>2358</v>
      </c>
      <c r="I593" s="8" t="s">
        <v>2835</v>
      </c>
      <c r="J593" s="8" t="s">
        <v>2341</v>
      </c>
      <c r="K593" s="8" t="s">
        <v>2342</v>
      </c>
    </row>
    <row r="594" spans="1:11" ht="47.25">
      <c r="A594" s="4" t="s">
        <v>708</v>
      </c>
      <c r="B594" s="4" t="s">
        <v>1028</v>
      </c>
      <c r="C594" s="8" t="s">
        <v>71</v>
      </c>
      <c r="D594" s="8" t="s">
        <v>71</v>
      </c>
      <c r="E594" s="8" t="s">
        <v>48</v>
      </c>
      <c r="F594" s="8" t="s">
        <v>71</v>
      </c>
      <c r="G594" s="8" t="s">
        <v>63</v>
      </c>
      <c r="H594" s="8" t="s">
        <v>2693</v>
      </c>
      <c r="I594" s="8" t="s">
        <v>2836</v>
      </c>
      <c r="J594" s="8" t="s">
        <v>2341</v>
      </c>
      <c r="K594" s="8" t="s">
        <v>2342</v>
      </c>
    </row>
    <row r="595" spans="1:11" ht="47.25">
      <c r="A595" s="4" t="s">
        <v>708</v>
      </c>
      <c r="B595" s="4" t="s">
        <v>1030</v>
      </c>
      <c r="C595" s="8" t="s">
        <v>72</v>
      </c>
      <c r="D595" s="8" t="s">
        <v>72</v>
      </c>
      <c r="E595" s="8" t="s">
        <v>48</v>
      </c>
      <c r="F595" s="8" t="s">
        <v>72</v>
      </c>
      <c r="G595" s="8" t="s">
        <v>63</v>
      </c>
      <c r="H595" s="8" t="s">
        <v>2695</v>
      </c>
      <c r="I595" s="8" t="s">
        <v>2837</v>
      </c>
      <c r="J595" s="8" t="s">
        <v>2341</v>
      </c>
      <c r="K595" s="8" t="s">
        <v>2342</v>
      </c>
    </row>
    <row r="596" spans="1:11" ht="47.25">
      <c r="A596" s="4" t="s">
        <v>708</v>
      </c>
      <c r="B596" s="4" t="s">
        <v>1032</v>
      </c>
      <c r="C596" s="8" t="s">
        <v>140</v>
      </c>
      <c r="D596" s="8" t="s">
        <v>140</v>
      </c>
      <c r="E596" s="8" t="s">
        <v>48</v>
      </c>
      <c r="F596" s="8" t="s">
        <v>140</v>
      </c>
      <c r="G596" s="8" t="s">
        <v>63</v>
      </c>
      <c r="H596" s="8" t="s">
        <v>2696</v>
      </c>
      <c r="I596" s="8" t="s">
        <v>2725</v>
      </c>
      <c r="J596" s="8" t="s">
        <v>2341</v>
      </c>
      <c r="K596" s="8" t="s">
        <v>2342</v>
      </c>
    </row>
    <row r="597" spans="1:11" ht="47.25">
      <c r="A597" s="4" t="s">
        <v>708</v>
      </c>
      <c r="B597" s="4" t="s">
        <v>1034</v>
      </c>
      <c r="C597" s="8" t="s">
        <v>112</v>
      </c>
      <c r="D597" s="8" t="s">
        <v>112</v>
      </c>
      <c r="E597" s="8" t="s">
        <v>48</v>
      </c>
      <c r="F597" s="8" t="s">
        <v>112</v>
      </c>
      <c r="G597" s="8" t="s">
        <v>63</v>
      </c>
      <c r="H597" s="8" t="s">
        <v>2806</v>
      </c>
      <c r="I597" s="8" t="s">
        <v>2838</v>
      </c>
      <c r="J597" s="8" t="s">
        <v>2341</v>
      </c>
      <c r="K597" s="8" t="s">
        <v>2342</v>
      </c>
    </row>
    <row r="598" spans="1:11" ht="47.25">
      <c r="A598" s="4" t="s">
        <v>708</v>
      </c>
      <c r="B598" s="4" t="s">
        <v>1038</v>
      </c>
      <c r="C598" s="8" t="s">
        <v>114</v>
      </c>
      <c r="D598" s="8" t="s">
        <v>114</v>
      </c>
      <c r="E598" s="8" t="s">
        <v>48</v>
      </c>
      <c r="F598" s="8" t="s">
        <v>114</v>
      </c>
      <c r="G598" s="8" t="s">
        <v>63</v>
      </c>
      <c r="H598" s="8" t="s">
        <v>2698</v>
      </c>
      <c r="I598" s="8" t="s">
        <v>2839</v>
      </c>
      <c r="J598" s="8" t="s">
        <v>2341</v>
      </c>
      <c r="K598" s="8" t="s">
        <v>2342</v>
      </c>
    </row>
    <row r="599" spans="1:11" ht="47.25">
      <c r="A599" s="4" t="s">
        <v>708</v>
      </c>
      <c r="B599" s="4" t="s">
        <v>1041</v>
      </c>
      <c r="C599" s="8" t="s">
        <v>64</v>
      </c>
      <c r="D599" s="8" t="s">
        <v>64</v>
      </c>
      <c r="E599" s="8" t="s">
        <v>48</v>
      </c>
      <c r="F599" s="8" t="s">
        <v>64</v>
      </c>
      <c r="G599" s="8" t="s">
        <v>63</v>
      </c>
      <c r="H599" s="8" t="s">
        <v>2700</v>
      </c>
      <c r="I599" s="8" t="s">
        <v>2839</v>
      </c>
      <c r="J599" s="8" t="s">
        <v>2341</v>
      </c>
      <c r="K599" s="8" t="s">
        <v>2342</v>
      </c>
    </row>
    <row r="600" spans="1:11" ht="47.25">
      <c r="A600" s="4" t="s">
        <v>708</v>
      </c>
      <c r="B600" s="4" t="s">
        <v>32</v>
      </c>
      <c r="C600" s="8" t="s">
        <v>68</v>
      </c>
      <c r="D600" s="8" t="s">
        <v>68</v>
      </c>
      <c r="E600" s="8" t="s">
        <v>48</v>
      </c>
      <c r="F600" s="8" t="s">
        <v>68</v>
      </c>
      <c r="G600" s="8" t="s">
        <v>63</v>
      </c>
      <c r="H600" s="8" t="s">
        <v>2701</v>
      </c>
      <c r="I600" s="8" t="s">
        <v>2839</v>
      </c>
      <c r="J600" s="8" t="s">
        <v>2341</v>
      </c>
      <c r="K600" s="8" t="s">
        <v>2342</v>
      </c>
    </row>
    <row r="601" spans="1:11" ht="47.25">
      <c r="A601" s="4" t="s">
        <v>708</v>
      </c>
      <c r="B601" s="4" t="s">
        <v>1090</v>
      </c>
      <c r="C601" s="8" t="s">
        <v>2353</v>
      </c>
      <c r="D601" s="8" t="s">
        <v>2353</v>
      </c>
      <c r="E601" s="8" t="s">
        <v>48</v>
      </c>
      <c r="F601" s="8" t="s">
        <v>2353</v>
      </c>
      <c r="G601" s="8" t="s">
        <v>63</v>
      </c>
      <c r="H601" s="8" t="s">
        <v>2354</v>
      </c>
      <c r="I601" s="8" t="s">
        <v>1617</v>
      </c>
      <c r="J601" s="8" t="s">
        <v>2341</v>
      </c>
      <c r="K601" s="8" t="s">
        <v>2342</v>
      </c>
    </row>
    <row r="602" spans="1:11" ht="47.25">
      <c r="A602" s="4" t="s">
        <v>708</v>
      </c>
      <c r="B602" s="4" t="s">
        <v>1091</v>
      </c>
      <c r="C602" s="8" t="s">
        <v>68</v>
      </c>
      <c r="D602" s="8" t="s">
        <v>68</v>
      </c>
      <c r="E602" s="8" t="s">
        <v>48</v>
      </c>
      <c r="F602" s="8" t="s">
        <v>68</v>
      </c>
      <c r="G602" s="8" t="s">
        <v>63</v>
      </c>
      <c r="H602" s="8" t="s">
        <v>2702</v>
      </c>
      <c r="I602" s="8" t="s">
        <v>2840</v>
      </c>
      <c r="J602" s="8" t="s">
        <v>2341</v>
      </c>
      <c r="K602" s="8" t="s">
        <v>2342</v>
      </c>
    </row>
    <row r="603" spans="1:11" ht="47.25">
      <c r="A603" s="4" t="s">
        <v>708</v>
      </c>
      <c r="B603" s="4" t="s">
        <v>35</v>
      </c>
      <c r="C603" s="8" t="s">
        <v>68</v>
      </c>
      <c r="D603" s="8" t="s">
        <v>68</v>
      </c>
      <c r="E603" s="8" t="s">
        <v>48</v>
      </c>
      <c r="F603" s="8" t="s">
        <v>68</v>
      </c>
      <c r="G603" s="8" t="s">
        <v>63</v>
      </c>
      <c r="H603" s="8" t="s">
        <v>2704</v>
      </c>
      <c r="I603" s="8" t="s">
        <v>2841</v>
      </c>
      <c r="J603" s="8" t="s">
        <v>2341</v>
      </c>
      <c r="K603" s="8" t="s">
        <v>2342</v>
      </c>
    </row>
    <row r="604" spans="1:11" ht="47.25">
      <c r="A604" s="4" t="s">
        <v>717</v>
      </c>
      <c r="B604" s="4" t="s">
        <v>1028</v>
      </c>
      <c r="C604" s="8" t="s">
        <v>71</v>
      </c>
      <c r="D604" s="8" t="s">
        <v>71</v>
      </c>
      <c r="E604" s="8" t="s">
        <v>48</v>
      </c>
      <c r="F604" s="8" t="s">
        <v>71</v>
      </c>
      <c r="G604" s="8" t="s">
        <v>63</v>
      </c>
      <c r="H604" s="8" t="s">
        <v>2693</v>
      </c>
      <c r="I604" s="8" t="s">
        <v>2842</v>
      </c>
      <c r="J604" s="8" t="s">
        <v>2341</v>
      </c>
      <c r="K604" s="8" t="s">
        <v>2342</v>
      </c>
    </row>
    <row r="605" spans="1:11" ht="47.25">
      <c r="A605" s="4" t="s">
        <v>717</v>
      </c>
      <c r="B605" s="4" t="s">
        <v>1030</v>
      </c>
      <c r="C605" s="8" t="s">
        <v>72</v>
      </c>
      <c r="D605" s="8" t="s">
        <v>72</v>
      </c>
      <c r="E605" s="8" t="s">
        <v>48</v>
      </c>
      <c r="F605" s="8" t="s">
        <v>72</v>
      </c>
      <c r="G605" s="8" t="s">
        <v>63</v>
      </c>
      <c r="H605" s="8" t="s">
        <v>2695</v>
      </c>
      <c r="I605" s="8" t="s">
        <v>2843</v>
      </c>
      <c r="J605" s="8" t="s">
        <v>2341</v>
      </c>
      <c r="K605" s="8" t="s">
        <v>2342</v>
      </c>
    </row>
    <row r="606" spans="1:11" ht="47.25">
      <c r="A606" s="4" t="s">
        <v>717</v>
      </c>
      <c r="B606" s="4" t="s">
        <v>1032</v>
      </c>
      <c r="C606" s="8" t="s">
        <v>140</v>
      </c>
      <c r="D606" s="8" t="s">
        <v>140</v>
      </c>
      <c r="E606" s="8" t="s">
        <v>48</v>
      </c>
      <c r="F606" s="8" t="s">
        <v>140</v>
      </c>
      <c r="G606" s="8" t="s">
        <v>63</v>
      </c>
      <c r="H606" s="8" t="s">
        <v>2696</v>
      </c>
      <c r="I606" s="8" t="s">
        <v>2844</v>
      </c>
      <c r="J606" s="8" t="s">
        <v>2341</v>
      </c>
      <c r="K606" s="8" t="s">
        <v>2342</v>
      </c>
    </row>
    <row r="607" spans="1:11" ht="47.25">
      <c r="A607" s="4" t="s">
        <v>717</v>
      </c>
      <c r="B607" s="4" t="s">
        <v>1034</v>
      </c>
      <c r="C607" s="8" t="s">
        <v>44</v>
      </c>
      <c r="D607" s="8" t="s">
        <v>44</v>
      </c>
      <c r="E607" s="8" t="s">
        <v>48</v>
      </c>
      <c r="F607" s="8" t="s">
        <v>44</v>
      </c>
      <c r="G607" s="8" t="s">
        <v>63</v>
      </c>
      <c r="H607" s="8" t="s">
        <v>2550</v>
      </c>
      <c r="I607" s="8" t="s">
        <v>2845</v>
      </c>
      <c r="J607" s="8" t="s">
        <v>2341</v>
      </c>
      <c r="K607" s="8" t="s">
        <v>2342</v>
      </c>
    </row>
    <row r="608" spans="1:11" ht="47.25">
      <c r="A608" s="4" t="s">
        <v>717</v>
      </c>
      <c r="B608" s="4" t="s">
        <v>1038</v>
      </c>
      <c r="C608" s="8" t="s">
        <v>114</v>
      </c>
      <c r="D608" s="8" t="s">
        <v>114</v>
      </c>
      <c r="E608" s="8" t="s">
        <v>48</v>
      </c>
      <c r="F608" s="8" t="s">
        <v>114</v>
      </c>
      <c r="G608" s="8" t="s">
        <v>63</v>
      </c>
      <c r="H608" s="8" t="s">
        <v>2698</v>
      </c>
      <c r="I608" s="8" t="s">
        <v>2846</v>
      </c>
      <c r="J608" s="8" t="s">
        <v>2341</v>
      </c>
      <c r="K608" s="8" t="s">
        <v>2342</v>
      </c>
    </row>
    <row r="609" spans="1:11" ht="47.25">
      <c r="A609" s="4" t="s">
        <v>717</v>
      </c>
      <c r="B609" s="4" t="s">
        <v>1041</v>
      </c>
      <c r="C609" s="8" t="s">
        <v>64</v>
      </c>
      <c r="D609" s="8" t="s">
        <v>64</v>
      </c>
      <c r="E609" s="8" t="s">
        <v>48</v>
      </c>
      <c r="F609" s="8" t="s">
        <v>64</v>
      </c>
      <c r="G609" s="8" t="s">
        <v>63</v>
      </c>
      <c r="H609" s="8" t="s">
        <v>2700</v>
      </c>
      <c r="I609" s="8" t="s">
        <v>2846</v>
      </c>
      <c r="J609" s="8" t="s">
        <v>2341</v>
      </c>
      <c r="K609" s="8" t="s">
        <v>2342</v>
      </c>
    </row>
    <row r="610" spans="1:11" ht="47.25">
      <c r="A610" s="4" t="s">
        <v>717</v>
      </c>
      <c r="B610" s="4" t="s">
        <v>32</v>
      </c>
      <c r="C610" s="8" t="s">
        <v>68</v>
      </c>
      <c r="D610" s="8" t="s">
        <v>68</v>
      </c>
      <c r="E610" s="8" t="s">
        <v>48</v>
      </c>
      <c r="F610" s="8" t="s">
        <v>68</v>
      </c>
      <c r="G610" s="8" t="s">
        <v>63</v>
      </c>
      <c r="H610" s="8" t="s">
        <v>2701</v>
      </c>
      <c r="I610" s="8" t="s">
        <v>2846</v>
      </c>
      <c r="J610" s="8" t="s">
        <v>2341</v>
      </c>
      <c r="K610" s="8" t="s">
        <v>2342</v>
      </c>
    </row>
    <row r="611" spans="1:11" ht="47.25">
      <c r="A611" s="4" t="s">
        <v>717</v>
      </c>
      <c r="B611" s="4" t="s">
        <v>1090</v>
      </c>
      <c r="C611" s="8" t="s">
        <v>2353</v>
      </c>
      <c r="D611" s="8" t="s">
        <v>2353</v>
      </c>
      <c r="E611" s="8" t="s">
        <v>48</v>
      </c>
      <c r="F611" s="8" t="s">
        <v>2353</v>
      </c>
      <c r="G611" s="8" t="s">
        <v>63</v>
      </c>
      <c r="H611" s="8" t="s">
        <v>2354</v>
      </c>
      <c r="I611" s="8" t="s">
        <v>1617</v>
      </c>
      <c r="J611" s="8" t="s">
        <v>2341</v>
      </c>
      <c r="K611" s="8" t="s">
        <v>2342</v>
      </c>
    </row>
    <row r="612" spans="1:11" ht="47.25">
      <c r="A612" s="4" t="s">
        <v>717</v>
      </c>
      <c r="B612" s="4" t="s">
        <v>1091</v>
      </c>
      <c r="C612" s="8" t="s">
        <v>68</v>
      </c>
      <c r="D612" s="8" t="s">
        <v>68</v>
      </c>
      <c r="E612" s="8" t="s">
        <v>48</v>
      </c>
      <c r="F612" s="8" t="s">
        <v>68</v>
      </c>
      <c r="G612" s="8" t="s">
        <v>63</v>
      </c>
      <c r="H612" s="8" t="s">
        <v>2702</v>
      </c>
      <c r="I612" s="8" t="s">
        <v>2847</v>
      </c>
      <c r="J612" s="8" t="s">
        <v>2341</v>
      </c>
      <c r="K612" s="8" t="s">
        <v>2342</v>
      </c>
    </row>
    <row r="613" spans="1:11" ht="47.25">
      <c r="A613" s="4" t="s">
        <v>717</v>
      </c>
      <c r="B613" s="4" t="s">
        <v>35</v>
      </c>
      <c r="C613" s="8" t="s">
        <v>68</v>
      </c>
      <c r="D613" s="8" t="s">
        <v>68</v>
      </c>
      <c r="E613" s="8" t="s">
        <v>48</v>
      </c>
      <c r="F613" s="8" t="s">
        <v>68</v>
      </c>
      <c r="G613" s="8" t="s">
        <v>63</v>
      </c>
      <c r="H613" s="8" t="s">
        <v>2704</v>
      </c>
      <c r="I613" s="8" t="s">
        <v>2848</v>
      </c>
      <c r="J613" s="8" t="s">
        <v>2341</v>
      </c>
      <c r="K613" s="8" t="s">
        <v>2342</v>
      </c>
    </row>
    <row r="614" spans="1:11" ht="47.25">
      <c r="A614" s="4" t="s">
        <v>725</v>
      </c>
      <c r="B614" s="4" t="s">
        <v>1028</v>
      </c>
      <c r="C614" s="8" t="s">
        <v>71</v>
      </c>
      <c r="D614" s="8" t="s">
        <v>71</v>
      </c>
      <c r="E614" s="8" t="s">
        <v>48</v>
      </c>
      <c r="F614" s="8" t="s">
        <v>71</v>
      </c>
      <c r="G614" s="8" t="s">
        <v>63</v>
      </c>
      <c r="H614" s="8" t="s">
        <v>2693</v>
      </c>
      <c r="I614" s="8" t="s">
        <v>2849</v>
      </c>
      <c r="J614" s="8" t="s">
        <v>2341</v>
      </c>
      <c r="K614" s="8" t="s">
        <v>2342</v>
      </c>
    </row>
    <row r="615" spans="1:11" ht="47.25">
      <c r="A615" s="4" t="s">
        <v>725</v>
      </c>
      <c r="B615" s="4" t="s">
        <v>1030</v>
      </c>
      <c r="C615" s="8" t="s">
        <v>42</v>
      </c>
      <c r="D615" s="8" t="s">
        <v>42</v>
      </c>
      <c r="E615" s="8" t="s">
        <v>48</v>
      </c>
      <c r="F615" s="8" t="s">
        <v>42</v>
      </c>
      <c r="G615" s="8" t="s">
        <v>63</v>
      </c>
      <c r="H615" s="8" t="s">
        <v>2596</v>
      </c>
      <c r="I615" s="8" t="s">
        <v>2850</v>
      </c>
      <c r="J615" s="8" t="s">
        <v>2341</v>
      </c>
      <c r="K615" s="8" t="s">
        <v>2342</v>
      </c>
    </row>
    <row r="616" spans="1:11" ht="47.25">
      <c r="A616" s="4" t="s">
        <v>725</v>
      </c>
      <c r="B616" s="4" t="s">
        <v>1032</v>
      </c>
      <c r="C616" s="8" t="s">
        <v>111</v>
      </c>
      <c r="D616" s="8" t="s">
        <v>111</v>
      </c>
      <c r="E616" s="8" t="s">
        <v>48</v>
      </c>
      <c r="F616" s="8" t="s">
        <v>111</v>
      </c>
      <c r="G616" s="8" t="s">
        <v>63</v>
      </c>
      <c r="H616" s="8" t="s">
        <v>2724</v>
      </c>
      <c r="I616" s="8" t="s">
        <v>2851</v>
      </c>
      <c r="J616" s="8" t="s">
        <v>2341</v>
      </c>
      <c r="K616" s="8" t="s">
        <v>2342</v>
      </c>
    </row>
    <row r="617" spans="1:11" ht="47.25">
      <c r="A617" s="4" t="s">
        <v>725</v>
      </c>
      <c r="B617" s="4" t="s">
        <v>1034</v>
      </c>
      <c r="C617" s="8" t="s">
        <v>112</v>
      </c>
      <c r="D617" s="8" t="s">
        <v>112</v>
      </c>
      <c r="E617" s="8" t="s">
        <v>48</v>
      </c>
      <c r="F617" s="8" t="s">
        <v>112</v>
      </c>
      <c r="G617" s="8" t="s">
        <v>63</v>
      </c>
      <c r="H617" s="8" t="s">
        <v>2806</v>
      </c>
      <c r="I617" s="8" t="s">
        <v>2852</v>
      </c>
      <c r="J617" s="8" t="s">
        <v>2341</v>
      </c>
      <c r="K617" s="8" t="s">
        <v>2342</v>
      </c>
    </row>
    <row r="618" spans="1:11" ht="47.25">
      <c r="A618" s="4" t="s">
        <v>725</v>
      </c>
      <c r="B618" s="4" t="s">
        <v>1038</v>
      </c>
      <c r="C618" s="8" t="s">
        <v>76</v>
      </c>
      <c r="D618" s="8" t="s">
        <v>76</v>
      </c>
      <c r="E618" s="8" t="s">
        <v>48</v>
      </c>
      <c r="F618" s="8" t="s">
        <v>76</v>
      </c>
      <c r="G618" s="8" t="s">
        <v>63</v>
      </c>
      <c r="H618" s="8" t="s">
        <v>2797</v>
      </c>
      <c r="I618" s="8" t="s">
        <v>2853</v>
      </c>
      <c r="J618" s="8" t="s">
        <v>2341</v>
      </c>
      <c r="K618" s="8" t="s">
        <v>2342</v>
      </c>
    </row>
    <row r="619" spans="1:11" ht="47.25">
      <c r="A619" s="4" t="s">
        <v>725</v>
      </c>
      <c r="B619" s="4" t="s">
        <v>1041</v>
      </c>
      <c r="C619" s="8" t="s">
        <v>49</v>
      </c>
      <c r="D619" s="8" t="s">
        <v>49</v>
      </c>
      <c r="E619" s="8" t="s">
        <v>48</v>
      </c>
      <c r="F619" s="8" t="s">
        <v>49</v>
      </c>
      <c r="G619" s="8" t="s">
        <v>63</v>
      </c>
      <c r="H619" s="8" t="s">
        <v>2351</v>
      </c>
      <c r="I619" s="8" t="s">
        <v>2853</v>
      </c>
      <c r="J619" s="8" t="s">
        <v>2341</v>
      </c>
      <c r="K619" s="8" t="s">
        <v>2342</v>
      </c>
    </row>
    <row r="620" spans="1:11" ht="126">
      <c r="A620" s="4" t="s">
        <v>725</v>
      </c>
      <c r="B620" s="4" t="s">
        <v>32</v>
      </c>
      <c r="C620" s="8" t="s">
        <v>62</v>
      </c>
      <c r="D620" s="8" t="s">
        <v>62</v>
      </c>
      <c r="E620" s="8" t="s">
        <v>48</v>
      </c>
      <c r="F620" s="8" t="s">
        <v>62</v>
      </c>
      <c r="G620" s="8" t="s">
        <v>63</v>
      </c>
      <c r="H620" s="8" t="s">
        <v>2854</v>
      </c>
      <c r="I620" s="8" t="s">
        <v>2853</v>
      </c>
      <c r="J620" s="8" t="s">
        <v>2341</v>
      </c>
      <c r="K620" s="8" t="s">
        <v>2342</v>
      </c>
    </row>
    <row r="621" spans="1:11" ht="47.25">
      <c r="A621" s="4" t="s">
        <v>725</v>
      </c>
      <c r="B621" s="4" t="s">
        <v>1090</v>
      </c>
      <c r="C621" s="8" t="s">
        <v>2353</v>
      </c>
      <c r="D621" s="8" t="s">
        <v>2353</v>
      </c>
      <c r="E621" s="8" t="s">
        <v>48</v>
      </c>
      <c r="F621" s="8" t="s">
        <v>2353</v>
      </c>
      <c r="G621" s="8" t="s">
        <v>63</v>
      </c>
      <c r="H621" s="8" t="s">
        <v>2354</v>
      </c>
      <c r="I621" s="8" t="s">
        <v>1617</v>
      </c>
      <c r="J621" s="8" t="s">
        <v>2341</v>
      </c>
      <c r="K621" s="8" t="s">
        <v>2342</v>
      </c>
    </row>
    <row r="622" spans="1:11" ht="141.75">
      <c r="A622" s="4" t="s">
        <v>725</v>
      </c>
      <c r="B622" s="4" t="s">
        <v>1091</v>
      </c>
      <c r="C622" s="8" t="s">
        <v>2390</v>
      </c>
      <c r="D622" s="8" t="s">
        <v>2390</v>
      </c>
      <c r="E622" s="8" t="s">
        <v>48</v>
      </c>
      <c r="F622" s="8" t="s">
        <v>2390</v>
      </c>
      <c r="G622" s="8" t="s">
        <v>63</v>
      </c>
      <c r="H622" s="8" t="s">
        <v>2855</v>
      </c>
      <c r="I622" s="8" t="s">
        <v>2856</v>
      </c>
      <c r="J622" s="8" t="s">
        <v>2341</v>
      </c>
      <c r="K622" s="8" t="s">
        <v>2342</v>
      </c>
    </row>
    <row r="623" spans="1:11" ht="47.25">
      <c r="A623" s="4" t="s">
        <v>725</v>
      </c>
      <c r="B623" s="4" t="s">
        <v>35</v>
      </c>
      <c r="C623" s="8" t="s">
        <v>50</v>
      </c>
      <c r="D623" s="8" t="s">
        <v>50</v>
      </c>
      <c r="E623" s="8" t="s">
        <v>48</v>
      </c>
      <c r="F623" s="8" t="s">
        <v>50</v>
      </c>
      <c r="G623" s="8" t="s">
        <v>63</v>
      </c>
      <c r="H623" s="8" t="s">
        <v>2358</v>
      </c>
      <c r="I623" s="8" t="s">
        <v>2857</v>
      </c>
      <c r="J623" s="8" t="s">
        <v>2341</v>
      </c>
      <c r="K623" s="8" t="s">
        <v>2342</v>
      </c>
    </row>
    <row r="624" spans="1:11" ht="47.25">
      <c r="A624" s="4" t="s">
        <v>733</v>
      </c>
      <c r="B624" s="4" t="s">
        <v>1028</v>
      </c>
      <c r="C624" s="8" t="s">
        <v>71</v>
      </c>
      <c r="D624" s="8" t="s">
        <v>71</v>
      </c>
      <c r="E624" s="8" t="s">
        <v>48</v>
      </c>
      <c r="F624" s="8" t="s">
        <v>71</v>
      </c>
      <c r="G624" s="8" t="s">
        <v>63</v>
      </c>
      <c r="H624" s="8" t="s">
        <v>2693</v>
      </c>
      <c r="I624" s="8" t="s">
        <v>2858</v>
      </c>
      <c r="J624" s="8" t="s">
        <v>2341</v>
      </c>
      <c r="K624" s="8" t="s">
        <v>2342</v>
      </c>
    </row>
    <row r="625" spans="1:11" ht="47.25">
      <c r="A625" s="4" t="s">
        <v>733</v>
      </c>
      <c r="B625" s="4" t="s">
        <v>1030</v>
      </c>
      <c r="C625" s="8" t="s">
        <v>57</v>
      </c>
      <c r="D625" s="8" t="s">
        <v>57</v>
      </c>
      <c r="E625" s="8" t="s">
        <v>48</v>
      </c>
      <c r="F625" s="8" t="s">
        <v>57</v>
      </c>
      <c r="G625" s="8" t="s">
        <v>63</v>
      </c>
      <c r="H625" s="8" t="s">
        <v>2343</v>
      </c>
      <c r="I625" s="8" t="s">
        <v>2859</v>
      </c>
      <c r="J625" s="8" t="s">
        <v>2341</v>
      </c>
      <c r="K625" s="8" t="s">
        <v>2342</v>
      </c>
    </row>
    <row r="626" spans="1:11" ht="47.25">
      <c r="A626" s="4" t="s">
        <v>733</v>
      </c>
      <c r="B626" s="4" t="s">
        <v>1032</v>
      </c>
      <c r="C626" s="8" t="s">
        <v>111</v>
      </c>
      <c r="D626" s="8" t="s">
        <v>111</v>
      </c>
      <c r="E626" s="8" t="s">
        <v>48</v>
      </c>
      <c r="F626" s="8" t="s">
        <v>111</v>
      </c>
      <c r="G626" s="8" t="s">
        <v>63</v>
      </c>
      <c r="H626" s="8" t="s">
        <v>2724</v>
      </c>
      <c r="I626" s="8" t="s">
        <v>2860</v>
      </c>
      <c r="J626" s="8" t="s">
        <v>2341</v>
      </c>
      <c r="K626" s="8" t="s">
        <v>2342</v>
      </c>
    </row>
    <row r="627" spans="1:11" ht="47.25">
      <c r="A627" s="4" t="s">
        <v>733</v>
      </c>
      <c r="B627" s="4" t="s">
        <v>1034</v>
      </c>
      <c r="C627" s="8" t="s">
        <v>112</v>
      </c>
      <c r="D627" s="8" t="s">
        <v>112</v>
      </c>
      <c r="E627" s="8" t="s">
        <v>48</v>
      </c>
      <c r="F627" s="8" t="s">
        <v>112</v>
      </c>
      <c r="G627" s="8" t="s">
        <v>63</v>
      </c>
      <c r="H627" s="8" t="s">
        <v>2806</v>
      </c>
      <c r="I627" s="8" t="s">
        <v>2861</v>
      </c>
      <c r="J627" s="8" t="s">
        <v>2341</v>
      </c>
      <c r="K627" s="8" t="s">
        <v>2342</v>
      </c>
    </row>
    <row r="628" spans="1:11" ht="47.25">
      <c r="A628" s="4" t="s">
        <v>733</v>
      </c>
      <c r="B628" s="4" t="s">
        <v>1038</v>
      </c>
      <c r="C628" s="8" t="s">
        <v>107</v>
      </c>
      <c r="D628" s="8" t="s">
        <v>107</v>
      </c>
      <c r="E628" s="8" t="s">
        <v>48</v>
      </c>
      <c r="F628" s="8" t="s">
        <v>107</v>
      </c>
      <c r="G628" s="8" t="s">
        <v>63</v>
      </c>
      <c r="H628" s="8" t="s">
        <v>2349</v>
      </c>
      <c r="I628" s="8" t="s">
        <v>2862</v>
      </c>
      <c r="J628" s="8" t="s">
        <v>2341</v>
      </c>
      <c r="K628" s="8" t="s">
        <v>2342</v>
      </c>
    </row>
    <row r="629" spans="1:11" ht="47.25">
      <c r="A629" s="4" t="s">
        <v>733</v>
      </c>
      <c r="B629" s="4" t="s">
        <v>1041</v>
      </c>
      <c r="C629" s="8" t="s">
        <v>49</v>
      </c>
      <c r="D629" s="8" t="s">
        <v>49</v>
      </c>
      <c r="E629" s="8" t="s">
        <v>48</v>
      </c>
      <c r="F629" s="8" t="s">
        <v>49</v>
      </c>
      <c r="G629" s="8" t="s">
        <v>63</v>
      </c>
      <c r="H629" s="8" t="s">
        <v>2351</v>
      </c>
      <c r="I629" s="8" t="s">
        <v>2862</v>
      </c>
      <c r="J629" s="8" t="s">
        <v>2341</v>
      </c>
      <c r="K629" s="8" t="s">
        <v>2342</v>
      </c>
    </row>
    <row r="630" spans="1:11" ht="126">
      <c r="A630" s="4" t="s">
        <v>733</v>
      </c>
      <c r="B630" s="4" t="s">
        <v>32</v>
      </c>
      <c r="C630" s="8" t="s">
        <v>99</v>
      </c>
      <c r="D630" s="8" t="s">
        <v>99</v>
      </c>
      <c r="E630" s="8" t="s">
        <v>48</v>
      </c>
      <c r="F630" s="8" t="s">
        <v>99</v>
      </c>
      <c r="G630" s="8" t="s">
        <v>63</v>
      </c>
      <c r="H630" s="8" t="s">
        <v>2863</v>
      </c>
      <c r="I630" s="8" t="s">
        <v>2862</v>
      </c>
      <c r="J630" s="8" t="s">
        <v>2341</v>
      </c>
      <c r="K630" s="8" t="s">
        <v>2342</v>
      </c>
    </row>
    <row r="631" spans="1:11" ht="47.25">
      <c r="A631" s="4" t="s">
        <v>733</v>
      </c>
      <c r="B631" s="4" t="s">
        <v>1090</v>
      </c>
      <c r="C631" s="8" t="s">
        <v>2353</v>
      </c>
      <c r="D631" s="8" t="s">
        <v>2353</v>
      </c>
      <c r="E631" s="8" t="s">
        <v>48</v>
      </c>
      <c r="F631" s="8" t="s">
        <v>2353</v>
      </c>
      <c r="G631" s="8" t="s">
        <v>63</v>
      </c>
      <c r="H631" s="8" t="s">
        <v>2354</v>
      </c>
      <c r="I631" s="8" t="s">
        <v>1617</v>
      </c>
      <c r="J631" s="8" t="s">
        <v>2341</v>
      </c>
      <c r="K631" s="8" t="s">
        <v>2342</v>
      </c>
    </row>
    <row r="632" spans="1:11" ht="141.75">
      <c r="A632" s="4" t="s">
        <v>733</v>
      </c>
      <c r="B632" s="4" t="s">
        <v>1091</v>
      </c>
      <c r="C632" s="8" t="s">
        <v>2355</v>
      </c>
      <c r="D632" s="8" t="s">
        <v>2355</v>
      </c>
      <c r="E632" s="8" t="s">
        <v>48</v>
      </c>
      <c r="F632" s="8" t="s">
        <v>2355</v>
      </c>
      <c r="G632" s="8" t="s">
        <v>63</v>
      </c>
      <c r="H632" s="8" t="s">
        <v>2864</v>
      </c>
      <c r="I632" s="8" t="s">
        <v>2865</v>
      </c>
      <c r="J632" s="8" t="s">
        <v>2341</v>
      </c>
      <c r="K632" s="8" t="s">
        <v>2342</v>
      </c>
    </row>
    <row r="633" spans="1:11" ht="47.25">
      <c r="A633" s="4" t="s">
        <v>733</v>
      </c>
      <c r="B633" s="4" t="s">
        <v>35</v>
      </c>
      <c r="C633" s="8" t="s">
        <v>50</v>
      </c>
      <c r="D633" s="8" t="s">
        <v>50</v>
      </c>
      <c r="E633" s="8" t="s">
        <v>48</v>
      </c>
      <c r="F633" s="8" t="s">
        <v>50</v>
      </c>
      <c r="G633" s="8" t="s">
        <v>63</v>
      </c>
      <c r="H633" s="8" t="s">
        <v>2358</v>
      </c>
      <c r="I633" s="8" t="s">
        <v>2866</v>
      </c>
      <c r="J633" s="8" t="s">
        <v>2341</v>
      </c>
      <c r="K633" s="8" t="s">
        <v>2342</v>
      </c>
    </row>
    <row r="634" spans="1:11" ht="47.25">
      <c r="A634" s="4" t="s">
        <v>741</v>
      </c>
      <c r="B634" s="4" t="s">
        <v>1028</v>
      </c>
      <c r="C634" s="8" t="s">
        <v>78</v>
      </c>
      <c r="D634" s="8" t="s">
        <v>78</v>
      </c>
      <c r="E634" s="8" t="s">
        <v>2480</v>
      </c>
      <c r="F634" s="8" t="s">
        <v>78</v>
      </c>
      <c r="G634" s="8" t="s">
        <v>63</v>
      </c>
      <c r="H634" s="8" t="s">
        <v>2867</v>
      </c>
      <c r="I634" s="8" t="s">
        <v>2868</v>
      </c>
      <c r="J634" s="8" t="s">
        <v>2612</v>
      </c>
      <c r="K634" s="8" t="s">
        <v>2342</v>
      </c>
    </row>
    <row r="635" spans="1:11" ht="47.25">
      <c r="A635" s="4" t="s">
        <v>741</v>
      </c>
      <c r="B635" s="4" t="s">
        <v>1030</v>
      </c>
      <c r="C635" s="8" t="s">
        <v>78</v>
      </c>
      <c r="D635" s="8" t="s">
        <v>78</v>
      </c>
      <c r="E635" s="8" t="s">
        <v>2480</v>
      </c>
      <c r="F635" s="8" t="s">
        <v>78</v>
      </c>
      <c r="G635" s="8" t="s">
        <v>63</v>
      </c>
      <c r="H635" s="8" t="s">
        <v>2867</v>
      </c>
      <c r="I635" s="8" t="s">
        <v>2869</v>
      </c>
      <c r="J635" s="8" t="s">
        <v>2612</v>
      </c>
      <c r="K635" s="8" t="s">
        <v>2342</v>
      </c>
    </row>
    <row r="636" spans="1:11" ht="47.25">
      <c r="A636" s="4" t="s">
        <v>741</v>
      </c>
      <c r="B636" s="4" t="s">
        <v>1032</v>
      </c>
      <c r="C636" s="8" t="s">
        <v>78</v>
      </c>
      <c r="D636" s="8" t="s">
        <v>78</v>
      </c>
      <c r="E636" s="8" t="s">
        <v>2480</v>
      </c>
      <c r="F636" s="8" t="s">
        <v>78</v>
      </c>
      <c r="G636" s="8" t="s">
        <v>63</v>
      </c>
      <c r="H636" s="8" t="s">
        <v>2867</v>
      </c>
      <c r="I636" s="8" t="s">
        <v>2870</v>
      </c>
      <c r="J636" s="8" t="s">
        <v>2612</v>
      </c>
      <c r="K636" s="8" t="s">
        <v>2342</v>
      </c>
    </row>
    <row r="637" spans="1:11" ht="47.25">
      <c r="A637" s="4" t="s">
        <v>741</v>
      </c>
      <c r="B637" s="4" t="s">
        <v>1034</v>
      </c>
      <c r="C637" s="8" t="s">
        <v>78</v>
      </c>
      <c r="D637" s="8" t="s">
        <v>78</v>
      </c>
      <c r="E637" s="8" t="s">
        <v>2480</v>
      </c>
      <c r="F637" s="8" t="s">
        <v>78</v>
      </c>
      <c r="G637" s="8" t="s">
        <v>63</v>
      </c>
      <c r="H637" s="8" t="s">
        <v>2867</v>
      </c>
      <c r="I637" s="8" t="s">
        <v>2871</v>
      </c>
      <c r="J637" s="8" t="s">
        <v>2612</v>
      </c>
      <c r="K637" s="8" t="s">
        <v>2342</v>
      </c>
    </row>
    <row r="638" spans="1:11" ht="47.25">
      <c r="A638" s="4" t="s">
        <v>741</v>
      </c>
      <c r="B638" s="4" t="s">
        <v>1038</v>
      </c>
      <c r="C638" s="8" t="s">
        <v>78</v>
      </c>
      <c r="D638" s="8" t="s">
        <v>78</v>
      </c>
      <c r="E638" s="8" t="s">
        <v>2480</v>
      </c>
      <c r="F638" s="8" t="s">
        <v>78</v>
      </c>
      <c r="G638" s="8" t="s">
        <v>63</v>
      </c>
      <c r="H638" s="8" t="s">
        <v>2867</v>
      </c>
      <c r="I638" s="8" t="s">
        <v>2872</v>
      </c>
      <c r="J638" s="8" t="s">
        <v>2612</v>
      </c>
      <c r="K638" s="8" t="s">
        <v>2342</v>
      </c>
    </row>
    <row r="639" spans="1:11" ht="47.25">
      <c r="A639" s="4" t="s">
        <v>741</v>
      </c>
      <c r="B639" s="4" t="s">
        <v>1041</v>
      </c>
      <c r="C639" s="8" t="s">
        <v>78</v>
      </c>
      <c r="D639" s="8" t="s">
        <v>78</v>
      </c>
      <c r="E639" s="8" t="s">
        <v>2480</v>
      </c>
      <c r="F639" s="8" t="s">
        <v>78</v>
      </c>
      <c r="G639" s="8" t="s">
        <v>63</v>
      </c>
      <c r="H639" s="8" t="s">
        <v>2867</v>
      </c>
      <c r="I639" s="8" t="s">
        <v>2872</v>
      </c>
      <c r="J639" s="8" t="s">
        <v>2612</v>
      </c>
      <c r="K639" s="8" t="s">
        <v>2342</v>
      </c>
    </row>
    <row r="640" spans="1:11" ht="47.25">
      <c r="A640" s="4" t="s">
        <v>741</v>
      </c>
      <c r="B640" s="4" t="s">
        <v>32</v>
      </c>
      <c r="C640" s="8" t="s">
        <v>78</v>
      </c>
      <c r="D640" s="8" t="s">
        <v>78</v>
      </c>
      <c r="E640" s="8" t="s">
        <v>2480</v>
      </c>
      <c r="F640" s="8" t="s">
        <v>78</v>
      </c>
      <c r="G640" s="8" t="s">
        <v>63</v>
      </c>
      <c r="H640" s="8" t="s">
        <v>2867</v>
      </c>
      <c r="I640" s="8" t="s">
        <v>2872</v>
      </c>
      <c r="J640" s="8" t="s">
        <v>2612</v>
      </c>
      <c r="K640" s="8" t="s">
        <v>2342</v>
      </c>
    </row>
    <row r="641" spans="1:11" ht="47.25">
      <c r="A641" s="4" t="s">
        <v>741</v>
      </c>
      <c r="B641" s="4" t="s">
        <v>1090</v>
      </c>
      <c r="C641" s="8" t="s">
        <v>78</v>
      </c>
      <c r="D641" s="8" t="s">
        <v>78</v>
      </c>
      <c r="E641" s="8" t="s">
        <v>2480</v>
      </c>
      <c r="F641" s="8" t="s">
        <v>78</v>
      </c>
      <c r="G641" s="8" t="s">
        <v>63</v>
      </c>
      <c r="H641" s="8" t="s">
        <v>2867</v>
      </c>
      <c r="I641" s="8" t="s">
        <v>1857</v>
      </c>
      <c r="J641" s="8" t="s">
        <v>2612</v>
      </c>
      <c r="K641" s="8" t="s">
        <v>2342</v>
      </c>
    </row>
    <row r="642" spans="1:11" ht="47.25">
      <c r="A642" s="4" t="s">
        <v>741</v>
      </c>
      <c r="B642" s="4" t="s">
        <v>1091</v>
      </c>
      <c r="C642" s="8" t="s">
        <v>78</v>
      </c>
      <c r="D642" s="8" t="s">
        <v>78</v>
      </c>
      <c r="E642" s="8" t="s">
        <v>2480</v>
      </c>
      <c r="F642" s="8" t="s">
        <v>78</v>
      </c>
      <c r="G642" s="8" t="s">
        <v>63</v>
      </c>
      <c r="H642" s="8" t="s">
        <v>2867</v>
      </c>
      <c r="I642" s="8" t="s">
        <v>2873</v>
      </c>
      <c r="J642" s="8" t="s">
        <v>2612</v>
      </c>
      <c r="K642" s="8" t="s">
        <v>2342</v>
      </c>
    </row>
    <row r="643" spans="1:11" ht="47.25">
      <c r="A643" s="4" t="s">
        <v>741</v>
      </c>
      <c r="B643" s="4" t="s">
        <v>35</v>
      </c>
      <c r="C643" s="8" t="s">
        <v>78</v>
      </c>
      <c r="D643" s="8" t="s">
        <v>78</v>
      </c>
      <c r="E643" s="8" t="s">
        <v>2480</v>
      </c>
      <c r="F643" s="8" t="s">
        <v>78</v>
      </c>
      <c r="G643" s="8" t="s">
        <v>63</v>
      </c>
      <c r="H643" s="8" t="s">
        <v>2867</v>
      </c>
      <c r="I643" s="8" t="s">
        <v>2874</v>
      </c>
      <c r="J643" s="8" t="s">
        <v>2612</v>
      </c>
      <c r="K643" s="8" t="s">
        <v>2342</v>
      </c>
    </row>
    <row r="644" spans="1:11" ht="47.25">
      <c r="A644" s="4" t="s">
        <v>750</v>
      </c>
      <c r="B644" s="4" t="s">
        <v>1028</v>
      </c>
      <c r="C644" s="8" t="s">
        <v>83</v>
      </c>
      <c r="D644" s="8" t="s">
        <v>83</v>
      </c>
      <c r="E644" s="8" t="s">
        <v>48</v>
      </c>
      <c r="F644" s="8" t="s">
        <v>83</v>
      </c>
      <c r="G644" s="8" t="s">
        <v>63</v>
      </c>
      <c r="H644" s="8" t="s">
        <v>2875</v>
      </c>
      <c r="I644" s="8" t="s">
        <v>2876</v>
      </c>
      <c r="J644" s="8" t="s">
        <v>2341</v>
      </c>
      <c r="K644" s="8" t="s">
        <v>2342</v>
      </c>
    </row>
    <row r="645" spans="1:11" ht="47.25">
      <c r="A645" s="4" t="s">
        <v>750</v>
      </c>
      <c r="B645" s="4" t="s">
        <v>1030</v>
      </c>
      <c r="C645" s="8" t="s">
        <v>57</v>
      </c>
      <c r="D645" s="8" t="s">
        <v>57</v>
      </c>
      <c r="E645" s="8" t="s">
        <v>48</v>
      </c>
      <c r="F645" s="8" t="s">
        <v>57</v>
      </c>
      <c r="G645" s="8" t="s">
        <v>63</v>
      </c>
      <c r="H645" s="8" t="s">
        <v>2343</v>
      </c>
      <c r="I645" s="8" t="s">
        <v>2877</v>
      </c>
      <c r="J645" s="8" t="s">
        <v>2341</v>
      </c>
      <c r="K645" s="8" t="s">
        <v>2342</v>
      </c>
    </row>
    <row r="646" spans="1:11" ht="47.25">
      <c r="A646" s="4" t="s">
        <v>750</v>
      </c>
      <c r="B646" s="4" t="s">
        <v>1032</v>
      </c>
      <c r="C646" s="8" t="s">
        <v>111</v>
      </c>
      <c r="D646" s="8" t="s">
        <v>111</v>
      </c>
      <c r="E646" s="8" t="s">
        <v>48</v>
      </c>
      <c r="F646" s="8" t="s">
        <v>111</v>
      </c>
      <c r="G646" s="8" t="s">
        <v>63</v>
      </c>
      <c r="H646" s="8" t="s">
        <v>2724</v>
      </c>
      <c r="I646" s="8" t="s">
        <v>2878</v>
      </c>
      <c r="J646" s="8" t="s">
        <v>2341</v>
      </c>
      <c r="K646" s="8" t="s">
        <v>2342</v>
      </c>
    </row>
    <row r="647" spans="1:11" ht="47.25">
      <c r="A647" s="4" t="s">
        <v>750</v>
      </c>
      <c r="B647" s="4" t="s">
        <v>1034</v>
      </c>
      <c r="C647" s="8" t="s">
        <v>86</v>
      </c>
      <c r="D647" s="8" t="s">
        <v>86</v>
      </c>
      <c r="E647" s="8" t="s">
        <v>48</v>
      </c>
      <c r="F647" s="8" t="s">
        <v>86</v>
      </c>
      <c r="G647" s="8" t="s">
        <v>63</v>
      </c>
      <c r="H647" s="8" t="s">
        <v>2347</v>
      </c>
      <c r="I647" s="8" t="s">
        <v>2879</v>
      </c>
      <c r="J647" s="8" t="s">
        <v>2341</v>
      </c>
      <c r="K647" s="8" t="s">
        <v>2342</v>
      </c>
    </row>
    <row r="648" spans="1:11" ht="47.25">
      <c r="A648" s="4" t="s">
        <v>750</v>
      </c>
      <c r="B648" s="4" t="s">
        <v>1038</v>
      </c>
      <c r="C648" s="8" t="s">
        <v>107</v>
      </c>
      <c r="D648" s="8" t="s">
        <v>107</v>
      </c>
      <c r="E648" s="8" t="s">
        <v>48</v>
      </c>
      <c r="F648" s="8" t="s">
        <v>107</v>
      </c>
      <c r="G648" s="8" t="s">
        <v>63</v>
      </c>
      <c r="H648" s="8" t="s">
        <v>2349</v>
      </c>
      <c r="I648" s="8" t="s">
        <v>2880</v>
      </c>
      <c r="J648" s="8" t="s">
        <v>2341</v>
      </c>
      <c r="K648" s="8" t="s">
        <v>2342</v>
      </c>
    </row>
    <row r="649" spans="1:11" ht="47.25">
      <c r="A649" s="4" t="s">
        <v>750</v>
      </c>
      <c r="B649" s="4" t="s">
        <v>1041</v>
      </c>
      <c r="C649" s="8" t="s">
        <v>49</v>
      </c>
      <c r="D649" s="8" t="s">
        <v>49</v>
      </c>
      <c r="E649" s="8" t="s">
        <v>48</v>
      </c>
      <c r="F649" s="8" t="s">
        <v>49</v>
      </c>
      <c r="G649" s="8" t="s">
        <v>63</v>
      </c>
      <c r="H649" s="8" t="s">
        <v>2351</v>
      </c>
      <c r="I649" s="8" t="s">
        <v>2880</v>
      </c>
      <c r="J649" s="8" t="s">
        <v>2341</v>
      </c>
      <c r="K649" s="8" t="s">
        <v>2342</v>
      </c>
    </row>
    <row r="650" spans="1:11" ht="126">
      <c r="A650" s="4" t="s">
        <v>750</v>
      </c>
      <c r="B650" s="4" t="s">
        <v>32</v>
      </c>
      <c r="C650" s="8" t="s">
        <v>99</v>
      </c>
      <c r="D650" s="8" t="s">
        <v>99</v>
      </c>
      <c r="E650" s="8" t="s">
        <v>48</v>
      </c>
      <c r="F650" s="8" t="s">
        <v>99</v>
      </c>
      <c r="G650" s="8" t="s">
        <v>63</v>
      </c>
      <c r="H650" s="8" t="s">
        <v>2881</v>
      </c>
      <c r="I650" s="8" t="s">
        <v>2880</v>
      </c>
      <c r="J650" s="8" t="s">
        <v>2341</v>
      </c>
      <c r="K650" s="8" t="s">
        <v>2342</v>
      </c>
    </row>
    <row r="651" spans="1:11" ht="47.25">
      <c r="A651" s="4" t="s">
        <v>750</v>
      </c>
      <c r="B651" s="4" t="s">
        <v>1090</v>
      </c>
      <c r="C651" s="8" t="s">
        <v>2353</v>
      </c>
      <c r="D651" s="8" t="s">
        <v>2353</v>
      </c>
      <c r="E651" s="8" t="s">
        <v>48</v>
      </c>
      <c r="F651" s="8" t="s">
        <v>2353</v>
      </c>
      <c r="G651" s="8" t="s">
        <v>63</v>
      </c>
      <c r="H651" s="8" t="s">
        <v>2354</v>
      </c>
      <c r="I651" s="8" t="s">
        <v>1617</v>
      </c>
      <c r="J651" s="8" t="s">
        <v>2341</v>
      </c>
      <c r="K651" s="8" t="s">
        <v>2342</v>
      </c>
    </row>
    <row r="652" spans="1:11" ht="141.75">
      <c r="A652" s="4" t="s">
        <v>750</v>
      </c>
      <c r="B652" s="4" t="s">
        <v>1091</v>
      </c>
      <c r="C652" s="8" t="s">
        <v>2355</v>
      </c>
      <c r="D652" s="8" t="s">
        <v>2355</v>
      </c>
      <c r="E652" s="8" t="s">
        <v>48</v>
      </c>
      <c r="F652" s="8" t="s">
        <v>2355</v>
      </c>
      <c r="G652" s="8" t="s">
        <v>63</v>
      </c>
      <c r="H652" s="8" t="s">
        <v>2882</v>
      </c>
      <c r="I652" s="8" t="s">
        <v>2883</v>
      </c>
      <c r="J652" s="8" t="s">
        <v>2341</v>
      </c>
      <c r="K652" s="8" t="s">
        <v>2342</v>
      </c>
    </row>
    <row r="653" spans="1:11" ht="47.25">
      <c r="A653" s="4" t="s">
        <v>750</v>
      </c>
      <c r="B653" s="4" t="s">
        <v>35</v>
      </c>
      <c r="C653" s="8" t="s">
        <v>50</v>
      </c>
      <c r="D653" s="8" t="s">
        <v>50</v>
      </c>
      <c r="E653" s="8" t="s">
        <v>48</v>
      </c>
      <c r="F653" s="8" t="s">
        <v>50</v>
      </c>
      <c r="G653" s="8" t="s">
        <v>63</v>
      </c>
      <c r="H653" s="8" t="s">
        <v>2358</v>
      </c>
      <c r="I653" s="8" t="s">
        <v>2879</v>
      </c>
      <c r="J653" s="8" t="s">
        <v>2341</v>
      </c>
      <c r="K653" s="8" t="s">
        <v>2342</v>
      </c>
    </row>
    <row r="654" spans="1:11" ht="47.25">
      <c r="A654" s="4" t="s">
        <v>759</v>
      </c>
      <c r="B654" s="4" t="s">
        <v>1028</v>
      </c>
      <c r="C654" s="8" t="s">
        <v>83</v>
      </c>
      <c r="D654" s="8" t="s">
        <v>83</v>
      </c>
      <c r="E654" s="8" t="s">
        <v>48</v>
      </c>
      <c r="F654" s="8" t="s">
        <v>83</v>
      </c>
      <c r="G654" s="8" t="s">
        <v>63</v>
      </c>
      <c r="H654" s="8" t="s">
        <v>2875</v>
      </c>
      <c r="I654" s="8" t="s">
        <v>2884</v>
      </c>
      <c r="J654" s="8" t="s">
        <v>2341</v>
      </c>
      <c r="K654" s="8" t="s">
        <v>2342</v>
      </c>
    </row>
    <row r="655" spans="1:11" ht="47.25">
      <c r="A655" s="4" t="s">
        <v>759</v>
      </c>
      <c r="B655" s="4" t="s">
        <v>1030</v>
      </c>
      <c r="C655" s="8" t="s">
        <v>72</v>
      </c>
      <c r="D655" s="8" t="s">
        <v>72</v>
      </c>
      <c r="E655" s="8" t="s">
        <v>48</v>
      </c>
      <c r="F655" s="8" t="s">
        <v>72</v>
      </c>
      <c r="G655" s="8" t="s">
        <v>63</v>
      </c>
      <c r="H655" s="8" t="s">
        <v>2695</v>
      </c>
      <c r="I655" s="8" t="s">
        <v>2885</v>
      </c>
      <c r="J655" s="8" t="s">
        <v>2341</v>
      </c>
      <c r="K655" s="8" t="s">
        <v>2342</v>
      </c>
    </row>
    <row r="656" spans="1:11" ht="47.25">
      <c r="A656" s="4" t="s">
        <v>759</v>
      </c>
      <c r="B656" s="4" t="s">
        <v>1032</v>
      </c>
      <c r="C656" s="8" t="s">
        <v>111</v>
      </c>
      <c r="D656" s="8" t="s">
        <v>111</v>
      </c>
      <c r="E656" s="8" t="s">
        <v>48</v>
      </c>
      <c r="F656" s="8" t="s">
        <v>111</v>
      </c>
      <c r="G656" s="8" t="s">
        <v>63</v>
      </c>
      <c r="H656" s="8" t="s">
        <v>2724</v>
      </c>
      <c r="I656" s="8" t="s">
        <v>2886</v>
      </c>
      <c r="J656" s="8" t="s">
        <v>2341</v>
      </c>
      <c r="K656" s="8" t="s">
        <v>2342</v>
      </c>
    </row>
    <row r="657" spans="1:11" ht="47.25">
      <c r="A657" s="4" t="s">
        <v>759</v>
      </c>
      <c r="B657" s="4" t="s">
        <v>1034</v>
      </c>
      <c r="C657" s="8" t="s">
        <v>86</v>
      </c>
      <c r="D657" s="8" t="s">
        <v>86</v>
      </c>
      <c r="E657" s="8" t="s">
        <v>48</v>
      </c>
      <c r="F657" s="8" t="s">
        <v>86</v>
      </c>
      <c r="G657" s="8" t="s">
        <v>63</v>
      </c>
      <c r="H657" s="8" t="s">
        <v>2347</v>
      </c>
      <c r="I657" s="8" t="s">
        <v>2887</v>
      </c>
      <c r="J657" s="8" t="s">
        <v>2341</v>
      </c>
      <c r="K657" s="8" t="s">
        <v>2342</v>
      </c>
    </row>
    <row r="658" spans="1:11" ht="47.25">
      <c r="A658" s="4" t="s">
        <v>759</v>
      </c>
      <c r="B658" s="4" t="s">
        <v>1038</v>
      </c>
      <c r="C658" s="8" t="s">
        <v>132</v>
      </c>
      <c r="D658" s="8" t="s">
        <v>132</v>
      </c>
      <c r="E658" s="8" t="s">
        <v>48</v>
      </c>
      <c r="F658" s="8" t="s">
        <v>132</v>
      </c>
      <c r="G658" s="8" t="s">
        <v>63</v>
      </c>
      <c r="H658" s="8" t="s">
        <v>2728</v>
      </c>
      <c r="I658" s="8" t="s">
        <v>2888</v>
      </c>
      <c r="J658" s="8" t="s">
        <v>2341</v>
      </c>
      <c r="K658" s="8" t="s">
        <v>2342</v>
      </c>
    </row>
    <row r="659" spans="1:11" ht="47.25">
      <c r="A659" s="4" t="s">
        <v>759</v>
      </c>
      <c r="B659" s="4" t="s">
        <v>1041</v>
      </c>
      <c r="C659" s="8" t="s">
        <v>49</v>
      </c>
      <c r="D659" s="8" t="s">
        <v>49</v>
      </c>
      <c r="E659" s="8" t="s">
        <v>48</v>
      </c>
      <c r="F659" s="8" t="s">
        <v>49</v>
      </c>
      <c r="G659" s="8" t="s">
        <v>63</v>
      </c>
      <c r="H659" s="8" t="s">
        <v>2351</v>
      </c>
      <c r="I659" s="8" t="s">
        <v>2888</v>
      </c>
      <c r="J659" s="8" t="s">
        <v>2341</v>
      </c>
      <c r="K659" s="8" t="s">
        <v>2342</v>
      </c>
    </row>
    <row r="660" spans="1:11" ht="126">
      <c r="A660" s="4" t="s">
        <v>759</v>
      </c>
      <c r="B660" s="4" t="s">
        <v>32</v>
      </c>
      <c r="C660" s="8" t="s">
        <v>115</v>
      </c>
      <c r="D660" s="8" t="s">
        <v>115</v>
      </c>
      <c r="E660" s="8" t="s">
        <v>48</v>
      </c>
      <c r="F660" s="8" t="s">
        <v>115</v>
      </c>
      <c r="G660" s="8" t="s">
        <v>63</v>
      </c>
      <c r="H660" s="8" t="s">
        <v>2889</v>
      </c>
      <c r="I660" s="8" t="s">
        <v>2888</v>
      </c>
      <c r="J660" s="8" t="s">
        <v>2341</v>
      </c>
      <c r="K660" s="8" t="s">
        <v>2342</v>
      </c>
    </row>
    <row r="661" spans="1:11" ht="47.25">
      <c r="A661" s="4" t="s">
        <v>759</v>
      </c>
      <c r="B661" s="4" t="s">
        <v>1090</v>
      </c>
      <c r="C661" s="8" t="s">
        <v>2353</v>
      </c>
      <c r="D661" s="8" t="s">
        <v>2353</v>
      </c>
      <c r="E661" s="8" t="s">
        <v>48</v>
      </c>
      <c r="F661" s="8" t="s">
        <v>2353</v>
      </c>
      <c r="G661" s="8" t="s">
        <v>63</v>
      </c>
      <c r="H661" s="8" t="s">
        <v>2354</v>
      </c>
      <c r="I661" s="8" t="s">
        <v>1617</v>
      </c>
      <c r="J661" s="8" t="s">
        <v>2341</v>
      </c>
      <c r="K661" s="8" t="s">
        <v>2342</v>
      </c>
    </row>
    <row r="662" spans="1:11" ht="141.75">
      <c r="A662" s="4" t="s">
        <v>759</v>
      </c>
      <c r="B662" s="4" t="s">
        <v>1091</v>
      </c>
      <c r="C662" s="8" t="s">
        <v>2731</v>
      </c>
      <c r="D662" s="8" t="s">
        <v>2731</v>
      </c>
      <c r="E662" s="8" t="s">
        <v>48</v>
      </c>
      <c r="F662" s="8" t="s">
        <v>2731</v>
      </c>
      <c r="G662" s="8" t="s">
        <v>63</v>
      </c>
      <c r="H662" s="8" t="s">
        <v>2890</v>
      </c>
      <c r="I662" s="8" t="s">
        <v>2891</v>
      </c>
      <c r="J662" s="8" t="s">
        <v>2341</v>
      </c>
      <c r="K662" s="8" t="s">
        <v>2342</v>
      </c>
    </row>
    <row r="663" spans="1:11" ht="47.25">
      <c r="A663" s="4" t="s">
        <v>759</v>
      </c>
      <c r="B663" s="4" t="s">
        <v>35</v>
      </c>
      <c r="C663" s="8" t="s">
        <v>50</v>
      </c>
      <c r="D663" s="8" t="s">
        <v>50</v>
      </c>
      <c r="E663" s="8" t="s">
        <v>48</v>
      </c>
      <c r="F663" s="8" t="s">
        <v>50</v>
      </c>
      <c r="G663" s="8" t="s">
        <v>63</v>
      </c>
      <c r="H663" s="8" t="s">
        <v>2358</v>
      </c>
      <c r="I663" s="8" t="s">
        <v>2892</v>
      </c>
      <c r="J663" s="8" t="s">
        <v>2341</v>
      </c>
      <c r="K663" s="8" t="s">
        <v>2342</v>
      </c>
    </row>
    <row r="664" spans="1:11" ht="47.25">
      <c r="A664" s="4" t="s">
        <v>768</v>
      </c>
      <c r="B664" s="4" t="s">
        <v>1028</v>
      </c>
      <c r="C664" s="8" t="s">
        <v>83</v>
      </c>
      <c r="D664" s="8" t="s">
        <v>83</v>
      </c>
      <c r="E664" s="8" t="s">
        <v>48</v>
      </c>
      <c r="F664" s="8" t="s">
        <v>83</v>
      </c>
      <c r="G664" s="8" t="s">
        <v>63</v>
      </c>
      <c r="H664" s="8" t="s">
        <v>2875</v>
      </c>
      <c r="I664" s="8" t="s">
        <v>2893</v>
      </c>
      <c r="J664" s="8" t="s">
        <v>2341</v>
      </c>
      <c r="K664" s="8" t="s">
        <v>2342</v>
      </c>
    </row>
    <row r="665" spans="1:11" ht="47.25">
      <c r="A665" s="4" t="s">
        <v>768</v>
      </c>
      <c r="B665" s="4" t="s">
        <v>1030</v>
      </c>
      <c r="C665" s="8" t="s">
        <v>57</v>
      </c>
      <c r="D665" s="8" t="s">
        <v>57</v>
      </c>
      <c r="E665" s="8" t="s">
        <v>48</v>
      </c>
      <c r="F665" s="8" t="s">
        <v>57</v>
      </c>
      <c r="G665" s="8" t="s">
        <v>63</v>
      </c>
      <c r="H665" s="8" t="s">
        <v>2343</v>
      </c>
      <c r="I665" s="8" t="s">
        <v>2894</v>
      </c>
      <c r="J665" s="8" t="s">
        <v>2341</v>
      </c>
      <c r="K665" s="8" t="s">
        <v>2342</v>
      </c>
    </row>
    <row r="666" spans="1:11" ht="47.25">
      <c r="A666" s="4" t="s">
        <v>768</v>
      </c>
      <c r="B666" s="4" t="s">
        <v>1032</v>
      </c>
      <c r="C666" s="8" t="s">
        <v>111</v>
      </c>
      <c r="D666" s="8" t="s">
        <v>111</v>
      </c>
      <c r="E666" s="8" t="s">
        <v>48</v>
      </c>
      <c r="F666" s="8" t="s">
        <v>111</v>
      </c>
      <c r="G666" s="8" t="s">
        <v>63</v>
      </c>
      <c r="H666" s="8" t="s">
        <v>2724</v>
      </c>
      <c r="I666" s="8" t="s">
        <v>2844</v>
      </c>
      <c r="J666" s="8" t="s">
        <v>2341</v>
      </c>
      <c r="K666" s="8" t="s">
        <v>2342</v>
      </c>
    </row>
    <row r="667" spans="1:11" ht="47.25">
      <c r="A667" s="4" t="s">
        <v>768</v>
      </c>
      <c r="B667" s="4" t="s">
        <v>1034</v>
      </c>
      <c r="C667" s="8" t="s">
        <v>86</v>
      </c>
      <c r="D667" s="8" t="s">
        <v>86</v>
      </c>
      <c r="E667" s="8" t="s">
        <v>48</v>
      </c>
      <c r="F667" s="8" t="s">
        <v>86</v>
      </c>
      <c r="G667" s="8" t="s">
        <v>63</v>
      </c>
      <c r="H667" s="8" t="s">
        <v>2347</v>
      </c>
      <c r="I667" s="8" t="s">
        <v>2895</v>
      </c>
      <c r="J667" s="8" t="s">
        <v>2341</v>
      </c>
      <c r="K667" s="8" t="s">
        <v>2342</v>
      </c>
    </row>
    <row r="668" spans="1:11" ht="47.25">
      <c r="A668" s="4" t="s">
        <v>768</v>
      </c>
      <c r="B668" s="4" t="s">
        <v>1038</v>
      </c>
      <c r="C668" s="8" t="s">
        <v>107</v>
      </c>
      <c r="D668" s="8" t="s">
        <v>107</v>
      </c>
      <c r="E668" s="8" t="s">
        <v>48</v>
      </c>
      <c r="F668" s="8" t="s">
        <v>107</v>
      </c>
      <c r="G668" s="8" t="s">
        <v>63</v>
      </c>
      <c r="H668" s="8" t="s">
        <v>2349</v>
      </c>
      <c r="I668" s="8" t="s">
        <v>2896</v>
      </c>
      <c r="J668" s="8" t="s">
        <v>2341</v>
      </c>
      <c r="K668" s="8" t="s">
        <v>2342</v>
      </c>
    </row>
    <row r="669" spans="1:11" ht="47.25">
      <c r="A669" s="4" t="s">
        <v>768</v>
      </c>
      <c r="B669" s="4" t="s">
        <v>1041</v>
      </c>
      <c r="C669" s="8" t="s">
        <v>49</v>
      </c>
      <c r="D669" s="8" t="s">
        <v>49</v>
      </c>
      <c r="E669" s="8" t="s">
        <v>48</v>
      </c>
      <c r="F669" s="8" t="s">
        <v>49</v>
      </c>
      <c r="G669" s="8" t="s">
        <v>63</v>
      </c>
      <c r="H669" s="8" t="s">
        <v>2351</v>
      </c>
      <c r="I669" s="8" t="s">
        <v>2896</v>
      </c>
      <c r="J669" s="8" t="s">
        <v>2341</v>
      </c>
      <c r="K669" s="8" t="s">
        <v>2342</v>
      </c>
    </row>
    <row r="670" spans="1:11" ht="126">
      <c r="A670" s="4" t="s">
        <v>768</v>
      </c>
      <c r="B670" s="4" t="s">
        <v>32</v>
      </c>
      <c r="C670" s="8" t="s">
        <v>99</v>
      </c>
      <c r="D670" s="8" t="s">
        <v>99</v>
      </c>
      <c r="E670" s="8" t="s">
        <v>48</v>
      </c>
      <c r="F670" s="8" t="s">
        <v>99</v>
      </c>
      <c r="G670" s="8" t="s">
        <v>63</v>
      </c>
      <c r="H670" s="8" t="s">
        <v>2897</v>
      </c>
      <c r="I670" s="8" t="s">
        <v>2896</v>
      </c>
      <c r="J670" s="8" t="s">
        <v>2341</v>
      </c>
      <c r="K670" s="8" t="s">
        <v>2342</v>
      </c>
    </row>
    <row r="671" spans="1:11" ht="47.25">
      <c r="A671" s="4" t="s">
        <v>768</v>
      </c>
      <c r="B671" s="4" t="s">
        <v>1090</v>
      </c>
      <c r="C671" s="8" t="s">
        <v>2353</v>
      </c>
      <c r="D671" s="8" t="s">
        <v>2353</v>
      </c>
      <c r="E671" s="8" t="s">
        <v>48</v>
      </c>
      <c r="F671" s="8" t="s">
        <v>2353</v>
      </c>
      <c r="G671" s="8" t="s">
        <v>63</v>
      </c>
      <c r="H671" s="8" t="s">
        <v>2354</v>
      </c>
      <c r="I671" s="8" t="s">
        <v>1617</v>
      </c>
      <c r="J671" s="8" t="s">
        <v>2341</v>
      </c>
      <c r="K671" s="8" t="s">
        <v>2342</v>
      </c>
    </row>
    <row r="672" spans="1:11" ht="141.75">
      <c r="A672" s="4" t="s">
        <v>768</v>
      </c>
      <c r="B672" s="4" t="s">
        <v>1091</v>
      </c>
      <c r="C672" s="8" t="s">
        <v>2355</v>
      </c>
      <c r="D672" s="8" t="s">
        <v>2355</v>
      </c>
      <c r="E672" s="8" t="s">
        <v>48</v>
      </c>
      <c r="F672" s="8" t="s">
        <v>2355</v>
      </c>
      <c r="G672" s="8" t="s">
        <v>63</v>
      </c>
      <c r="H672" s="8" t="s">
        <v>2898</v>
      </c>
      <c r="I672" s="8" t="s">
        <v>2899</v>
      </c>
      <c r="J672" s="8" t="s">
        <v>2341</v>
      </c>
      <c r="K672" s="8" t="s">
        <v>2342</v>
      </c>
    </row>
    <row r="673" spans="1:11" ht="47.25">
      <c r="A673" s="4" t="s">
        <v>768</v>
      </c>
      <c r="B673" s="4" t="s">
        <v>35</v>
      </c>
      <c r="C673" s="8" t="s">
        <v>50</v>
      </c>
      <c r="D673" s="8" t="s">
        <v>50</v>
      </c>
      <c r="E673" s="8" t="s">
        <v>48</v>
      </c>
      <c r="F673" s="8" t="s">
        <v>50</v>
      </c>
      <c r="G673" s="8" t="s">
        <v>63</v>
      </c>
      <c r="H673" s="8" t="s">
        <v>2358</v>
      </c>
      <c r="I673" s="8" t="s">
        <v>2900</v>
      </c>
      <c r="J673" s="8" t="s">
        <v>2341</v>
      </c>
      <c r="K673" s="8" t="s">
        <v>2342</v>
      </c>
    </row>
    <row r="674" spans="1:11" ht="47.25">
      <c r="A674" s="4" t="s">
        <v>777</v>
      </c>
      <c r="B674" s="4" t="s">
        <v>1028</v>
      </c>
      <c r="C674" s="8" t="s">
        <v>83</v>
      </c>
      <c r="D674" s="8" t="s">
        <v>83</v>
      </c>
      <c r="E674" s="8" t="s">
        <v>48</v>
      </c>
      <c r="F674" s="8" t="s">
        <v>83</v>
      </c>
      <c r="G674" s="8" t="s">
        <v>63</v>
      </c>
      <c r="H674" s="8" t="s">
        <v>2875</v>
      </c>
      <c r="I674" s="8" t="s">
        <v>2901</v>
      </c>
      <c r="J674" s="8" t="s">
        <v>2341</v>
      </c>
      <c r="K674" s="8" t="s">
        <v>2342</v>
      </c>
    </row>
    <row r="675" spans="1:11" ht="47.25">
      <c r="A675" s="4" t="s">
        <v>777</v>
      </c>
      <c r="B675" s="4" t="s">
        <v>1030</v>
      </c>
      <c r="C675" s="8" t="s">
        <v>57</v>
      </c>
      <c r="D675" s="8" t="s">
        <v>57</v>
      </c>
      <c r="E675" s="8" t="s">
        <v>48</v>
      </c>
      <c r="F675" s="8" t="s">
        <v>57</v>
      </c>
      <c r="G675" s="8" t="s">
        <v>63</v>
      </c>
      <c r="H675" s="8" t="s">
        <v>2343</v>
      </c>
      <c r="I675" s="8" t="s">
        <v>2901</v>
      </c>
      <c r="J675" s="8" t="s">
        <v>2341</v>
      </c>
      <c r="K675" s="8" t="s">
        <v>2342</v>
      </c>
    </row>
    <row r="676" spans="1:11" ht="47.25">
      <c r="A676" s="4" t="s">
        <v>777</v>
      </c>
      <c r="B676" s="4" t="s">
        <v>1032</v>
      </c>
      <c r="C676" s="8" t="s">
        <v>58</v>
      </c>
      <c r="D676" s="8" t="s">
        <v>58</v>
      </c>
      <c r="E676" s="8" t="s">
        <v>48</v>
      </c>
      <c r="F676" s="8" t="s">
        <v>58</v>
      </c>
      <c r="G676" s="8" t="s">
        <v>63</v>
      </c>
      <c r="H676" s="8" t="s">
        <v>2597</v>
      </c>
      <c r="I676" s="8" t="s">
        <v>2902</v>
      </c>
      <c r="J676" s="8" t="s">
        <v>2341</v>
      </c>
      <c r="K676" s="8" t="s">
        <v>2342</v>
      </c>
    </row>
    <row r="677" spans="1:11" ht="47.25">
      <c r="A677" s="4" t="s">
        <v>777</v>
      </c>
      <c r="B677" s="4" t="s">
        <v>1034</v>
      </c>
      <c r="C677" s="8" t="s">
        <v>86</v>
      </c>
      <c r="D677" s="8" t="s">
        <v>86</v>
      </c>
      <c r="E677" s="8" t="s">
        <v>48</v>
      </c>
      <c r="F677" s="8" t="s">
        <v>86</v>
      </c>
      <c r="G677" s="8" t="s">
        <v>63</v>
      </c>
      <c r="H677" s="8" t="s">
        <v>2347</v>
      </c>
      <c r="I677" s="8" t="s">
        <v>2902</v>
      </c>
      <c r="J677" s="8" t="s">
        <v>2341</v>
      </c>
      <c r="K677" s="8" t="s">
        <v>2342</v>
      </c>
    </row>
    <row r="678" spans="1:11" ht="47.25">
      <c r="A678" s="4" t="s">
        <v>777</v>
      </c>
      <c r="B678" s="4" t="s">
        <v>1038</v>
      </c>
      <c r="C678" s="8" t="s">
        <v>61</v>
      </c>
      <c r="D678" s="8" t="s">
        <v>61</v>
      </c>
      <c r="E678" s="8" t="s">
        <v>48</v>
      </c>
      <c r="F678" s="8" t="s">
        <v>61</v>
      </c>
      <c r="G678" s="8" t="s">
        <v>63</v>
      </c>
      <c r="H678" s="8" t="s">
        <v>2576</v>
      </c>
      <c r="I678" s="8" t="s">
        <v>2903</v>
      </c>
      <c r="J678" s="8" t="s">
        <v>2341</v>
      </c>
      <c r="K678" s="8" t="s">
        <v>2342</v>
      </c>
    </row>
    <row r="679" spans="1:11" ht="47.25">
      <c r="A679" s="4" t="s">
        <v>777</v>
      </c>
      <c r="B679" s="4" t="s">
        <v>1041</v>
      </c>
      <c r="C679" s="8" t="s">
        <v>49</v>
      </c>
      <c r="D679" s="8" t="s">
        <v>49</v>
      </c>
      <c r="E679" s="8" t="s">
        <v>48</v>
      </c>
      <c r="F679" s="8" t="s">
        <v>49</v>
      </c>
      <c r="G679" s="8" t="s">
        <v>63</v>
      </c>
      <c r="H679" s="8" t="s">
        <v>2351</v>
      </c>
      <c r="I679" s="8" t="s">
        <v>2903</v>
      </c>
      <c r="J679" s="8" t="s">
        <v>2341</v>
      </c>
      <c r="K679" s="8" t="s">
        <v>2342</v>
      </c>
    </row>
    <row r="680" spans="1:11" ht="110.25">
      <c r="A680" s="4" t="s">
        <v>777</v>
      </c>
      <c r="B680" s="4" t="s">
        <v>32</v>
      </c>
      <c r="C680" s="8" t="s">
        <v>62</v>
      </c>
      <c r="D680" s="8" t="s">
        <v>62</v>
      </c>
      <c r="E680" s="8" t="s">
        <v>48</v>
      </c>
      <c r="F680" s="8" t="s">
        <v>62</v>
      </c>
      <c r="G680" s="8" t="s">
        <v>63</v>
      </c>
      <c r="H680" s="8" t="s">
        <v>2904</v>
      </c>
      <c r="I680" s="8" t="s">
        <v>2903</v>
      </c>
      <c r="J680" s="8" t="s">
        <v>2341</v>
      </c>
      <c r="K680" s="8" t="s">
        <v>2342</v>
      </c>
    </row>
    <row r="681" spans="1:11" ht="47.25">
      <c r="A681" s="4" t="s">
        <v>777</v>
      </c>
      <c r="B681" s="4" t="s">
        <v>1090</v>
      </c>
      <c r="C681" s="8" t="s">
        <v>2353</v>
      </c>
      <c r="D681" s="8" t="s">
        <v>2353</v>
      </c>
      <c r="E681" s="8" t="s">
        <v>48</v>
      </c>
      <c r="F681" s="8" t="s">
        <v>2353</v>
      </c>
      <c r="G681" s="8" t="s">
        <v>63</v>
      </c>
      <c r="H681" s="8" t="s">
        <v>2354</v>
      </c>
      <c r="I681" s="8" t="s">
        <v>1617</v>
      </c>
      <c r="J681" s="8" t="s">
        <v>2341</v>
      </c>
      <c r="K681" s="8" t="s">
        <v>2342</v>
      </c>
    </row>
    <row r="682" spans="1:11" ht="141.75">
      <c r="A682" s="4" t="s">
        <v>777</v>
      </c>
      <c r="B682" s="4" t="s">
        <v>1091</v>
      </c>
      <c r="C682" s="8" t="s">
        <v>2390</v>
      </c>
      <c r="D682" s="8" t="s">
        <v>2390</v>
      </c>
      <c r="E682" s="8" t="s">
        <v>48</v>
      </c>
      <c r="F682" s="8" t="s">
        <v>2390</v>
      </c>
      <c r="G682" s="8" t="s">
        <v>63</v>
      </c>
      <c r="H682" s="8" t="s">
        <v>2905</v>
      </c>
      <c r="I682" s="8" t="s">
        <v>2906</v>
      </c>
      <c r="J682" s="8" t="s">
        <v>2341</v>
      </c>
      <c r="K682" s="8" t="s">
        <v>2342</v>
      </c>
    </row>
    <row r="683" spans="1:11" ht="47.25">
      <c r="A683" s="4" t="s">
        <v>777</v>
      </c>
      <c r="B683" s="4" t="s">
        <v>35</v>
      </c>
      <c r="C683" s="8" t="s">
        <v>50</v>
      </c>
      <c r="D683" s="8" t="s">
        <v>50</v>
      </c>
      <c r="E683" s="8" t="s">
        <v>48</v>
      </c>
      <c r="F683" s="8" t="s">
        <v>50</v>
      </c>
      <c r="G683" s="8" t="s">
        <v>63</v>
      </c>
      <c r="H683" s="8" t="s">
        <v>2358</v>
      </c>
      <c r="I683" s="8" t="s">
        <v>2903</v>
      </c>
      <c r="J683" s="8" t="s">
        <v>2341</v>
      </c>
      <c r="K683" s="8" t="s">
        <v>2342</v>
      </c>
    </row>
    <row r="684" spans="1:11" ht="47.25">
      <c r="A684" s="4" t="s">
        <v>786</v>
      </c>
      <c r="B684" s="4" t="s">
        <v>1028</v>
      </c>
      <c r="C684" s="8" t="s">
        <v>83</v>
      </c>
      <c r="D684" s="8" t="s">
        <v>83</v>
      </c>
      <c r="E684" s="8" t="s">
        <v>48</v>
      </c>
      <c r="F684" s="8" t="s">
        <v>83</v>
      </c>
      <c r="G684" s="8" t="s">
        <v>63</v>
      </c>
      <c r="H684" s="8" t="s">
        <v>2875</v>
      </c>
      <c r="I684" s="8" t="s">
        <v>2876</v>
      </c>
      <c r="J684" s="8" t="s">
        <v>2341</v>
      </c>
      <c r="K684" s="8" t="s">
        <v>2342</v>
      </c>
    </row>
    <row r="685" spans="1:11" ht="47.25">
      <c r="A685" s="4" t="s">
        <v>786</v>
      </c>
      <c r="B685" s="4" t="s">
        <v>1030</v>
      </c>
      <c r="C685" s="8" t="s">
        <v>57</v>
      </c>
      <c r="D685" s="8" t="s">
        <v>57</v>
      </c>
      <c r="E685" s="8" t="s">
        <v>48</v>
      </c>
      <c r="F685" s="8" t="s">
        <v>57</v>
      </c>
      <c r="G685" s="8" t="s">
        <v>63</v>
      </c>
      <c r="H685" s="8" t="s">
        <v>2343</v>
      </c>
      <c r="I685" s="8" t="s">
        <v>2907</v>
      </c>
      <c r="J685" s="8" t="s">
        <v>2341</v>
      </c>
      <c r="K685" s="8" t="s">
        <v>2342</v>
      </c>
    </row>
    <row r="686" spans="1:11" ht="47.25">
      <c r="A686" s="4" t="s">
        <v>786</v>
      </c>
      <c r="B686" s="4" t="s">
        <v>1032</v>
      </c>
      <c r="C686" s="8" t="s">
        <v>111</v>
      </c>
      <c r="D686" s="8" t="s">
        <v>111</v>
      </c>
      <c r="E686" s="8" t="s">
        <v>48</v>
      </c>
      <c r="F686" s="8" t="s">
        <v>111</v>
      </c>
      <c r="G686" s="8" t="s">
        <v>63</v>
      </c>
      <c r="H686" s="8" t="s">
        <v>2724</v>
      </c>
      <c r="I686" s="8" t="s">
        <v>2878</v>
      </c>
      <c r="J686" s="8" t="s">
        <v>2341</v>
      </c>
      <c r="K686" s="8" t="s">
        <v>2342</v>
      </c>
    </row>
    <row r="687" spans="1:11" ht="47.25">
      <c r="A687" s="4" t="s">
        <v>786</v>
      </c>
      <c r="B687" s="4" t="s">
        <v>1034</v>
      </c>
      <c r="C687" s="8" t="s">
        <v>86</v>
      </c>
      <c r="D687" s="8" t="s">
        <v>86</v>
      </c>
      <c r="E687" s="8" t="s">
        <v>48</v>
      </c>
      <c r="F687" s="8" t="s">
        <v>86</v>
      </c>
      <c r="G687" s="8" t="s">
        <v>63</v>
      </c>
      <c r="H687" s="8" t="s">
        <v>2347</v>
      </c>
      <c r="I687" s="8" t="s">
        <v>2908</v>
      </c>
      <c r="J687" s="8" t="s">
        <v>2341</v>
      </c>
      <c r="K687" s="8" t="s">
        <v>2342</v>
      </c>
    </row>
    <row r="688" spans="1:11" ht="47.25">
      <c r="A688" s="4" t="s">
        <v>786</v>
      </c>
      <c r="B688" s="4" t="s">
        <v>1038</v>
      </c>
      <c r="C688" s="8" t="s">
        <v>107</v>
      </c>
      <c r="D688" s="8" t="s">
        <v>107</v>
      </c>
      <c r="E688" s="8" t="s">
        <v>48</v>
      </c>
      <c r="F688" s="8" t="s">
        <v>107</v>
      </c>
      <c r="G688" s="8" t="s">
        <v>63</v>
      </c>
      <c r="H688" s="8" t="s">
        <v>2349</v>
      </c>
      <c r="I688" s="8" t="s">
        <v>2909</v>
      </c>
      <c r="J688" s="8" t="s">
        <v>2341</v>
      </c>
      <c r="K688" s="8" t="s">
        <v>2342</v>
      </c>
    </row>
    <row r="689" spans="1:11" ht="47.25">
      <c r="A689" s="4" t="s">
        <v>786</v>
      </c>
      <c r="B689" s="4" t="s">
        <v>1041</v>
      </c>
      <c r="C689" s="8" t="s">
        <v>49</v>
      </c>
      <c r="D689" s="8" t="s">
        <v>49</v>
      </c>
      <c r="E689" s="8" t="s">
        <v>48</v>
      </c>
      <c r="F689" s="8" t="s">
        <v>49</v>
      </c>
      <c r="G689" s="8" t="s">
        <v>63</v>
      </c>
      <c r="H689" s="8" t="s">
        <v>2351</v>
      </c>
      <c r="I689" s="8" t="s">
        <v>2909</v>
      </c>
      <c r="J689" s="8" t="s">
        <v>2341</v>
      </c>
      <c r="K689" s="8" t="s">
        <v>2342</v>
      </c>
    </row>
    <row r="690" spans="1:11" ht="126">
      <c r="A690" s="4" t="s">
        <v>786</v>
      </c>
      <c r="B690" s="4" t="s">
        <v>32</v>
      </c>
      <c r="C690" s="8" t="s">
        <v>99</v>
      </c>
      <c r="D690" s="8" t="s">
        <v>99</v>
      </c>
      <c r="E690" s="8" t="s">
        <v>48</v>
      </c>
      <c r="F690" s="8" t="s">
        <v>99</v>
      </c>
      <c r="G690" s="8" t="s">
        <v>63</v>
      </c>
      <c r="H690" s="8" t="s">
        <v>2910</v>
      </c>
      <c r="I690" s="8" t="s">
        <v>2909</v>
      </c>
      <c r="J690" s="8" t="s">
        <v>2341</v>
      </c>
      <c r="K690" s="8" t="s">
        <v>2342</v>
      </c>
    </row>
    <row r="691" spans="1:11" ht="47.25">
      <c r="A691" s="4" t="s">
        <v>786</v>
      </c>
      <c r="B691" s="4" t="s">
        <v>1090</v>
      </c>
      <c r="C691" s="8" t="s">
        <v>2353</v>
      </c>
      <c r="D691" s="8" t="s">
        <v>2353</v>
      </c>
      <c r="E691" s="8" t="s">
        <v>48</v>
      </c>
      <c r="F691" s="8" t="s">
        <v>2353</v>
      </c>
      <c r="G691" s="8" t="s">
        <v>63</v>
      </c>
      <c r="H691" s="8" t="s">
        <v>2354</v>
      </c>
      <c r="I691" s="8" t="s">
        <v>1617</v>
      </c>
      <c r="J691" s="8" t="s">
        <v>2341</v>
      </c>
      <c r="K691" s="8" t="s">
        <v>2342</v>
      </c>
    </row>
    <row r="692" spans="1:11" ht="141.75">
      <c r="A692" s="4" t="s">
        <v>786</v>
      </c>
      <c r="B692" s="4" t="s">
        <v>1091</v>
      </c>
      <c r="C692" s="8" t="s">
        <v>2355</v>
      </c>
      <c r="D692" s="8" t="s">
        <v>2355</v>
      </c>
      <c r="E692" s="8" t="s">
        <v>48</v>
      </c>
      <c r="F692" s="8" t="s">
        <v>2355</v>
      </c>
      <c r="G692" s="8" t="s">
        <v>63</v>
      </c>
      <c r="H692" s="8" t="s">
        <v>2911</v>
      </c>
      <c r="I692" s="8" t="s">
        <v>2912</v>
      </c>
      <c r="J692" s="8" t="s">
        <v>2341</v>
      </c>
      <c r="K692" s="8" t="s">
        <v>2342</v>
      </c>
    </row>
    <row r="693" spans="1:11" ht="47.25">
      <c r="A693" s="4" t="s">
        <v>786</v>
      </c>
      <c r="B693" s="4" t="s">
        <v>35</v>
      </c>
      <c r="C693" s="8" t="s">
        <v>50</v>
      </c>
      <c r="D693" s="8" t="s">
        <v>50</v>
      </c>
      <c r="E693" s="8" t="s">
        <v>48</v>
      </c>
      <c r="F693" s="8" t="s">
        <v>50</v>
      </c>
      <c r="G693" s="8" t="s">
        <v>63</v>
      </c>
      <c r="H693" s="8" t="s">
        <v>2358</v>
      </c>
      <c r="I693" s="8" t="s">
        <v>2913</v>
      </c>
      <c r="J693" s="8" t="s">
        <v>2341</v>
      </c>
      <c r="K693" s="8" t="s">
        <v>2342</v>
      </c>
    </row>
    <row r="694" spans="1:11" ht="47.25">
      <c r="A694" s="4" t="s">
        <v>794</v>
      </c>
      <c r="B694" s="4" t="s">
        <v>1028</v>
      </c>
      <c r="C694" s="8" t="s">
        <v>83</v>
      </c>
      <c r="D694" s="8" t="s">
        <v>83</v>
      </c>
      <c r="E694" s="8" t="s">
        <v>48</v>
      </c>
      <c r="F694" s="8" t="s">
        <v>83</v>
      </c>
      <c r="G694" s="8" t="s">
        <v>63</v>
      </c>
      <c r="H694" s="8" t="s">
        <v>2875</v>
      </c>
      <c r="I694" s="8" t="s">
        <v>2914</v>
      </c>
      <c r="J694" s="8" t="s">
        <v>2341</v>
      </c>
      <c r="K694" s="8" t="s">
        <v>2342</v>
      </c>
    </row>
    <row r="695" spans="1:11" ht="47.25">
      <c r="A695" s="4" t="s">
        <v>794</v>
      </c>
      <c r="B695" s="4" t="s">
        <v>1030</v>
      </c>
      <c r="C695" s="8" t="s">
        <v>57</v>
      </c>
      <c r="D695" s="8" t="s">
        <v>57</v>
      </c>
      <c r="E695" s="8" t="s">
        <v>48</v>
      </c>
      <c r="F695" s="8" t="s">
        <v>57</v>
      </c>
      <c r="G695" s="8" t="s">
        <v>63</v>
      </c>
      <c r="H695" s="8" t="s">
        <v>2343</v>
      </c>
      <c r="I695" s="8" t="s">
        <v>2915</v>
      </c>
      <c r="J695" s="8" t="s">
        <v>2341</v>
      </c>
      <c r="K695" s="8" t="s">
        <v>2342</v>
      </c>
    </row>
    <row r="696" spans="1:11" ht="47.25">
      <c r="A696" s="4" t="s">
        <v>794</v>
      </c>
      <c r="B696" s="4" t="s">
        <v>1032</v>
      </c>
      <c r="C696" s="8" t="s">
        <v>58</v>
      </c>
      <c r="D696" s="8" t="s">
        <v>58</v>
      </c>
      <c r="E696" s="8" t="s">
        <v>48</v>
      </c>
      <c r="F696" s="8" t="s">
        <v>58</v>
      </c>
      <c r="G696" s="8" t="s">
        <v>63</v>
      </c>
      <c r="H696" s="8" t="s">
        <v>2597</v>
      </c>
      <c r="I696" s="8" t="s">
        <v>2916</v>
      </c>
      <c r="J696" s="8" t="s">
        <v>2341</v>
      </c>
      <c r="K696" s="8" t="s">
        <v>2342</v>
      </c>
    </row>
    <row r="697" spans="1:11" ht="47.25">
      <c r="A697" s="4" t="s">
        <v>794</v>
      </c>
      <c r="B697" s="4" t="s">
        <v>1034</v>
      </c>
      <c r="C697" s="8" t="s">
        <v>86</v>
      </c>
      <c r="D697" s="8" t="s">
        <v>86</v>
      </c>
      <c r="E697" s="8" t="s">
        <v>48</v>
      </c>
      <c r="F697" s="8" t="s">
        <v>86</v>
      </c>
      <c r="G697" s="8" t="s">
        <v>63</v>
      </c>
      <c r="H697" s="8" t="s">
        <v>2347</v>
      </c>
      <c r="I697" s="8" t="s">
        <v>2917</v>
      </c>
      <c r="J697" s="8" t="s">
        <v>2341</v>
      </c>
      <c r="K697" s="8" t="s">
        <v>2342</v>
      </c>
    </row>
    <row r="698" spans="1:11" ht="47.25">
      <c r="A698" s="4" t="s">
        <v>794</v>
      </c>
      <c r="B698" s="4" t="s">
        <v>1038</v>
      </c>
      <c r="C698" s="8" t="s">
        <v>107</v>
      </c>
      <c r="D698" s="8" t="s">
        <v>107</v>
      </c>
      <c r="E698" s="8" t="s">
        <v>48</v>
      </c>
      <c r="F698" s="8" t="s">
        <v>107</v>
      </c>
      <c r="G698" s="8" t="s">
        <v>63</v>
      </c>
      <c r="H698" s="8" t="s">
        <v>2349</v>
      </c>
      <c r="I698" s="8" t="s">
        <v>2918</v>
      </c>
      <c r="J698" s="8" t="s">
        <v>2341</v>
      </c>
      <c r="K698" s="8" t="s">
        <v>2342</v>
      </c>
    </row>
    <row r="699" spans="1:11" ht="47.25">
      <c r="A699" s="4" t="s">
        <v>794</v>
      </c>
      <c r="B699" s="4" t="s">
        <v>1041</v>
      </c>
      <c r="C699" s="8" t="s">
        <v>49</v>
      </c>
      <c r="D699" s="8" t="s">
        <v>49</v>
      </c>
      <c r="E699" s="8" t="s">
        <v>48</v>
      </c>
      <c r="F699" s="8" t="s">
        <v>49</v>
      </c>
      <c r="G699" s="8" t="s">
        <v>63</v>
      </c>
      <c r="H699" s="8" t="s">
        <v>2351</v>
      </c>
      <c r="I699" s="8" t="s">
        <v>2918</v>
      </c>
      <c r="J699" s="8" t="s">
        <v>2341</v>
      </c>
      <c r="K699" s="8" t="s">
        <v>2342</v>
      </c>
    </row>
    <row r="700" spans="1:11" ht="126">
      <c r="A700" s="4" t="s">
        <v>794</v>
      </c>
      <c r="B700" s="4" t="s">
        <v>32</v>
      </c>
      <c r="C700" s="8" t="s">
        <v>99</v>
      </c>
      <c r="D700" s="8" t="s">
        <v>99</v>
      </c>
      <c r="E700" s="8" t="s">
        <v>48</v>
      </c>
      <c r="F700" s="8" t="s">
        <v>99</v>
      </c>
      <c r="G700" s="8" t="s">
        <v>63</v>
      </c>
      <c r="H700" s="8" t="s">
        <v>2919</v>
      </c>
      <c r="I700" s="8" t="s">
        <v>2918</v>
      </c>
      <c r="J700" s="8" t="s">
        <v>2341</v>
      </c>
      <c r="K700" s="8" t="s">
        <v>2342</v>
      </c>
    </row>
    <row r="701" spans="1:11" ht="47.25">
      <c r="A701" s="4" t="s">
        <v>794</v>
      </c>
      <c r="B701" s="4" t="s">
        <v>1090</v>
      </c>
      <c r="C701" s="8" t="s">
        <v>2353</v>
      </c>
      <c r="D701" s="8" t="s">
        <v>2353</v>
      </c>
      <c r="E701" s="8" t="s">
        <v>48</v>
      </c>
      <c r="F701" s="8" t="s">
        <v>2353</v>
      </c>
      <c r="G701" s="8" t="s">
        <v>63</v>
      </c>
      <c r="H701" s="8" t="s">
        <v>2354</v>
      </c>
      <c r="I701" s="8" t="s">
        <v>1617</v>
      </c>
      <c r="J701" s="8" t="s">
        <v>2341</v>
      </c>
      <c r="K701" s="8" t="s">
        <v>2342</v>
      </c>
    </row>
    <row r="702" spans="1:11" ht="141.75">
      <c r="A702" s="4" t="s">
        <v>794</v>
      </c>
      <c r="B702" s="4" t="s">
        <v>1091</v>
      </c>
      <c r="C702" s="8" t="s">
        <v>2355</v>
      </c>
      <c r="D702" s="8" t="s">
        <v>2355</v>
      </c>
      <c r="E702" s="8" t="s">
        <v>48</v>
      </c>
      <c r="F702" s="8" t="s">
        <v>2355</v>
      </c>
      <c r="G702" s="8" t="s">
        <v>63</v>
      </c>
      <c r="H702" s="8" t="s">
        <v>2920</v>
      </c>
      <c r="I702" s="8" t="s">
        <v>2921</v>
      </c>
      <c r="J702" s="8" t="s">
        <v>2341</v>
      </c>
      <c r="K702" s="8" t="s">
        <v>2342</v>
      </c>
    </row>
    <row r="703" spans="1:11" ht="47.25">
      <c r="A703" s="4" t="s">
        <v>794</v>
      </c>
      <c r="B703" s="4" t="s">
        <v>35</v>
      </c>
      <c r="C703" s="8" t="s">
        <v>50</v>
      </c>
      <c r="D703" s="8" t="s">
        <v>50</v>
      </c>
      <c r="E703" s="8" t="s">
        <v>48</v>
      </c>
      <c r="F703" s="8" t="s">
        <v>50</v>
      </c>
      <c r="G703" s="8" t="s">
        <v>63</v>
      </c>
      <c r="H703" s="8" t="s">
        <v>2358</v>
      </c>
      <c r="I703" s="8" t="s">
        <v>2922</v>
      </c>
      <c r="J703" s="8" t="s">
        <v>2341</v>
      </c>
      <c r="K703" s="8" t="s">
        <v>2342</v>
      </c>
    </row>
    <row r="704" spans="1:11" ht="47.25">
      <c r="A704" s="4" t="s">
        <v>802</v>
      </c>
      <c r="B704" s="4" t="s">
        <v>1028</v>
      </c>
      <c r="C704" s="8" t="s">
        <v>83</v>
      </c>
      <c r="D704" s="8" t="s">
        <v>83</v>
      </c>
      <c r="E704" s="8" t="s">
        <v>48</v>
      </c>
      <c r="F704" s="8" t="s">
        <v>83</v>
      </c>
      <c r="G704" s="8" t="s">
        <v>63</v>
      </c>
      <c r="H704" s="8" t="s">
        <v>2875</v>
      </c>
      <c r="I704" s="8" t="s">
        <v>2923</v>
      </c>
      <c r="J704" s="8" t="s">
        <v>2341</v>
      </c>
      <c r="K704" s="8" t="s">
        <v>2342</v>
      </c>
    </row>
    <row r="705" spans="1:11" ht="47.25">
      <c r="A705" s="4" t="s">
        <v>802</v>
      </c>
      <c r="B705" s="4" t="s">
        <v>1030</v>
      </c>
      <c r="C705" s="8" t="s">
        <v>57</v>
      </c>
      <c r="D705" s="8" t="s">
        <v>57</v>
      </c>
      <c r="E705" s="8" t="s">
        <v>48</v>
      </c>
      <c r="F705" s="8" t="s">
        <v>57</v>
      </c>
      <c r="G705" s="8" t="s">
        <v>63</v>
      </c>
      <c r="H705" s="8" t="s">
        <v>2343</v>
      </c>
      <c r="I705" s="8" t="s">
        <v>2924</v>
      </c>
      <c r="J705" s="8" t="s">
        <v>2341</v>
      </c>
      <c r="K705" s="8" t="s">
        <v>2342</v>
      </c>
    </row>
    <row r="706" spans="1:11" ht="47.25">
      <c r="A706" s="4" t="s">
        <v>802</v>
      </c>
      <c r="B706" s="4" t="s">
        <v>1032</v>
      </c>
      <c r="C706" s="8" t="s">
        <v>111</v>
      </c>
      <c r="D706" s="8" t="s">
        <v>111</v>
      </c>
      <c r="E706" s="8" t="s">
        <v>48</v>
      </c>
      <c r="F706" s="8" t="s">
        <v>111</v>
      </c>
      <c r="G706" s="8" t="s">
        <v>63</v>
      </c>
      <c r="H706" s="8" t="s">
        <v>2724</v>
      </c>
      <c r="I706" s="8" t="s">
        <v>2925</v>
      </c>
      <c r="J706" s="8" t="s">
        <v>2341</v>
      </c>
      <c r="K706" s="8" t="s">
        <v>2342</v>
      </c>
    </row>
    <row r="707" spans="1:11" ht="47.25">
      <c r="A707" s="4" t="s">
        <v>802</v>
      </c>
      <c r="B707" s="4" t="s">
        <v>1034</v>
      </c>
      <c r="C707" s="8" t="s">
        <v>86</v>
      </c>
      <c r="D707" s="8" t="s">
        <v>86</v>
      </c>
      <c r="E707" s="8" t="s">
        <v>48</v>
      </c>
      <c r="F707" s="8" t="s">
        <v>86</v>
      </c>
      <c r="G707" s="8" t="s">
        <v>63</v>
      </c>
      <c r="H707" s="8" t="s">
        <v>2347</v>
      </c>
      <c r="I707" s="8" t="s">
        <v>2926</v>
      </c>
      <c r="J707" s="8" t="s">
        <v>2341</v>
      </c>
      <c r="K707" s="8" t="s">
        <v>2342</v>
      </c>
    </row>
    <row r="708" spans="1:11" ht="47.25">
      <c r="A708" s="4" t="s">
        <v>802</v>
      </c>
      <c r="B708" s="4" t="s">
        <v>1038</v>
      </c>
      <c r="C708" s="8" t="s">
        <v>107</v>
      </c>
      <c r="D708" s="8" t="s">
        <v>107</v>
      </c>
      <c r="E708" s="8" t="s">
        <v>48</v>
      </c>
      <c r="F708" s="8" t="s">
        <v>107</v>
      </c>
      <c r="G708" s="8" t="s">
        <v>63</v>
      </c>
      <c r="H708" s="8" t="s">
        <v>2349</v>
      </c>
      <c r="I708" s="8" t="s">
        <v>2927</v>
      </c>
      <c r="J708" s="8" t="s">
        <v>2341</v>
      </c>
      <c r="K708" s="8" t="s">
        <v>2342</v>
      </c>
    </row>
    <row r="709" spans="1:11" ht="47.25">
      <c r="A709" s="4" t="s">
        <v>802</v>
      </c>
      <c r="B709" s="4" t="s">
        <v>1041</v>
      </c>
      <c r="C709" s="8" t="s">
        <v>49</v>
      </c>
      <c r="D709" s="8" t="s">
        <v>49</v>
      </c>
      <c r="E709" s="8" t="s">
        <v>48</v>
      </c>
      <c r="F709" s="8" t="s">
        <v>49</v>
      </c>
      <c r="G709" s="8" t="s">
        <v>63</v>
      </c>
      <c r="H709" s="8" t="s">
        <v>2351</v>
      </c>
      <c r="I709" s="8" t="s">
        <v>2927</v>
      </c>
      <c r="J709" s="8" t="s">
        <v>2341</v>
      </c>
      <c r="K709" s="8" t="s">
        <v>2342</v>
      </c>
    </row>
    <row r="710" spans="1:11" ht="126">
      <c r="A710" s="4" t="s">
        <v>802</v>
      </c>
      <c r="B710" s="4" t="s">
        <v>32</v>
      </c>
      <c r="C710" s="8" t="s">
        <v>99</v>
      </c>
      <c r="D710" s="8" t="s">
        <v>99</v>
      </c>
      <c r="E710" s="8" t="s">
        <v>48</v>
      </c>
      <c r="F710" s="8" t="s">
        <v>99</v>
      </c>
      <c r="G710" s="8" t="s">
        <v>63</v>
      </c>
      <c r="H710" s="8" t="s">
        <v>2928</v>
      </c>
      <c r="I710" s="8" t="s">
        <v>2927</v>
      </c>
      <c r="J710" s="8" t="s">
        <v>2341</v>
      </c>
      <c r="K710" s="8" t="s">
        <v>2342</v>
      </c>
    </row>
    <row r="711" spans="1:11" ht="47.25">
      <c r="A711" s="4" t="s">
        <v>802</v>
      </c>
      <c r="B711" s="4" t="s">
        <v>1090</v>
      </c>
      <c r="C711" s="8" t="s">
        <v>2353</v>
      </c>
      <c r="D711" s="8" t="s">
        <v>2353</v>
      </c>
      <c r="E711" s="8" t="s">
        <v>48</v>
      </c>
      <c r="F711" s="8" t="s">
        <v>2353</v>
      </c>
      <c r="G711" s="8" t="s">
        <v>63</v>
      </c>
      <c r="H711" s="8" t="s">
        <v>2354</v>
      </c>
      <c r="I711" s="8" t="s">
        <v>1617</v>
      </c>
      <c r="J711" s="8" t="s">
        <v>2341</v>
      </c>
      <c r="K711" s="8" t="s">
        <v>2342</v>
      </c>
    </row>
    <row r="712" spans="1:11" ht="141.75">
      <c r="A712" s="4" t="s">
        <v>802</v>
      </c>
      <c r="B712" s="4" t="s">
        <v>1091</v>
      </c>
      <c r="C712" s="8" t="s">
        <v>2355</v>
      </c>
      <c r="D712" s="8" t="s">
        <v>2355</v>
      </c>
      <c r="E712" s="8" t="s">
        <v>48</v>
      </c>
      <c r="F712" s="8" t="s">
        <v>2355</v>
      </c>
      <c r="G712" s="8" t="s">
        <v>63</v>
      </c>
      <c r="H712" s="8" t="s">
        <v>2929</v>
      </c>
      <c r="I712" s="8" t="s">
        <v>2930</v>
      </c>
      <c r="J712" s="8" t="s">
        <v>2341</v>
      </c>
      <c r="K712" s="8" t="s">
        <v>2342</v>
      </c>
    </row>
    <row r="713" spans="1:11" ht="47.25">
      <c r="A713" s="4" t="s">
        <v>802</v>
      </c>
      <c r="B713" s="4" t="s">
        <v>35</v>
      </c>
      <c r="C713" s="8" t="s">
        <v>50</v>
      </c>
      <c r="D713" s="8" t="s">
        <v>50</v>
      </c>
      <c r="E713" s="8" t="s">
        <v>48</v>
      </c>
      <c r="F713" s="8" t="s">
        <v>50</v>
      </c>
      <c r="G713" s="8" t="s">
        <v>63</v>
      </c>
      <c r="H713" s="8" t="s">
        <v>2358</v>
      </c>
      <c r="I713" s="8" t="s">
        <v>2931</v>
      </c>
      <c r="J713" s="8" t="s">
        <v>2341</v>
      </c>
      <c r="K713" s="8" t="s">
        <v>2342</v>
      </c>
    </row>
    <row r="714" spans="1:11" ht="47.25">
      <c r="A714" s="4" t="s">
        <v>810</v>
      </c>
      <c r="B714" s="4" t="s">
        <v>1028</v>
      </c>
      <c r="C714" s="8" t="s">
        <v>83</v>
      </c>
      <c r="D714" s="8" t="s">
        <v>83</v>
      </c>
      <c r="E714" s="8" t="s">
        <v>48</v>
      </c>
      <c r="F714" s="8" t="s">
        <v>83</v>
      </c>
      <c r="G714" s="8" t="s">
        <v>63</v>
      </c>
      <c r="H714" s="8" t="s">
        <v>2875</v>
      </c>
      <c r="I714" s="8" t="s">
        <v>2932</v>
      </c>
      <c r="J714" s="8" t="s">
        <v>2341</v>
      </c>
      <c r="K714" s="8" t="s">
        <v>2342</v>
      </c>
    </row>
    <row r="715" spans="1:11" ht="47.25">
      <c r="A715" s="4" t="s">
        <v>810</v>
      </c>
      <c r="B715" s="4" t="s">
        <v>1030</v>
      </c>
      <c r="C715" s="8" t="s">
        <v>57</v>
      </c>
      <c r="D715" s="8" t="s">
        <v>57</v>
      </c>
      <c r="E715" s="8" t="s">
        <v>48</v>
      </c>
      <c r="F715" s="8" t="s">
        <v>57</v>
      </c>
      <c r="G715" s="8" t="s">
        <v>63</v>
      </c>
      <c r="H715" s="8" t="s">
        <v>2343</v>
      </c>
      <c r="I715" s="8" t="s">
        <v>2933</v>
      </c>
      <c r="J715" s="8" t="s">
        <v>2341</v>
      </c>
      <c r="K715" s="8" t="s">
        <v>2342</v>
      </c>
    </row>
    <row r="716" spans="1:11" ht="47.25">
      <c r="A716" s="4" t="s">
        <v>810</v>
      </c>
      <c r="B716" s="4" t="s">
        <v>1032</v>
      </c>
      <c r="C716" s="8" t="s">
        <v>111</v>
      </c>
      <c r="D716" s="8" t="s">
        <v>111</v>
      </c>
      <c r="E716" s="8" t="s">
        <v>48</v>
      </c>
      <c r="F716" s="8" t="s">
        <v>111</v>
      </c>
      <c r="G716" s="8" t="s">
        <v>63</v>
      </c>
      <c r="H716" s="8" t="s">
        <v>2724</v>
      </c>
      <c r="I716" s="8" t="s">
        <v>2934</v>
      </c>
      <c r="J716" s="8" t="s">
        <v>2341</v>
      </c>
      <c r="K716" s="8" t="s">
        <v>2342</v>
      </c>
    </row>
    <row r="717" spans="1:11" ht="47.25">
      <c r="A717" s="4" t="s">
        <v>810</v>
      </c>
      <c r="B717" s="4" t="s">
        <v>1034</v>
      </c>
      <c r="C717" s="8" t="s">
        <v>86</v>
      </c>
      <c r="D717" s="8" t="s">
        <v>86</v>
      </c>
      <c r="E717" s="8" t="s">
        <v>48</v>
      </c>
      <c r="F717" s="8" t="s">
        <v>86</v>
      </c>
      <c r="G717" s="8" t="s">
        <v>63</v>
      </c>
      <c r="H717" s="8" t="s">
        <v>2347</v>
      </c>
      <c r="I717" s="8" t="s">
        <v>2935</v>
      </c>
      <c r="J717" s="8" t="s">
        <v>2341</v>
      </c>
      <c r="K717" s="8" t="s">
        <v>2342</v>
      </c>
    </row>
    <row r="718" spans="1:11" ht="47.25">
      <c r="A718" s="4" t="s">
        <v>810</v>
      </c>
      <c r="B718" s="4" t="s">
        <v>1038</v>
      </c>
      <c r="C718" s="8" t="s">
        <v>107</v>
      </c>
      <c r="D718" s="8" t="s">
        <v>107</v>
      </c>
      <c r="E718" s="8" t="s">
        <v>48</v>
      </c>
      <c r="F718" s="8" t="s">
        <v>107</v>
      </c>
      <c r="G718" s="8" t="s">
        <v>63</v>
      </c>
      <c r="H718" s="8" t="s">
        <v>2349</v>
      </c>
      <c r="I718" s="8" t="s">
        <v>2936</v>
      </c>
      <c r="J718" s="8" t="s">
        <v>2341</v>
      </c>
      <c r="K718" s="8" t="s">
        <v>2342</v>
      </c>
    </row>
    <row r="719" spans="1:11" ht="47.25">
      <c r="A719" s="4" t="s">
        <v>810</v>
      </c>
      <c r="B719" s="4" t="s">
        <v>1041</v>
      </c>
      <c r="C719" s="8" t="s">
        <v>49</v>
      </c>
      <c r="D719" s="8" t="s">
        <v>49</v>
      </c>
      <c r="E719" s="8" t="s">
        <v>48</v>
      </c>
      <c r="F719" s="8" t="s">
        <v>49</v>
      </c>
      <c r="G719" s="8" t="s">
        <v>63</v>
      </c>
      <c r="H719" s="8" t="s">
        <v>2351</v>
      </c>
      <c r="I719" s="8" t="s">
        <v>2936</v>
      </c>
      <c r="J719" s="8" t="s">
        <v>2341</v>
      </c>
      <c r="K719" s="8" t="s">
        <v>2342</v>
      </c>
    </row>
    <row r="720" spans="1:11" ht="126">
      <c r="A720" s="4" t="s">
        <v>810</v>
      </c>
      <c r="B720" s="4" t="s">
        <v>32</v>
      </c>
      <c r="C720" s="8" t="s">
        <v>99</v>
      </c>
      <c r="D720" s="8" t="s">
        <v>99</v>
      </c>
      <c r="E720" s="8" t="s">
        <v>48</v>
      </c>
      <c r="F720" s="8" t="s">
        <v>99</v>
      </c>
      <c r="G720" s="8" t="s">
        <v>63</v>
      </c>
      <c r="H720" s="8" t="s">
        <v>2937</v>
      </c>
      <c r="I720" s="8" t="s">
        <v>2936</v>
      </c>
      <c r="J720" s="8" t="s">
        <v>2341</v>
      </c>
      <c r="K720" s="8" t="s">
        <v>2342</v>
      </c>
    </row>
    <row r="721" spans="1:11" ht="47.25">
      <c r="A721" s="4" t="s">
        <v>810</v>
      </c>
      <c r="B721" s="4" t="s">
        <v>1090</v>
      </c>
      <c r="C721" s="8" t="s">
        <v>2353</v>
      </c>
      <c r="D721" s="8" t="s">
        <v>2353</v>
      </c>
      <c r="E721" s="8" t="s">
        <v>48</v>
      </c>
      <c r="F721" s="8" t="s">
        <v>2353</v>
      </c>
      <c r="G721" s="8" t="s">
        <v>63</v>
      </c>
      <c r="H721" s="8" t="s">
        <v>2354</v>
      </c>
      <c r="I721" s="8" t="s">
        <v>1617</v>
      </c>
      <c r="J721" s="8" t="s">
        <v>2341</v>
      </c>
      <c r="K721" s="8" t="s">
        <v>2342</v>
      </c>
    </row>
    <row r="722" spans="1:11" ht="141.75">
      <c r="A722" s="4" t="s">
        <v>810</v>
      </c>
      <c r="B722" s="4" t="s">
        <v>1091</v>
      </c>
      <c r="C722" s="8" t="s">
        <v>2355</v>
      </c>
      <c r="D722" s="8" t="s">
        <v>2355</v>
      </c>
      <c r="E722" s="8" t="s">
        <v>48</v>
      </c>
      <c r="F722" s="8" t="s">
        <v>2355</v>
      </c>
      <c r="G722" s="8" t="s">
        <v>63</v>
      </c>
      <c r="H722" s="8" t="s">
        <v>2938</v>
      </c>
      <c r="I722" s="8" t="s">
        <v>2939</v>
      </c>
      <c r="J722" s="8" t="s">
        <v>2341</v>
      </c>
      <c r="K722" s="8" t="s">
        <v>2342</v>
      </c>
    </row>
    <row r="723" spans="1:11" ht="47.25">
      <c r="A723" s="4" t="s">
        <v>810</v>
      </c>
      <c r="B723" s="4" t="s">
        <v>35</v>
      </c>
      <c r="C723" s="8" t="s">
        <v>50</v>
      </c>
      <c r="D723" s="8" t="s">
        <v>50</v>
      </c>
      <c r="E723" s="8" t="s">
        <v>48</v>
      </c>
      <c r="F723" s="8" t="s">
        <v>50</v>
      </c>
      <c r="G723" s="8" t="s">
        <v>63</v>
      </c>
      <c r="H723" s="8" t="s">
        <v>2358</v>
      </c>
      <c r="I723" s="8" t="s">
        <v>2940</v>
      </c>
      <c r="J723" s="8" t="s">
        <v>2341</v>
      </c>
      <c r="K723" s="8" t="s">
        <v>2342</v>
      </c>
    </row>
    <row r="724" spans="1:11" ht="47.25">
      <c r="A724" s="4" t="s">
        <v>819</v>
      </c>
      <c r="B724" s="4" t="s">
        <v>1028</v>
      </c>
      <c r="C724" s="8" t="s">
        <v>83</v>
      </c>
      <c r="D724" s="8" t="s">
        <v>83</v>
      </c>
      <c r="E724" s="8" t="s">
        <v>48</v>
      </c>
      <c r="F724" s="8" t="s">
        <v>83</v>
      </c>
      <c r="G724" s="8" t="s">
        <v>63</v>
      </c>
      <c r="H724" s="8" t="s">
        <v>2875</v>
      </c>
      <c r="I724" s="8" t="s">
        <v>2941</v>
      </c>
      <c r="J724" s="8" t="s">
        <v>2341</v>
      </c>
      <c r="K724" s="8" t="s">
        <v>2342</v>
      </c>
    </row>
    <row r="725" spans="1:11" ht="47.25">
      <c r="A725" s="4" t="s">
        <v>819</v>
      </c>
      <c r="B725" s="4" t="s">
        <v>1030</v>
      </c>
      <c r="C725" s="8" t="s">
        <v>57</v>
      </c>
      <c r="D725" s="8" t="s">
        <v>57</v>
      </c>
      <c r="E725" s="8" t="s">
        <v>48</v>
      </c>
      <c r="F725" s="8" t="s">
        <v>57</v>
      </c>
      <c r="G725" s="8" t="s">
        <v>63</v>
      </c>
      <c r="H725" s="8" t="s">
        <v>2343</v>
      </c>
      <c r="I725" s="8" t="s">
        <v>2942</v>
      </c>
      <c r="J725" s="8" t="s">
        <v>2341</v>
      </c>
      <c r="K725" s="8" t="s">
        <v>2342</v>
      </c>
    </row>
    <row r="726" spans="1:11" ht="47.25">
      <c r="A726" s="4" t="s">
        <v>819</v>
      </c>
      <c r="B726" s="4" t="s">
        <v>1032</v>
      </c>
      <c r="C726" s="8" t="s">
        <v>43</v>
      </c>
      <c r="D726" s="8" t="s">
        <v>43</v>
      </c>
      <c r="E726" s="8" t="s">
        <v>48</v>
      </c>
      <c r="F726" s="8" t="s">
        <v>43</v>
      </c>
      <c r="G726" s="8" t="s">
        <v>63</v>
      </c>
      <c r="H726" s="8" t="s">
        <v>2549</v>
      </c>
      <c r="I726" s="8" t="s">
        <v>2943</v>
      </c>
      <c r="J726" s="8" t="s">
        <v>2341</v>
      </c>
      <c r="K726" s="8" t="s">
        <v>2342</v>
      </c>
    </row>
    <row r="727" spans="1:11" ht="47.25">
      <c r="A727" s="4" t="s">
        <v>819</v>
      </c>
      <c r="B727" s="4" t="s">
        <v>1034</v>
      </c>
      <c r="C727" s="8" t="s">
        <v>86</v>
      </c>
      <c r="D727" s="8" t="s">
        <v>86</v>
      </c>
      <c r="E727" s="8" t="s">
        <v>48</v>
      </c>
      <c r="F727" s="8" t="s">
        <v>86</v>
      </c>
      <c r="G727" s="8" t="s">
        <v>63</v>
      </c>
      <c r="H727" s="8" t="s">
        <v>2347</v>
      </c>
      <c r="I727" s="8" t="s">
        <v>2944</v>
      </c>
      <c r="J727" s="8" t="s">
        <v>2341</v>
      </c>
      <c r="K727" s="8" t="s">
        <v>2342</v>
      </c>
    </row>
    <row r="728" spans="1:11" ht="47.25">
      <c r="A728" s="4" t="s">
        <v>819</v>
      </c>
      <c r="B728" s="4" t="s">
        <v>1038</v>
      </c>
      <c r="C728" s="8" t="s">
        <v>107</v>
      </c>
      <c r="D728" s="8" t="s">
        <v>107</v>
      </c>
      <c r="E728" s="8" t="s">
        <v>48</v>
      </c>
      <c r="F728" s="8" t="s">
        <v>107</v>
      </c>
      <c r="G728" s="8" t="s">
        <v>63</v>
      </c>
      <c r="H728" s="8" t="s">
        <v>2349</v>
      </c>
      <c r="I728" s="8" t="s">
        <v>2945</v>
      </c>
      <c r="J728" s="8" t="s">
        <v>2341</v>
      </c>
      <c r="K728" s="8" t="s">
        <v>2342</v>
      </c>
    </row>
    <row r="729" spans="1:11" ht="47.25">
      <c r="A729" s="4" t="s">
        <v>819</v>
      </c>
      <c r="B729" s="4" t="s">
        <v>1041</v>
      </c>
      <c r="C729" s="8" t="s">
        <v>49</v>
      </c>
      <c r="D729" s="8" t="s">
        <v>49</v>
      </c>
      <c r="E729" s="8" t="s">
        <v>48</v>
      </c>
      <c r="F729" s="8" t="s">
        <v>49</v>
      </c>
      <c r="G729" s="8" t="s">
        <v>63</v>
      </c>
      <c r="H729" s="8" t="s">
        <v>2351</v>
      </c>
      <c r="I729" s="8" t="s">
        <v>2945</v>
      </c>
      <c r="J729" s="8" t="s">
        <v>2341</v>
      </c>
      <c r="K729" s="8" t="s">
        <v>2342</v>
      </c>
    </row>
    <row r="730" spans="1:11" ht="141.75">
      <c r="A730" s="4" t="s">
        <v>819</v>
      </c>
      <c r="B730" s="4" t="s">
        <v>32</v>
      </c>
      <c r="C730" s="8" t="s">
        <v>99</v>
      </c>
      <c r="D730" s="8" t="s">
        <v>99</v>
      </c>
      <c r="E730" s="8" t="s">
        <v>48</v>
      </c>
      <c r="F730" s="8" t="s">
        <v>99</v>
      </c>
      <c r="G730" s="8" t="s">
        <v>63</v>
      </c>
      <c r="H730" s="8" t="s">
        <v>2946</v>
      </c>
      <c r="I730" s="8" t="s">
        <v>2945</v>
      </c>
      <c r="J730" s="8" t="s">
        <v>2341</v>
      </c>
      <c r="K730" s="8" t="s">
        <v>2342</v>
      </c>
    </row>
    <row r="731" spans="1:11" ht="47.25">
      <c r="A731" s="4" t="s">
        <v>819</v>
      </c>
      <c r="B731" s="4" t="s">
        <v>1090</v>
      </c>
      <c r="C731" s="8" t="s">
        <v>2353</v>
      </c>
      <c r="D731" s="8" t="s">
        <v>2353</v>
      </c>
      <c r="E731" s="8" t="s">
        <v>48</v>
      </c>
      <c r="F731" s="8" t="s">
        <v>2353</v>
      </c>
      <c r="G731" s="8" t="s">
        <v>63</v>
      </c>
      <c r="H731" s="8" t="s">
        <v>2354</v>
      </c>
      <c r="I731" s="8" t="s">
        <v>1617</v>
      </c>
      <c r="J731" s="8" t="s">
        <v>2341</v>
      </c>
      <c r="K731" s="8" t="s">
        <v>2342</v>
      </c>
    </row>
    <row r="732" spans="1:11" ht="141.75">
      <c r="A732" s="4" t="s">
        <v>819</v>
      </c>
      <c r="B732" s="4" t="s">
        <v>1091</v>
      </c>
      <c r="C732" s="8" t="s">
        <v>2355</v>
      </c>
      <c r="D732" s="8" t="s">
        <v>2355</v>
      </c>
      <c r="E732" s="8" t="s">
        <v>48</v>
      </c>
      <c r="F732" s="8" t="s">
        <v>2355</v>
      </c>
      <c r="G732" s="8" t="s">
        <v>63</v>
      </c>
      <c r="H732" s="8" t="s">
        <v>2947</v>
      </c>
      <c r="I732" s="8" t="s">
        <v>2948</v>
      </c>
      <c r="J732" s="8" t="s">
        <v>2341</v>
      </c>
      <c r="K732" s="8" t="s">
        <v>2342</v>
      </c>
    </row>
    <row r="733" spans="1:11" ht="47.25">
      <c r="A733" s="4" t="s">
        <v>819</v>
      </c>
      <c r="B733" s="4" t="s">
        <v>35</v>
      </c>
      <c r="C733" s="8" t="s">
        <v>50</v>
      </c>
      <c r="D733" s="8" t="s">
        <v>50</v>
      </c>
      <c r="E733" s="8" t="s">
        <v>48</v>
      </c>
      <c r="F733" s="8" t="s">
        <v>50</v>
      </c>
      <c r="G733" s="8" t="s">
        <v>63</v>
      </c>
      <c r="H733" s="8" t="s">
        <v>2358</v>
      </c>
      <c r="I733" s="8" t="s">
        <v>2949</v>
      </c>
      <c r="J733" s="8" t="s">
        <v>2341</v>
      </c>
      <c r="K733" s="8" t="s">
        <v>2342</v>
      </c>
    </row>
    <row r="734" spans="1:11" ht="47.25">
      <c r="A734" s="4" t="s">
        <v>827</v>
      </c>
      <c r="B734" s="4" t="s">
        <v>1028</v>
      </c>
      <c r="C734" s="8" t="s">
        <v>83</v>
      </c>
      <c r="D734" s="8" t="s">
        <v>83</v>
      </c>
      <c r="E734" s="8" t="s">
        <v>48</v>
      </c>
      <c r="F734" s="8" t="s">
        <v>83</v>
      </c>
      <c r="G734" s="8" t="s">
        <v>63</v>
      </c>
      <c r="H734" s="8" t="s">
        <v>2875</v>
      </c>
      <c r="I734" s="8" t="s">
        <v>2884</v>
      </c>
      <c r="J734" s="8" t="s">
        <v>2341</v>
      </c>
      <c r="K734" s="8" t="s">
        <v>2342</v>
      </c>
    </row>
    <row r="735" spans="1:11" ht="47.25">
      <c r="A735" s="4" t="s">
        <v>827</v>
      </c>
      <c r="B735" s="4" t="s">
        <v>1030</v>
      </c>
      <c r="C735" s="8" t="s">
        <v>57</v>
      </c>
      <c r="D735" s="8" t="s">
        <v>57</v>
      </c>
      <c r="E735" s="8" t="s">
        <v>48</v>
      </c>
      <c r="F735" s="8" t="s">
        <v>57</v>
      </c>
      <c r="G735" s="8" t="s">
        <v>63</v>
      </c>
      <c r="H735" s="8" t="s">
        <v>2343</v>
      </c>
      <c r="I735" s="8" t="s">
        <v>2885</v>
      </c>
      <c r="J735" s="8" t="s">
        <v>2341</v>
      </c>
      <c r="K735" s="8" t="s">
        <v>2342</v>
      </c>
    </row>
    <row r="736" spans="1:11" ht="47.25">
      <c r="A736" s="4" t="s">
        <v>827</v>
      </c>
      <c r="B736" s="4" t="s">
        <v>1032</v>
      </c>
      <c r="C736" s="8" t="s">
        <v>111</v>
      </c>
      <c r="D736" s="8" t="s">
        <v>111</v>
      </c>
      <c r="E736" s="8" t="s">
        <v>48</v>
      </c>
      <c r="F736" s="8" t="s">
        <v>111</v>
      </c>
      <c r="G736" s="8" t="s">
        <v>63</v>
      </c>
      <c r="H736" s="8" t="s">
        <v>2724</v>
      </c>
      <c r="I736" s="8" t="s">
        <v>2886</v>
      </c>
      <c r="J736" s="8" t="s">
        <v>2341</v>
      </c>
      <c r="K736" s="8" t="s">
        <v>2342</v>
      </c>
    </row>
    <row r="737" spans="1:11" ht="47.25">
      <c r="A737" s="4" t="s">
        <v>827</v>
      </c>
      <c r="B737" s="4" t="s">
        <v>1034</v>
      </c>
      <c r="C737" s="8" t="s">
        <v>86</v>
      </c>
      <c r="D737" s="8" t="s">
        <v>86</v>
      </c>
      <c r="E737" s="8" t="s">
        <v>48</v>
      </c>
      <c r="F737" s="8" t="s">
        <v>86</v>
      </c>
      <c r="G737" s="8" t="s">
        <v>63</v>
      </c>
      <c r="H737" s="8" t="s">
        <v>2347</v>
      </c>
      <c r="I737" s="8" t="s">
        <v>2887</v>
      </c>
      <c r="J737" s="8" t="s">
        <v>2341</v>
      </c>
      <c r="K737" s="8" t="s">
        <v>2342</v>
      </c>
    </row>
    <row r="738" spans="1:11" ht="47.25">
      <c r="A738" s="4" t="s">
        <v>827</v>
      </c>
      <c r="B738" s="4" t="s">
        <v>1038</v>
      </c>
      <c r="C738" s="8" t="s">
        <v>107</v>
      </c>
      <c r="D738" s="8" t="s">
        <v>107</v>
      </c>
      <c r="E738" s="8" t="s">
        <v>48</v>
      </c>
      <c r="F738" s="8" t="s">
        <v>107</v>
      </c>
      <c r="G738" s="8" t="s">
        <v>63</v>
      </c>
      <c r="H738" s="8" t="s">
        <v>2349</v>
      </c>
      <c r="I738" s="8" t="s">
        <v>2950</v>
      </c>
      <c r="J738" s="8" t="s">
        <v>2341</v>
      </c>
      <c r="K738" s="8" t="s">
        <v>2342</v>
      </c>
    </row>
    <row r="739" spans="1:11" ht="47.25">
      <c r="A739" s="4" t="s">
        <v>827</v>
      </c>
      <c r="B739" s="4" t="s">
        <v>1041</v>
      </c>
      <c r="C739" s="8" t="s">
        <v>49</v>
      </c>
      <c r="D739" s="8" t="s">
        <v>49</v>
      </c>
      <c r="E739" s="8" t="s">
        <v>48</v>
      </c>
      <c r="F739" s="8" t="s">
        <v>49</v>
      </c>
      <c r="G739" s="8" t="s">
        <v>63</v>
      </c>
      <c r="H739" s="8" t="s">
        <v>2351</v>
      </c>
      <c r="I739" s="8" t="s">
        <v>2950</v>
      </c>
      <c r="J739" s="8" t="s">
        <v>2341</v>
      </c>
      <c r="K739" s="8" t="s">
        <v>2342</v>
      </c>
    </row>
    <row r="740" spans="1:11" ht="126">
      <c r="A740" s="4" t="s">
        <v>827</v>
      </c>
      <c r="B740" s="4" t="s">
        <v>32</v>
      </c>
      <c r="C740" s="8" t="s">
        <v>99</v>
      </c>
      <c r="D740" s="8" t="s">
        <v>99</v>
      </c>
      <c r="E740" s="8" t="s">
        <v>48</v>
      </c>
      <c r="F740" s="8" t="s">
        <v>99</v>
      </c>
      <c r="G740" s="8" t="s">
        <v>63</v>
      </c>
      <c r="H740" s="8" t="s">
        <v>2951</v>
      </c>
      <c r="I740" s="8" t="s">
        <v>2950</v>
      </c>
      <c r="J740" s="8" t="s">
        <v>2341</v>
      </c>
      <c r="K740" s="8" t="s">
        <v>2342</v>
      </c>
    </row>
    <row r="741" spans="1:11" ht="47.25">
      <c r="A741" s="4" t="s">
        <v>827</v>
      </c>
      <c r="B741" s="4" t="s">
        <v>1090</v>
      </c>
      <c r="C741" s="8" t="s">
        <v>2353</v>
      </c>
      <c r="D741" s="8" t="s">
        <v>2353</v>
      </c>
      <c r="E741" s="8" t="s">
        <v>48</v>
      </c>
      <c r="F741" s="8" t="s">
        <v>2353</v>
      </c>
      <c r="G741" s="8" t="s">
        <v>63</v>
      </c>
      <c r="H741" s="8" t="s">
        <v>2354</v>
      </c>
      <c r="I741" s="8" t="s">
        <v>1617</v>
      </c>
      <c r="J741" s="8" t="s">
        <v>2341</v>
      </c>
      <c r="K741" s="8" t="s">
        <v>2342</v>
      </c>
    </row>
    <row r="742" spans="1:11" ht="141.75">
      <c r="A742" s="4" t="s">
        <v>827</v>
      </c>
      <c r="B742" s="4" t="s">
        <v>1091</v>
      </c>
      <c r="C742" s="8" t="s">
        <v>2355</v>
      </c>
      <c r="D742" s="8" t="s">
        <v>2355</v>
      </c>
      <c r="E742" s="8" t="s">
        <v>48</v>
      </c>
      <c r="F742" s="8" t="s">
        <v>2355</v>
      </c>
      <c r="G742" s="8" t="s">
        <v>63</v>
      </c>
      <c r="H742" s="8" t="s">
        <v>2952</v>
      </c>
      <c r="I742" s="8" t="s">
        <v>2953</v>
      </c>
      <c r="J742" s="8" t="s">
        <v>2341</v>
      </c>
      <c r="K742" s="8" t="s">
        <v>2342</v>
      </c>
    </row>
    <row r="743" spans="1:11" ht="47.25">
      <c r="A743" s="4" t="s">
        <v>827</v>
      </c>
      <c r="B743" s="4" t="s">
        <v>35</v>
      </c>
      <c r="C743" s="8" t="s">
        <v>50</v>
      </c>
      <c r="D743" s="8" t="s">
        <v>50</v>
      </c>
      <c r="E743" s="8" t="s">
        <v>48</v>
      </c>
      <c r="F743" s="8" t="s">
        <v>50</v>
      </c>
      <c r="G743" s="8" t="s">
        <v>63</v>
      </c>
      <c r="H743" s="8" t="s">
        <v>2358</v>
      </c>
      <c r="I743" s="8" t="s">
        <v>2887</v>
      </c>
      <c r="J743" s="8" t="s">
        <v>2341</v>
      </c>
      <c r="K743" s="8" t="s">
        <v>2342</v>
      </c>
    </row>
    <row r="744" spans="1:11" ht="47.25">
      <c r="A744" s="4" t="s">
        <v>836</v>
      </c>
      <c r="B744" s="4" t="s">
        <v>1028</v>
      </c>
      <c r="C744" s="8" t="s">
        <v>83</v>
      </c>
      <c r="D744" s="8" t="s">
        <v>83</v>
      </c>
      <c r="E744" s="8" t="s">
        <v>48</v>
      </c>
      <c r="F744" s="8" t="s">
        <v>83</v>
      </c>
      <c r="G744" s="8" t="s">
        <v>63</v>
      </c>
      <c r="H744" s="8" t="s">
        <v>2875</v>
      </c>
      <c r="I744" s="8" t="s">
        <v>2868</v>
      </c>
      <c r="J744" s="8" t="s">
        <v>2341</v>
      </c>
      <c r="K744" s="8" t="s">
        <v>2342</v>
      </c>
    </row>
    <row r="745" spans="1:11" ht="47.25">
      <c r="A745" s="4" t="s">
        <v>836</v>
      </c>
      <c r="B745" s="4" t="s">
        <v>1030</v>
      </c>
      <c r="C745" s="8" t="s">
        <v>57</v>
      </c>
      <c r="D745" s="8" t="s">
        <v>57</v>
      </c>
      <c r="E745" s="8" t="s">
        <v>48</v>
      </c>
      <c r="F745" s="8" t="s">
        <v>57</v>
      </c>
      <c r="G745" s="8" t="s">
        <v>63</v>
      </c>
      <c r="H745" s="8" t="s">
        <v>2343</v>
      </c>
      <c r="I745" s="8" t="s">
        <v>2942</v>
      </c>
      <c r="J745" s="8" t="s">
        <v>2341</v>
      </c>
      <c r="K745" s="8" t="s">
        <v>2342</v>
      </c>
    </row>
    <row r="746" spans="1:11" ht="47.25">
      <c r="A746" s="4" t="s">
        <v>836</v>
      </c>
      <c r="B746" s="4" t="s">
        <v>1032</v>
      </c>
      <c r="C746" s="8" t="s">
        <v>43</v>
      </c>
      <c r="D746" s="8" t="s">
        <v>43</v>
      </c>
      <c r="E746" s="8" t="s">
        <v>48</v>
      </c>
      <c r="F746" s="8" t="s">
        <v>43</v>
      </c>
      <c r="G746" s="8" t="s">
        <v>63</v>
      </c>
      <c r="H746" s="8" t="s">
        <v>2549</v>
      </c>
      <c r="I746" s="8" t="s">
        <v>2870</v>
      </c>
      <c r="J746" s="8" t="s">
        <v>2341</v>
      </c>
      <c r="K746" s="8" t="s">
        <v>2342</v>
      </c>
    </row>
    <row r="747" spans="1:11" ht="47.25">
      <c r="A747" s="4" t="s">
        <v>836</v>
      </c>
      <c r="B747" s="4" t="s">
        <v>1034</v>
      </c>
      <c r="C747" s="8" t="s">
        <v>86</v>
      </c>
      <c r="D747" s="8" t="s">
        <v>86</v>
      </c>
      <c r="E747" s="8" t="s">
        <v>48</v>
      </c>
      <c r="F747" s="8" t="s">
        <v>86</v>
      </c>
      <c r="G747" s="8" t="s">
        <v>63</v>
      </c>
      <c r="H747" s="8" t="s">
        <v>2347</v>
      </c>
      <c r="I747" s="8" t="s">
        <v>2954</v>
      </c>
      <c r="J747" s="8" t="s">
        <v>2341</v>
      </c>
      <c r="K747" s="8" t="s">
        <v>2342</v>
      </c>
    </row>
    <row r="748" spans="1:11" ht="47.25">
      <c r="A748" s="4" t="s">
        <v>836</v>
      </c>
      <c r="B748" s="4" t="s">
        <v>1038</v>
      </c>
      <c r="C748" s="8" t="s">
        <v>107</v>
      </c>
      <c r="D748" s="8" t="s">
        <v>107</v>
      </c>
      <c r="E748" s="8" t="s">
        <v>48</v>
      </c>
      <c r="F748" s="8" t="s">
        <v>107</v>
      </c>
      <c r="G748" s="8" t="s">
        <v>63</v>
      </c>
      <c r="H748" s="8" t="s">
        <v>2349</v>
      </c>
      <c r="I748" s="8" t="s">
        <v>2945</v>
      </c>
      <c r="J748" s="8" t="s">
        <v>2341</v>
      </c>
      <c r="K748" s="8" t="s">
        <v>2342</v>
      </c>
    </row>
    <row r="749" spans="1:11" ht="47.25">
      <c r="A749" s="4" t="s">
        <v>836</v>
      </c>
      <c r="B749" s="4" t="s">
        <v>1041</v>
      </c>
      <c r="C749" s="8" t="s">
        <v>49</v>
      </c>
      <c r="D749" s="8" t="s">
        <v>49</v>
      </c>
      <c r="E749" s="8" t="s">
        <v>48</v>
      </c>
      <c r="F749" s="8" t="s">
        <v>49</v>
      </c>
      <c r="G749" s="8" t="s">
        <v>63</v>
      </c>
      <c r="H749" s="8" t="s">
        <v>2351</v>
      </c>
      <c r="I749" s="8" t="s">
        <v>2945</v>
      </c>
      <c r="J749" s="8" t="s">
        <v>2341</v>
      </c>
      <c r="K749" s="8" t="s">
        <v>2342</v>
      </c>
    </row>
    <row r="750" spans="1:11" ht="126">
      <c r="A750" s="4" t="s">
        <v>836</v>
      </c>
      <c r="B750" s="4" t="s">
        <v>32</v>
      </c>
      <c r="C750" s="8" t="s">
        <v>99</v>
      </c>
      <c r="D750" s="8" t="s">
        <v>99</v>
      </c>
      <c r="E750" s="8" t="s">
        <v>48</v>
      </c>
      <c r="F750" s="8" t="s">
        <v>99</v>
      </c>
      <c r="G750" s="8" t="s">
        <v>63</v>
      </c>
      <c r="H750" s="8" t="s">
        <v>2955</v>
      </c>
      <c r="I750" s="8" t="s">
        <v>2945</v>
      </c>
      <c r="J750" s="8" t="s">
        <v>2341</v>
      </c>
      <c r="K750" s="8" t="s">
        <v>2342</v>
      </c>
    </row>
    <row r="751" spans="1:11" ht="47.25">
      <c r="A751" s="4" t="s">
        <v>836</v>
      </c>
      <c r="B751" s="4" t="s">
        <v>1090</v>
      </c>
      <c r="C751" s="8" t="s">
        <v>2353</v>
      </c>
      <c r="D751" s="8" t="s">
        <v>2353</v>
      </c>
      <c r="E751" s="8" t="s">
        <v>48</v>
      </c>
      <c r="F751" s="8" t="s">
        <v>2353</v>
      </c>
      <c r="G751" s="8" t="s">
        <v>63</v>
      </c>
      <c r="H751" s="8" t="s">
        <v>2354</v>
      </c>
      <c r="I751" s="8" t="s">
        <v>1617</v>
      </c>
      <c r="J751" s="8" t="s">
        <v>2341</v>
      </c>
      <c r="K751" s="8" t="s">
        <v>2342</v>
      </c>
    </row>
    <row r="752" spans="1:11" ht="141.75">
      <c r="A752" s="4" t="s">
        <v>836</v>
      </c>
      <c r="B752" s="4" t="s">
        <v>1091</v>
      </c>
      <c r="C752" s="8" t="s">
        <v>2355</v>
      </c>
      <c r="D752" s="8" t="s">
        <v>2355</v>
      </c>
      <c r="E752" s="8" t="s">
        <v>48</v>
      </c>
      <c r="F752" s="8" t="s">
        <v>2355</v>
      </c>
      <c r="G752" s="8" t="s">
        <v>63</v>
      </c>
      <c r="H752" s="8" t="s">
        <v>2956</v>
      </c>
      <c r="I752" s="8" t="s">
        <v>2957</v>
      </c>
      <c r="J752" s="8" t="s">
        <v>2341</v>
      </c>
      <c r="K752" s="8" t="s">
        <v>2342</v>
      </c>
    </row>
    <row r="753" spans="1:11" ht="47.25">
      <c r="A753" s="4" t="s">
        <v>836</v>
      </c>
      <c r="B753" s="4" t="s">
        <v>35</v>
      </c>
      <c r="C753" s="8" t="s">
        <v>50</v>
      </c>
      <c r="D753" s="8" t="s">
        <v>50</v>
      </c>
      <c r="E753" s="8" t="s">
        <v>48</v>
      </c>
      <c r="F753" s="8" t="s">
        <v>50</v>
      </c>
      <c r="G753" s="8" t="s">
        <v>63</v>
      </c>
      <c r="H753" s="8" t="s">
        <v>2358</v>
      </c>
      <c r="I753" s="8" t="s">
        <v>2958</v>
      </c>
      <c r="J753" s="8" t="s">
        <v>2341</v>
      </c>
      <c r="K753" s="8" t="s">
        <v>2342</v>
      </c>
    </row>
    <row r="754" spans="1:11" ht="47.25">
      <c r="A754" s="4" t="s">
        <v>845</v>
      </c>
      <c r="B754" s="4" t="s">
        <v>1028</v>
      </c>
      <c r="C754" s="8" t="s">
        <v>83</v>
      </c>
      <c r="D754" s="8" t="s">
        <v>83</v>
      </c>
      <c r="E754" s="8" t="s">
        <v>48</v>
      </c>
      <c r="F754" s="8" t="s">
        <v>83</v>
      </c>
      <c r="G754" s="8" t="s">
        <v>63</v>
      </c>
      <c r="H754" s="8" t="s">
        <v>2875</v>
      </c>
      <c r="I754" s="8" t="s">
        <v>2876</v>
      </c>
      <c r="J754" s="8" t="s">
        <v>2341</v>
      </c>
      <c r="K754" s="8" t="s">
        <v>2342</v>
      </c>
    </row>
    <row r="755" spans="1:11" ht="47.25">
      <c r="A755" s="4" t="s">
        <v>845</v>
      </c>
      <c r="B755" s="4" t="s">
        <v>1030</v>
      </c>
      <c r="C755" s="8" t="s">
        <v>57</v>
      </c>
      <c r="D755" s="8" t="s">
        <v>57</v>
      </c>
      <c r="E755" s="8" t="s">
        <v>48</v>
      </c>
      <c r="F755" s="8" t="s">
        <v>57</v>
      </c>
      <c r="G755" s="8" t="s">
        <v>63</v>
      </c>
      <c r="H755" s="8" t="s">
        <v>2343</v>
      </c>
      <c r="I755" s="8" t="s">
        <v>2959</v>
      </c>
      <c r="J755" s="8" t="s">
        <v>2341</v>
      </c>
      <c r="K755" s="8" t="s">
        <v>2342</v>
      </c>
    </row>
    <row r="756" spans="1:11" ht="47.25">
      <c r="A756" s="4" t="s">
        <v>845</v>
      </c>
      <c r="B756" s="4" t="s">
        <v>1032</v>
      </c>
      <c r="C756" s="8" t="s">
        <v>43</v>
      </c>
      <c r="D756" s="8" t="s">
        <v>43</v>
      </c>
      <c r="E756" s="8" t="s">
        <v>48</v>
      </c>
      <c r="F756" s="8" t="s">
        <v>43</v>
      </c>
      <c r="G756" s="8" t="s">
        <v>63</v>
      </c>
      <c r="H756" s="8" t="s">
        <v>2549</v>
      </c>
      <c r="I756" s="8" t="s">
        <v>2878</v>
      </c>
      <c r="J756" s="8" t="s">
        <v>2341</v>
      </c>
      <c r="K756" s="8" t="s">
        <v>2342</v>
      </c>
    </row>
    <row r="757" spans="1:11" ht="47.25">
      <c r="A757" s="4" t="s">
        <v>845</v>
      </c>
      <c r="B757" s="4" t="s">
        <v>1034</v>
      </c>
      <c r="C757" s="8" t="s">
        <v>86</v>
      </c>
      <c r="D757" s="8" t="s">
        <v>86</v>
      </c>
      <c r="E757" s="8" t="s">
        <v>48</v>
      </c>
      <c r="F757" s="8" t="s">
        <v>86</v>
      </c>
      <c r="G757" s="8" t="s">
        <v>63</v>
      </c>
      <c r="H757" s="8" t="s">
        <v>2347</v>
      </c>
      <c r="I757" s="8" t="s">
        <v>2960</v>
      </c>
      <c r="J757" s="8" t="s">
        <v>2341</v>
      </c>
      <c r="K757" s="8" t="s">
        <v>2342</v>
      </c>
    </row>
    <row r="758" spans="1:11" ht="47.25">
      <c r="A758" s="4" t="s">
        <v>845</v>
      </c>
      <c r="B758" s="4" t="s">
        <v>1038</v>
      </c>
      <c r="C758" s="8" t="s">
        <v>107</v>
      </c>
      <c r="D758" s="8" t="s">
        <v>107</v>
      </c>
      <c r="E758" s="8" t="s">
        <v>48</v>
      </c>
      <c r="F758" s="8" t="s">
        <v>107</v>
      </c>
      <c r="G758" s="8" t="s">
        <v>63</v>
      </c>
      <c r="H758" s="8" t="s">
        <v>2349</v>
      </c>
      <c r="I758" s="8" t="s">
        <v>2961</v>
      </c>
      <c r="J758" s="8" t="s">
        <v>2341</v>
      </c>
      <c r="K758" s="8" t="s">
        <v>2342</v>
      </c>
    </row>
    <row r="759" spans="1:11" ht="47.25">
      <c r="A759" s="4" t="s">
        <v>845</v>
      </c>
      <c r="B759" s="4" t="s">
        <v>1041</v>
      </c>
      <c r="C759" s="8" t="s">
        <v>49</v>
      </c>
      <c r="D759" s="8" t="s">
        <v>49</v>
      </c>
      <c r="E759" s="8" t="s">
        <v>48</v>
      </c>
      <c r="F759" s="8" t="s">
        <v>49</v>
      </c>
      <c r="G759" s="8" t="s">
        <v>63</v>
      </c>
      <c r="H759" s="8" t="s">
        <v>2351</v>
      </c>
      <c r="I759" s="8" t="s">
        <v>2961</v>
      </c>
      <c r="J759" s="8" t="s">
        <v>2341</v>
      </c>
      <c r="K759" s="8" t="s">
        <v>2342</v>
      </c>
    </row>
    <row r="760" spans="1:11" ht="126">
      <c r="A760" s="4" t="s">
        <v>845</v>
      </c>
      <c r="B760" s="4" t="s">
        <v>32</v>
      </c>
      <c r="C760" s="8" t="s">
        <v>99</v>
      </c>
      <c r="D760" s="8" t="s">
        <v>99</v>
      </c>
      <c r="E760" s="8" t="s">
        <v>48</v>
      </c>
      <c r="F760" s="8" t="s">
        <v>99</v>
      </c>
      <c r="G760" s="8" t="s">
        <v>63</v>
      </c>
      <c r="H760" s="8" t="s">
        <v>2962</v>
      </c>
      <c r="I760" s="8" t="s">
        <v>2961</v>
      </c>
      <c r="J760" s="8" t="s">
        <v>2341</v>
      </c>
      <c r="K760" s="8" t="s">
        <v>2342</v>
      </c>
    </row>
    <row r="761" spans="1:11" ht="47.25">
      <c r="A761" s="4" t="s">
        <v>845</v>
      </c>
      <c r="B761" s="4" t="s">
        <v>1090</v>
      </c>
      <c r="C761" s="8" t="s">
        <v>2353</v>
      </c>
      <c r="D761" s="8" t="s">
        <v>2353</v>
      </c>
      <c r="E761" s="8" t="s">
        <v>48</v>
      </c>
      <c r="F761" s="8" t="s">
        <v>2353</v>
      </c>
      <c r="G761" s="8" t="s">
        <v>63</v>
      </c>
      <c r="H761" s="8" t="s">
        <v>2354</v>
      </c>
      <c r="I761" s="8" t="s">
        <v>1617</v>
      </c>
      <c r="J761" s="8" t="s">
        <v>2341</v>
      </c>
      <c r="K761" s="8" t="s">
        <v>2342</v>
      </c>
    </row>
    <row r="762" spans="1:11" ht="141.75">
      <c r="A762" s="4" t="s">
        <v>845</v>
      </c>
      <c r="B762" s="4" t="s">
        <v>1091</v>
      </c>
      <c r="C762" s="8" t="s">
        <v>2355</v>
      </c>
      <c r="D762" s="8" t="s">
        <v>2355</v>
      </c>
      <c r="E762" s="8" t="s">
        <v>48</v>
      </c>
      <c r="F762" s="8" t="s">
        <v>2355</v>
      </c>
      <c r="G762" s="8" t="s">
        <v>63</v>
      </c>
      <c r="H762" s="8" t="s">
        <v>2963</v>
      </c>
      <c r="I762" s="8" t="s">
        <v>2964</v>
      </c>
      <c r="J762" s="8" t="s">
        <v>2341</v>
      </c>
      <c r="K762" s="8" t="s">
        <v>2342</v>
      </c>
    </row>
    <row r="763" spans="1:11" ht="47.25">
      <c r="A763" s="4" t="s">
        <v>845</v>
      </c>
      <c r="B763" s="4" t="s">
        <v>35</v>
      </c>
      <c r="C763" s="8" t="s">
        <v>50</v>
      </c>
      <c r="D763" s="8" t="s">
        <v>50</v>
      </c>
      <c r="E763" s="8" t="s">
        <v>48</v>
      </c>
      <c r="F763" s="8" t="s">
        <v>50</v>
      </c>
      <c r="G763" s="8" t="s">
        <v>63</v>
      </c>
      <c r="H763" s="8" t="s">
        <v>2358</v>
      </c>
      <c r="I763" s="8" t="s">
        <v>2965</v>
      </c>
      <c r="J763" s="8" t="s">
        <v>2341</v>
      </c>
      <c r="K763" s="8" t="s">
        <v>2342</v>
      </c>
    </row>
    <row r="764" spans="1:11" ht="47.25">
      <c r="A764" s="4" t="s">
        <v>854</v>
      </c>
      <c r="B764" s="4" t="s">
        <v>1028</v>
      </c>
      <c r="C764" s="8" t="s">
        <v>83</v>
      </c>
      <c r="D764" s="8" t="s">
        <v>83</v>
      </c>
      <c r="E764" s="8" t="s">
        <v>48</v>
      </c>
      <c r="F764" s="8" t="s">
        <v>83</v>
      </c>
      <c r="G764" s="8" t="s">
        <v>63</v>
      </c>
      <c r="H764" s="8" t="s">
        <v>2875</v>
      </c>
      <c r="I764" s="8" t="s">
        <v>2868</v>
      </c>
      <c r="J764" s="8" t="s">
        <v>2341</v>
      </c>
      <c r="K764" s="8" t="s">
        <v>2342</v>
      </c>
    </row>
    <row r="765" spans="1:11" ht="47.25">
      <c r="A765" s="4" t="s">
        <v>854</v>
      </c>
      <c r="B765" s="4" t="s">
        <v>1030</v>
      </c>
      <c r="C765" s="8" t="s">
        <v>57</v>
      </c>
      <c r="D765" s="8" t="s">
        <v>57</v>
      </c>
      <c r="E765" s="8" t="s">
        <v>48</v>
      </c>
      <c r="F765" s="8" t="s">
        <v>57</v>
      </c>
      <c r="G765" s="8" t="s">
        <v>63</v>
      </c>
      <c r="H765" s="8" t="s">
        <v>2343</v>
      </c>
      <c r="I765" s="8" t="s">
        <v>2966</v>
      </c>
      <c r="J765" s="8" t="s">
        <v>2341</v>
      </c>
      <c r="K765" s="8" t="s">
        <v>2342</v>
      </c>
    </row>
    <row r="766" spans="1:11" ht="47.25">
      <c r="A766" s="4" t="s">
        <v>854</v>
      </c>
      <c r="B766" s="4" t="s">
        <v>1032</v>
      </c>
      <c r="C766" s="8" t="s">
        <v>43</v>
      </c>
      <c r="D766" s="8" t="s">
        <v>43</v>
      </c>
      <c r="E766" s="8" t="s">
        <v>48</v>
      </c>
      <c r="F766" s="8" t="s">
        <v>43</v>
      </c>
      <c r="G766" s="8" t="s">
        <v>63</v>
      </c>
      <c r="H766" s="8" t="s">
        <v>2549</v>
      </c>
      <c r="I766" s="8" t="s">
        <v>2870</v>
      </c>
      <c r="J766" s="8" t="s">
        <v>2341</v>
      </c>
      <c r="K766" s="8" t="s">
        <v>2342</v>
      </c>
    </row>
    <row r="767" spans="1:11" ht="47.25">
      <c r="A767" s="4" t="s">
        <v>854</v>
      </c>
      <c r="B767" s="4" t="s">
        <v>1034</v>
      </c>
      <c r="C767" s="8" t="s">
        <v>86</v>
      </c>
      <c r="D767" s="8" t="s">
        <v>86</v>
      </c>
      <c r="E767" s="8" t="s">
        <v>48</v>
      </c>
      <c r="F767" s="8" t="s">
        <v>86</v>
      </c>
      <c r="G767" s="8" t="s">
        <v>63</v>
      </c>
      <c r="H767" s="8" t="s">
        <v>2347</v>
      </c>
      <c r="I767" s="8" t="s">
        <v>2967</v>
      </c>
      <c r="J767" s="8" t="s">
        <v>2341</v>
      </c>
      <c r="K767" s="8" t="s">
        <v>2342</v>
      </c>
    </row>
    <row r="768" spans="1:11" ht="47.25">
      <c r="A768" s="4" t="s">
        <v>854</v>
      </c>
      <c r="B768" s="4" t="s">
        <v>1038</v>
      </c>
      <c r="C768" s="8" t="s">
        <v>107</v>
      </c>
      <c r="D768" s="8" t="s">
        <v>107</v>
      </c>
      <c r="E768" s="8" t="s">
        <v>48</v>
      </c>
      <c r="F768" s="8" t="s">
        <v>107</v>
      </c>
      <c r="G768" s="8" t="s">
        <v>63</v>
      </c>
      <c r="H768" s="8" t="s">
        <v>2349</v>
      </c>
      <c r="I768" s="8" t="s">
        <v>2968</v>
      </c>
      <c r="J768" s="8" t="s">
        <v>2341</v>
      </c>
      <c r="K768" s="8" t="s">
        <v>2342</v>
      </c>
    </row>
    <row r="769" spans="1:11" ht="47.25">
      <c r="A769" s="4" t="s">
        <v>854</v>
      </c>
      <c r="B769" s="4" t="s">
        <v>1041</v>
      </c>
      <c r="C769" s="8" t="s">
        <v>49</v>
      </c>
      <c r="D769" s="8" t="s">
        <v>49</v>
      </c>
      <c r="E769" s="8" t="s">
        <v>48</v>
      </c>
      <c r="F769" s="8" t="s">
        <v>49</v>
      </c>
      <c r="G769" s="8" t="s">
        <v>63</v>
      </c>
      <c r="H769" s="8" t="s">
        <v>2351</v>
      </c>
      <c r="I769" s="8" t="s">
        <v>2968</v>
      </c>
      <c r="J769" s="8" t="s">
        <v>2341</v>
      </c>
      <c r="K769" s="8" t="s">
        <v>2342</v>
      </c>
    </row>
    <row r="770" spans="1:11" ht="126">
      <c r="A770" s="4" t="s">
        <v>854</v>
      </c>
      <c r="B770" s="4" t="s">
        <v>32</v>
      </c>
      <c r="C770" s="8" t="s">
        <v>99</v>
      </c>
      <c r="D770" s="8" t="s">
        <v>99</v>
      </c>
      <c r="E770" s="8" t="s">
        <v>48</v>
      </c>
      <c r="F770" s="8" t="s">
        <v>99</v>
      </c>
      <c r="G770" s="8" t="s">
        <v>63</v>
      </c>
      <c r="H770" s="8" t="s">
        <v>2969</v>
      </c>
      <c r="I770" s="8" t="s">
        <v>2968</v>
      </c>
      <c r="J770" s="8" t="s">
        <v>2341</v>
      </c>
      <c r="K770" s="8" t="s">
        <v>2342</v>
      </c>
    </row>
    <row r="771" spans="1:11" ht="47.25">
      <c r="A771" s="4" t="s">
        <v>854</v>
      </c>
      <c r="B771" s="4" t="s">
        <v>1090</v>
      </c>
      <c r="C771" s="8" t="s">
        <v>2353</v>
      </c>
      <c r="D771" s="8" t="s">
        <v>2353</v>
      </c>
      <c r="E771" s="8" t="s">
        <v>48</v>
      </c>
      <c r="F771" s="8" t="s">
        <v>2353</v>
      </c>
      <c r="G771" s="8" t="s">
        <v>63</v>
      </c>
      <c r="H771" s="8" t="s">
        <v>2354</v>
      </c>
      <c r="I771" s="8" t="s">
        <v>1617</v>
      </c>
      <c r="J771" s="8" t="s">
        <v>2341</v>
      </c>
      <c r="K771" s="8" t="s">
        <v>2342</v>
      </c>
    </row>
    <row r="772" spans="1:11" ht="141.75">
      <c r="A772" s="4" t="s">
        <v>854</v>
      </c>
      <c r="B772" s="4" t="s">
        <v>1091</v>
      </c>
      <c r="C772" s="8" t="s">
        <v>2355</v>
      </c>
      <c r="D772" s="8" t="s">
        <v>2355</v>
      </c>
      <c r="E772" s="8" t="s">
        <v>48</v>
      </c>
      <c r="F772" s="8" t="s">
        <v>2355</v>
      </c>
      <c r="G772" s="8" t="s">
        <v>63</v>
      </c>
      <c r="H772" s="8" t="s">
        <v>2970</v>
      </c>
      <c r="I772" s="8" t="s">
        <v>2971</v>
      </c>
      <c r="J772" s="8" t="s">
        <v>2341</v>
      </c>
      <c r="K772" s="8" t="s">
        <v>2342</v>
      </c>
    </row>
    <row r="773" spans="1:11" ht="47.25">
      <c r="A773" s="4" t="s">
        <v>854</v>
      </c>
      <c r="B773" s="4" t="s">
        <v>35</v>
      </c>
      <c r="C773" s="8" t="s">
        <v>50</v>
      </c>
      <c r="D773" s="8" t="s">
        <v>50</v>
      </c>
      <c r="E773" s="8" t="s">
        <v>48</v>
      </c>
      <c r="F773" s="8" t="s">
        <v>50</v>
      </c>
      <c r="G773" s="8" t="s">
        <v>63</v>
      </c>
      <c r="H773" s="8" t="s">
        <v>2358</v>
      </c>
      <c r="I773" s="8" t="s">
        <v>2958</v>
      </c>
      <c r="J773" s="8" t="s">
        <v>2341</v>
      </c>
      <c r="K773" s="8" t="s">
        <v>2342</v>
      </c>
    </row>
    <row r="774" spans="1:11" ht="47.25">
      <c r="A774" s="4" t="s">
        <v>863</v>
      </c>
      <c r="B774" s="4" t="s">
        <v>1028</v>
      </c>
      <c r="C774" s="8" t="s">
        <v>83</v>
      </c>
      <c r="D774" s="8" t="s">
        <v>83</v>
      </c>
      <c r="E774" s="8" t="s">
        <v>48</v>
      </c>
      <c r="F774" s="8" t="s">
        <v>83</v>
      </c>
      <c r="G774" s="8" t="s">
        <v>63</v>
      </c>
      <c r="H774" s="8" t="s">
        <v>2875</v>
      </c>
      <c r="I774" s="8" t="s">
        <v>2972</v>
      </c>
      <c r="J774" s="8" t="s">
        <v>2341</v>
      </c>
      <c r="K774" s="8" t="s">
        <v>2342</v>
      </c>
    </row>
    <row r="775" spans="1:11" ht="47.25">
      <c r="A775" s="4" t="s">
        <v>863</v>
      </c>
      <c r="B775" s="4" t="s">
        <v>1030</v>
      </c>
      <c r="C775" s="8" t="s">
        <v>57</v>
      </c>
      <c r="D775" s="8" t="s">
        <v>57</v>
      </c>
      <c r="E775" s="8" t="s">
        <v>48</v>
      </c>
      <c r="F775" s="8" t="s">
        <v>57</v>
      </c>
      <c r="G775" s="8" t="s">
        <v>63</v>
      </c>
      <c r="H775" s="8" t="s">
        <v>2343</v>
      </c>
      <c r="I775" s="8" t="s">
        <v>2901</v>
      </c>
      <c r="J775" s="8" t="s">
        <v>2341</v>
      </c>
      <c r="K775" s="8" t="s">
        <v>2342</v>
      </c>
    </row>
    <row r="776" spans="1:11" ht="47.25">
      <c r="A776" s="4" t="s">
        <v>863</v>
      </c>
      <c r="B776" s="4" t="s">
        <v>1032</v>
      </c>
      <c r="C776" s="8" t="s">
        <v>111</v>
      </c>
      <c r="D776" s="8" t="s">
        <v>111</v>
      </c>
      <c r="E776" s="8" t="s">
        <v>48</v>
      </c>
      <c r="F776" s="8" t="s">
        <v>111</v>
      </c>
      <c r="G776" s="8" t="s">
        <v>63</v>
      </c>
      <c r="H776" s="8" t="s">
        <v>2724</v>
      </c>
      <c r="I776" s="8" t="s">
        <v>2973</v>
      </c>
      <c r="J776" s="8" t="s">
        <v>2341</v>
      </c>
      <c r="K776" s="8" t="s">
        <v>2342</v>
      </c>
    </row>
    <row r="777" spans="1:11" ht="47.25">
      <c r="A777" s="4" t="s">
        <v>863</v>
      </c>
      <c r="B777" s="4" t="s">
        <v>1034</v>
      </c>
      <c r="C777" s="8" t="s">
        <v>86</v>
      </c>
      <c r="D777" s="8" t="s">
        <v>86</v>
      </c>
      <c r="E777" s="8" t="s">
        <v>48</v>
      </c>
      <c r="F777" s="8" t="s">
        <v>86</v>
      </c>
      <c r="G777" s="8" t="s">
        <v>63</v>
      </c>
      <c r="H777" s="8" t="s">
        <v>2347</v>
      </c>
      <c r="I777" s="8" t="s">
        <v>2974</v>
      </c>
      <c r="J777" s="8" t="s">
        <v>2341</v>
      </c>
      <c r="K777" s="8" t="s">
        <v>2342</v>
      </c>
    </row>
    <row r="778" spans="1:11" ht="47.25">
      <c r="A778" s="4" t="s">
        <v>863</v>
      </c>
      <c r="B778" s="4" t="s">
        <v>1038</v>
      </c>
      <c r="C778" s="8" t="s">
        <v>107</v>
      </c>
      <c r="D778" s="8" t="s">
        <v>107</v>
      </c>
      <c r="E778" s="8" t="s">
        <v>48</v>
      </c>
      <c r="F778" s="8" t="s">
        <v>107</v>
      </c>
      <c r="G778" s="8" t="s">
        <v>63</v>
      </c>
      <c r="H778" s="8" t="s">
        <v>2349</v>
      </c>
      <c r="I778" s="8" t="s">
        <v>2975</v>
      </c>
      <c r="J778" s="8" t="s">
        <v>2341</v>
      </c>
      <c r="K778" s="8" t="s">
        <v>2342</v>
      </c>
    </row>
    <row r="779" spans="1:11" ht="47.25">
      <c r="A779" s="4" t="s">
        <v>863</v>
      </c>
      <c r="B779" s="4" t="s">
        <v>1041</v>
      </c>
      <c r="C779" s="8" t="s">
        <v>49</v>
      </c>
      <c r="D779" s="8" t="s">
        <v>49</v>
      </c>
      <c r="E779" s="8" t="s">
        <v>48</v>
      </c>
      <c r="F779" s="8" t="s">
        <v>49</v>
      </c>
      <c r="G779" s="8" t="s">
        <v>63</v>
      </c>
      <c r="H779" s="8" t="s">
        <v>2351</v>
      </c>
      <c r="I779" s="8" t="s">
        <v>2975</v>
      </c>
      <c r="J779" s="8" t="s">
        <v>2341</v>
      </c>
      <c r="K779" s="8" t="s">
        <v>2342</v>
      </c>
    </row>
    <row r="780" spans="1:11" ht="126">
      <c r="A780" s="4" t="s">
        <v>863</v>
      </c>
      <c r="B780" s="4" t="s">
        <v>32</v>
      </c>
      <c r="C780" s="8" t="s">
        <v>99</v>
      </c>
      <c r="D780" s="8" t="s">
        <v>99</v>
      </c>
      <c r="E780" s="8" t="s">
        <v>48</v>
      </c>
      <c r="F780" s="8" t="s">
        <v>99</v>
      </c>
      <c r="G780" s="8" t="s">
        <v>63</v>
      </c>
      <c r="H780" s="8" t="s">
        <v>2976</v>
      </c>
      <c r="I780" s="8" t="s">
        <v>2975</v>
      </c>
      <c r="J780" s="8" t="s">
        <v>2341</v>
      </c>
      <c r="K780" s="8" t="s">
        <v>2342</v>
      </c>
    </row>
    <row r="781" spans="1:11" ht="47.25">
      <c r="A781" s="4" t="s">
        <v>863</v>
      </c>
      <c r="B781" s="4" t="s">
        <v>1090</v>
      </c>
      <c r="C781" s="8" t="s">
        <v>2353</v>
      </c>
      <c r="D781" s="8" t="s">
        <v>2353</v>
      </c>
      <c r="E781" s="8" t="s">
        <v>48</v>
      </c>
      <c r="F781" s="8" t="s">
        <v>2353</v>
      </c>
      <c r="G781" s="8" t="s">
        <v>63</v>
      </c>
      <c r="H781" s="8" t="s">
        <v>2354</v>
      </c>
      <c r="I781" s="8" t="s">
        <v>1617</v>
      </c>
      <c r="J781" s="8" t="s">
        <v>2341</v>
      </c>
      <c r="K781" s="8" t="s">
        <v>2342</v>
      </c>
    </row>
    <row r="782" spans="1:11" ht="141.75">
      <c r="A782" s="4" t="s">
        <v>863</v>
      </c>
      <c r="B782" s="4" t="s">
        <v>1091</v>
      </c>
      <c r="C782" s="8" t="s">
        <v>2355</v>
      </c>
      <c r="D782" s="8" t="s">
        <v>2355</v>
      </c>
      <c r="E782" s="8" t="s">
        <v>48</v>
      </c>
      <c r="F782" s="8" t="s">
        <v>2355</v>
      </c>
      <c r="G782" s="8" t="s">
        <v>63</v>
      </c>
      <c r="H782" s="8" t="s">
        <v>2977</v>
      </c>
      <c r="I782" s="8" t="s">
        <v>2978</v>
      </c>
      <c r="J782" s="8" t="s">
        <v>2341</v>
      </c>
      <c r="K782" s="8" t="s">
        <v>2342</v>
      </c>
    </row>
    <row r="783" spans="1:11" ht="47.25">
      <c r="A783" s="4" t="s">
        <v>863</v>
      </c>
      <c r="B783" s="4" t="s">
        <v>35</v>
      </c>
      <c r="C783" s="8" t="s">
        <v>50</v>
      </c>
      <c r="D783" s="8" t="s">
        <v>50</v>
      </c>
      <c r="E783" s="8" t="s">
        <v>48</v>
      </c>
      <c r="F783" s="8" t="s">
        <v>50</v>
      </c>
      <c r="G783" s="8" t="s">
        <v>63</v>
      </c>
      <c r="H783" s="8" t="s">
        <v>2358</v>
      </c>
      <c r="I783" s="8" t="s">
        <v>2979</v>
      </c>
      <c r="J783" s="8" t="s">
        <v>2341</v>
      </c>
      <c r="K783" s="8" t="s">
        <v>2342</v>
      </c>
    </row>
    <row r="784" spans="1:11" ht="47.25">
      <c r="A784" s="4" t="s">
        <v>871</v>
      </c>
      <c r="B784" s="4" t="s">
        <v>1028</v>
      </c>
      <c r="C784" s="8" t="s">
        <v>83</v>
      </c>
      <c r="D784" s="8" t="s">
        <v>83</v>
      </c>
      <c r="E784" s="8" t="s">
        <v>48</v>
      </c>
      <c r="F784" s="8" t="s">
        <v>83</v>
      </c>
      <c r="G784" s="8" t="s">
        <v>63</v>
      </c>
      <c r="H784" s="8" t="s">
        <v>2875</v>
      </c>
      <c r="I784" s="8" t="s">
        <v>2901</v>
      </c>
      <c r="J784" s="8" t="s">
        <v>2341</v>
      </c>
      <c r="K784" s="8" t="s">
        <v>2342</v>
      </c>
    </row>
    <row r="785" spans="1:11" ht="47.25">
      <c r="A785" s="4" t="s">
        <v>871</v>
      </c>
      <c r="B785" s="4" t="s">
        <v>1030</v>
      </c>
      <c r="C785" s="8" t="s">
        <v>57</v>
      </c>
      <c r="D785" s="8" t="s">
        <v>57</v>
      </c>
      <c r="E785" s="8" t="s">
        <v>48</v>
      </c>
      <c r="F785" s="8" t="s">
        <v>57</v>
      </c>
      <c r="G785" s="8" t="s">
        <v>63</v>
      </c>
      <c r="H785" s="8" t="s">
        <v>2343</v>
      </c>
      <c r="I785" s="8" t="s">
        <v>2980</v>
      </c>
      <c r="J785" s="8" t="s">
        <v>2341</v>
      </c>
      <c r="K785" s="8" t="s">
        <v>2342</v>
      </c>
    </row>
    <row r="786" spans="1:11" ht="47.25">
      <c r="A786" s="4" t="s">
        <v>871</v>
      </c>
      <c r="B786" s="4" t="s">
        <v>1032</v>
      </c>
      <c r="C786" s="8" t="s">
        <v>43</v>
      </c>
      <c r="D786" s="8" t="s">
        <v>43</v>
      </c>
      <c r="E786" s="8" t="s">
        <v>48</v>
      </c>
      <c r="F786" s="8" t="s">
        <v>43</v>
      </c>
      <c r="G786" s="8" t="s">
        <v>63</v>
      </c>
      <c r="H786" s="8" t="s">
        <v>2549</v>
      </c>
      <c r="I786" s="8" t="s">
        <v>2902</v>
      </c>
      <c r="J786" s="8" t="s">
        <v>2341</v>
      </c>
      <c r="K786" s="8" t="s">
        <v>2342</v>
      </c>
    </row>
    <row r="787" spans="1:11" ht="47.25">
      <c r="A787" s="4" t="s">
        <v>871</v>
      </c>
      <c r="B787" s="4" t="s">
        <v>1034</v>
      </c>
      <c r="C787" s="8" t="s">
        <v>86</v>
      </c>
      <c r="D787" s="8" t="s">
        <v>86</v>
      </c>
      <c r="E787" s="8" t="s">
        <v>48</v>
      </c>
      <c r="F787" s="8" t="s">
        <v>86</v>
      </c>
      <c r="G787" s="8" t="s">
        <v>63</v>
      </c>
      <c r="H787" s="8" t="s">
        <v>2347</v>
      </c>
      <c r="I787" s="8" t="s">
        <v>2981</v>
      </c>
      <c r="J787" s="8" t="s">
        <v>2341</v>
      </c>
      <c r="K787" s="8" t="s">
        <v>2342</v>
      </c>
    </row>
    <row r="788" spans="1:11" ht="47.25">
      <c r="A788" s="4" t="s">
        <v>871</v>
      </c>
      <c r="B788" s="4" t="s">
        <v>1038</v>
      </c>
      <c r="C788" s="8" t="s">
        <v>107</v>
      </c>
      <c r="D788" s="8" t="s">
        <v>107</v>
      </c>
      <c r="E788" s="8" t="s">
        <v>48</v>
      </c>
      <c r="F788" s="8" t="s">
        <v>107</v>
      </c>
      <c r="G788" s="8" t="s">
        <v>63</v>
      </c>
      <c r="H788" s="8" t="s">
        <v>2349</v>
      </c>
      <c r="I788" s="8" t="s">
        <v>2982</v>
      </c>
      <c r="J788" s="8" t="s">
        <v>2341</v>
      </c>
      <c r="K788" s="8" t="s">
        <v>2342</v>
      </c>
    </row>
    <row r="789" spans="1:11" ht="47.25">
      <c r="A789" s="4" t="s">
        <v>871</v>
      </c>
      <c r="B789" s="4" t="s">
        <v>1041</v>
      </c>
      <c r="C789" s="8" t="s">
        <v>49</v>
      </c>
      <c r="D789" s="8" t="s">
        <v>49</v>
      </c>
      <c r="E789" s="8" t="s">
        <v>48</v>
      </c>
      <c r="F789" s="8" t="s">
        <v>49</v>
      </c>
      <c r="G789" s="8" t="s">
        <v>63</v>
      </c>
      <c r="H789" s="8" t="s">
        <v>2351</v>
      </c>
      <c r="I789" s="8" t="s">
        <v>2982</v>
      </c>
      <c r="J789" s="8" t="s">
        <v>2341</v>
      </c>
      <c r="K789" s="8" t="s">
        <v>2342</v>
      </c>
    </row>
    <row r="790" spans="1:11" ht="126">
      <c r="A790" s="4" t="s">
        <v>871</v>
      </c>
      <c r="B790" s="4" t="s">
        <v>32</v>
      </c>
      <c r="C790" s="8" t="s">
        <v>99</v>
      </c>
      <c r="D790" s="8" t="s">
        <v>99</v>
      </c>
      <c r="E790" s="8" t="s">
        <v>48</v>
      </c>
      <c r="F790" s="8" t="s">
        <v>99</v>
      </c>
      <c r="G790" s="8" t="s">
        <v>63</v>
      </c>
      <c r="H790" s="8" t="s">
        <v>2983</v>
      </c>
      <c r="I790" s="8" t="s">
        <v>2982</v>
      </c>
      <c r="J790" s="8" t="s">
        <v>2341</v>
      </c>
      <c r="K790" s="8" t="s">
        <v>2342</v>
      </c>
    </row>
    <row r="791" spans="1:11" ht="47.25">
      <c r="A791" s="4" t="s">
        <v>871</v>
      </c>
      <c r="B791" s="4" t="s">
        <v>1090</v>
      </c>
      <c r="C791" s="8" t="s">
        <v>2353</v>
      </c>
      <c r="D791" s="8" t="s">
        <v>2353</v>
      </c>
      <c r="E791" s="8" t="s">
        <v>48</v>
      </c>
      <c r="F791" s="8" t="s">
        <v>2353</v>
      </c>
      <c r="G791" s="8" t="s">
        <v>63</v>
      </c>
      <c r="H791" s="8" t="s">
        <v>2354</v>
      </c>
      <c r="I791" s="8" t="s">
        <v>1617</v>
      </c>
      <c r="J791" s="8" t="s">
        <v>2341</v>
      </c>
      <c r="K791" s="8" t="s">
        <v>2342</v>
      </c>
    </row>
    <row r="792" spans="1:11" ht="141.75">
      <c r="A792" s="4" t="s">
        <v>871</v>
      </c>
      <c r="B792" s="4" t="s">
        <v>1091</v>
      </c>
      <c r="C792" s="8" t="s">
        <v>2355</v>
      </c>
      <c r="D792" s="8" t="s">
        <v>2355</v>
      </c>
      <c r="E792" s="8" t="s">
        <v>48</v>
      </c>
      <c r="F792" s="8" t="s">
        <v>2355</v>
      </c>
      <c r="G792" s="8" t="s">
        <v>63</v>
      </c>
      <c r="H792" s="8" t="s">
        <v>2984</v>
      </c>
      <c r="I792" s="8" t="s">
        <v>2985</v>
      </c>
      <c r="J792" s="8" t="s">
        <v>2341</v>
      </c>
      <c r="K792" s="8" t="s">
        <v>2342</v>
      </c>
    </row>
    <row r="793" spans="1:11" ht="47.25">
      <c r="A793" s="4" t="s">
        <v>871</v>
      </c>
      <c r="B793" s="4" t="s">
        <v>35</v>
      </c>
      <c r="C793" s="8" t="s">
        <v>50</v>
      </c>
      <c r="D793" s="8" t="s">
        <v>50</v>
      </c>
      <c r="E793" s="8" t="s">
        <v>48</v>
      </c>
      <c r="F793" s="8" t="s">
        <v>50</v>
      </c>
      <c r="G793" s="8" t="s">
        <v>63</v>
      </c>
      <c r="H793" s="8" t="s">
        <v>2358</v>
      </c>
      <c r="I793" s="8" t="s">
        <v>2981</v>
      </c>
      <c r="J793" s="8" t="s">
        <v>2341</v>
      </c>
      <c r="K793" s="8" t="s">
        <v>2342</v>
      </c>
    </row>
    <row r="794" spans="1:11" ht="47.25">
      <c r="A794" s="4" t="s">
        <v>879</v>
      </c>
      <c r="B794" s="4" t="s">
        <v>1028</v>
      </c>
      <c r="C794" s="8" t="s">
        <v>83</v>
      </c>
      <c r="D794" s="8" t="s">
        <v>83</v>
      </c>
      <c r="E794" s="8" t="s">
        <v>48</v>
      </c>
      <c r="F794" s="8" t="s">
        <v>83</v>
      </c>
      <c r="G794" s="8" t="s">
        <v>63</v>
      </c>
      <c r="H794" s="8" t="s">
        <v>2875</v>
      </c>
      <c r="I794" s="8" t="s">
        <v>2868</v>
      </c>
      <c r="J794" s="8" t="s">
        <v>2341</v>
      </c>
      <c r="K794" s="8" t="s">
        <v>2342</v>
      </c>
    </row>
    <row r="795" spans="1:11" ht="47.25">
      <c r="A795" s="4" t="s">
        <v>879</v>
      </c>
      <c r="B795" s="4" t="s">
        <v>1030</v>
      </c>
      <c r="C795" s="8" t="s">
        <v>57</v>
      </c>
      <c r="D795" s="8" t="s">
        <v>57</v>
      </c>
      <c r="E795" s="8" t="s">
        <v>48</v>
      </c>
      <c r="F795" s="8" t="s">
        <v>57</v>
      </c>
      <c r="G795" s="8" t="s">
        <v>63</v>
      </c>
      <c r="H795" s="8" t="s">
        <v>2343</v>
      </c>
      <c r="I795" s="8" t="s">
        <v>2907</v>
      </c>
      <c r="J795" s="8" t="s">
        <v>2341</v>
      </c>
      <c r="K795" s="8" t="s">
        <v>2342</v>
      </c>
    </row>
    <row r="796" spans="1:11" ht="47.25">
      <c r="A796" s="4" t="s">
        <v>879</v>
      </c>
      <c r="B796" s="4" t="s">
        <v>1032</v>
      </c>
      <c r="C796" s="8" t="s">
        <v>43</v>
      </c>
      <c r="D796" s="8" t="s">
        <v>43</v>
      </c>
      <c r="E796" s="8" t="s">
        <v>48</v>
      </c>
      <c r="F796" s="8" t="s">
        <v>43</v>
      </c>
      <c r="G796" s="8" t="s">
        <v>63</v>
      </c>
      <c r="H796" s="8" t="s">
        <v>2549</v>
      </c>
      <c r="I796" s="8" t="s">
        <v>2870</v>
      </c>
      <c r="J796" s="8" t="s">
        <v>2341</v>
      </c>
      <c r="K796" s="8" t="s">
        <v>2342</v>
      </c>
    </row>
    <row r="797" spans="1:11" ht="47.25">
      <c r="A797" s="4" t="s">
        <v>879</v>
      </c>
      <c r="B797" s="4" t="s">
        <v>1034</v>
      </c>
      <c r="C797" s="8" t="s">
        <v>86</v>
      </c>
      <c r="D797" s="8" t="s">
        <v>86</v>
      </c>
      <c r="E797" s="8" t="s">
        <v>48</v>
      </c>
      <c r="F797" s="8" t="s">
        <v>86</v>
      </c>
      <c r="G797" s="8" t="s">
        <v>63</v>
      </c>
      <c r="H797" s="8" t="s">
        <v>2347</v>
      </c>
      <c r="I797" s="8" t="s">
        <v>2986</v>
      </c>
      <c r="J797" s="8" t="s">
        <v>2341</v>
      </c>
      <c r="K797" s="8" t="s">
        <v>2342</v>
      </c>
    </row>
    <row r="798" spans="1:11" ht="47.25">
      <c r="A798" s="4" t="s">
        <v>879</v>
      </c>
      <c r="B798" s="4" t="s">
        <v>1038</v>
      </c>
      <c r="C798" s="8" t="s">
        <v>107</v>
      </c>
      <c r="D798" s="8" t="s">
        <v>107</v>
      </c>
      <c r="E798" s="8" t="s">
        <v>48</v>
      </c>
      <c r="F798" s="8" t="s">
        <v>107</v>
      </c>
      <c r="G798" s="8" t="s">
        <v>63</v>
      </c>
      <c r="H798" s="8" t="s">
        <v>2349</v>
      </c>
      <c r="I798" s="8" t="s">
        <v>2987</v>
      </c>
      <c r="J798" s="8" t="s">
        <v>2341</v>
      </c>
      <c r="K798" s="8" t="s">
        <v>2342</v>
      </c>
    </row>
    <row r="799" spans="1:11" ht="47.25">
      <c r="A799" s="4" t="s">
        <v>879</v>
      </c>
      <c r="B799" s="4" t="s">
        <v>1041</v>
      </c>
      <c r="C799" s="8" t="s">
        <v>49</v>
      </c>
      <c r="D799" s="8" t="s">
        <v>49</v>
      </c>
      <c r="E799" s="8" t="s">
        <v>48</v>
      </c>
      <c r="F799" s="8" t="s">
        <v>49</v>
      </c>
      <c r="G799" s="8" t="s">
        <v>63</v>
      </c>
      <c r="H799" s="8" t="s">
        <v>2351</v>
      </c>
      <c r="I799" s="8" t="s">
        <v>2987</v>
      </c>
      <c r="J799" s="8" t="s">
        <v>2341</v>
      </c>
      <c r="K799" s="8" t="s">
        <v>2342</v>
      </c>
    </row>
    <row r="800" spans="1:11" ht="126">
      <c r="A800" s="4" t="s">
        <v>879</v>
      </c>
      <c r="B800" s="4" t="s">
        <v>32</v>
      </c>
      <c r="C800" s="8" t="s">
        <v>99</v>
      </c>
      <c r="D800" s="8" t="s">
        <v>99</v>
      </c>
      <c r="E800" s="8" t="s">
        <v>48</v>
      </c>
      <c r="F800" s="8" t="s">
        <v>99</v>
      </c>
      <c r="G800" s="8" t="s">
        <v>63</v>
      </c>
      <c r="H800" s="8" t="s">
        <v>2988</v>
      </c>
      <c r="I800" s="8" t="s">
        <v>2987</v>
      </c>
      <c r="J800" s="8" t="s">
        <v>2341</v>
      </c>
      <c r="K800" s="8" t="s">
        <v>2342</v>
      </c>
    </row>
    <row r="801" spans="1:11" ht="47.25">
      <c r="A801" s="4" t="s">
        <v>879</v>
      </c>
      <c r="B801" s="4" t="s">
        <v>1090</v>
      </c>
      <c r="C801" s="8" t="s">
        <v>2353</v>
      </c>
      <c r="D801" s="8" t="s">
        <v>2353</v>
      </c>
      <c r="E801" s="8" t="s">
        <v>48</v>
      </c>
      <c r="F801" s="8" t="s">
        <v>2353</v>
      </c>
      <c r="G801" s="8" t="s">
        <v>63</v>
      </c>
      <c r="H801" s="8" t="s">
        <v>2354</v>
      </c>
      <c r="I801" s="8" t="s">
        <v>1617</v>
      </c>
      <c r="J801" s="8" t="s">
        <v>2341</v>
      </c>
      <c r="K801" s="8" t="s">
        <v>2342</v>
      </c>
    </row>
    <row r="802" spans="1:11" ht="141.75">
      <c r="A802" s="4" t="s">
        <v>879</v>
      </c>
      <c r="B802" s="4" t="s">
        <v>1091</v>
      </c>
      <c r="C802" s="8" t="s">
        <v>2355</v>
      </c>
      <c r="D802" s="8" t="s">
        <v>2355</v>
      </c>
      <c r="E802" s="8" t="s">
        <v>48</v>
      </c>
      <c r="F802" s="8" t="s">
        <v>2355</v>
      </c>
      <c r="G802" s="8" t="s">
        <v>63</v>
      </c>
      <c r="H802" s="8" t="s">
        <v>2989</v>
      </c>
      <c r="I802" s="8" t="s">
        <v>2990</v>
      </c>
      <c r="J802" s="8" t="s">
        <v>2341</v>
      </c>
      <c r="K802" s="8" t="s">
        <v>2342</v>
      </c>
    </row>
    <row r="803" spans="1:11" ht="47.25">
      <c r="A803" s="4" t="s">
        <v>879</v>
      </c>
      <c r="B803" s="4" t="s">
        <v>35</v>
      </c>
      <c r="C803" s="8" t="s">
        <v>50</v>
      </c>
      <c r="D803" s="8" t="s">
        <v>50</v>
      </c>
      <c r="E803" s="8" t="s">
        <v>48</v>
      </c>
      <c r="F803" s="8" t="s">
        <v>50</v>
      </c>
      <c r="G803" s="8" t="s">
        <v>63</v>
      </c>
      <c r="H803" s="8" t="s">
        <v>2358</v>
      </c>
      <c r="I803" s="8" t="s">
        <v>2991</v>
      </c>
      <c r="J803" s="8" t="s">
        <v>2341</v>
      </c>
      <c r="K803" s="8" t="s">
        <v>2342</v>
      </c>
    </row>
    <row r="804" spans="1:11" ht="47.25">
      <c r="A804" s="4" t="s">
        <v>888</v>
      </c>
      <c r="B804" s="4" t="s">
        <v>1028</v>
      </c>
      <c r="C804" s="8" t="s">
        <v>83</v>
      </c>
      <c r="D804" s="8" t="s">
        <v>83</v>
      </c>
      <c r="E804" s="8" t="s">
        <v>48</v>
      </c>
      <c r="F804" s="8" t="s">
        <v>83</v>
      </c>
      <c r="G804" s="8" t="s">
        <v>63</v>
      </c>
      <c r="H804" s="8" t="s">
        <v>2875</v>
      </c>
      <c r="I804" s="8" t="s">
        <v>2941</v>
      </c>
      <c r="J804" s="8" t="s">
        <v>2341</v>
      </c>
      <c r="K804" s="8" t="s">
        <v>2342</v>
      </c>
    </row>
    <row r="805" spans="1:11" ht="47.25">
      <c r="A805" s="4" t="s">
        <v>888</v>
      </c>
      <c r="B805" s="4" t="s">
        <v>1030</v>
      </c>
      <c r="C805" s="8" t="s">
        <v>57</v>
      </c>
      <c r="D805" s="8" t="s">
        <v>57</v>
      </c>
      <c r="E805" s="8" t="s">
        <v>48</v>
      </c>
      <c r="F805" s="8" t="s">
        <v>57</v>
      </c>
      <c r="G805" s="8" t="s">
        <v>63</v>
      </c>
      <c r="H805" s="8" t="s">
        <v>2343</v>
      </c>
      <c r="I805" s="8" t="s">
        <v>2992</v>
      </c>
      <c r="J805" s="8" t="s">
        <v>2341</v>
      </c>
      <c r="K805" s="8" t="s">
        <v>2342</v>
      </c>
    </row>
    <row r="806" spans="1:11" ht="47.25">
      <c r="A806" s="4" t="s">
        <v>888</v>
      </c>
      <c r="B806" s="4" t="s">
        <v>1032</v>
      </c>
      <c r="C806" s="8" t="s">
        <v>43</v>
      </c>
      <c r="D806" s="8" t="s">
        <v>43</v>
      </c>
      <c r="E806" s="8" t="s">
        <v>48</v>
      </c>
      <c r="F806" s="8" t="s">
        <v>43</v>
      </c>
      <c r="G806" s="8" t="s">
        <v>63</v>
      </c>
      <c r="H806" s="8" t="s">
        <v>2549</v>
      </c>
      <c r="I806" s="8" t="s">
        <v>2943</v>
      </c>
      <c r="J806" s="8" t="s">
        <v>2341</v>
      </c>
      <c r="K806" s="8" t="s">
        <v>2342</v>
      </c>
    </row>
    <row r="807" spans="1:11" ht="47.25">
      <c r="A807" s="4" t="s">
        <v>888</v>
      </c>
      <c r="B807" s="4" t="s">
        <v>1034</v>
      </c>
      <c r="C807" s="8" t="s">
        <v>86</v>
      </c>
      <c r="D807" s="8" t="s">
        <v>86</v>
      </c>
      <c r="E807" s="8" t="s">
        <v>48</v>
      </c>
      <c r="F807" s="8" t="s">
        <v>86</v>
      </c>
      <c r="G807" s="8" t="s">
        <v>63</v>
      </c>
      <c r="H807" s="8" t="s">
        <v>2347</v>
      </c>
      <c r="I807" s="8" t="s">
        <v>2993</v>
      </c>
      <c r="J807" s="8" t="s">
        <v>2341</v>
      </c>
      <c r="K807" s="8" t="s">
        <v>2342</v>
      </c>
    </row>
    <row r="808" spans="1:11" ht="47.25">
      <c r="A808" s="4" t="s">
        <v>888</v>
      </c>
      <c r="B808" s="4" t="s">
        <v>1038</v>
      </c>
      <c r="C808" s="8" t="s">
        <v>107</v>
      </c>
      <c r="D808" s="8" t="s">
        <v>107</v>
      </c>
      <c r="E808" s="8" t="s">
        <v>48</v>
      </c>
      <c r="F808" s="8" t="s">
        <v>107</v>
      </c>
      <c r="G808" s="8" t="s">
        <v>63</v>
      </c>
      <c r="H808" s="8" t="s">
        <v>2349</v>
      </c>
      <c r="I808" s="8" t="s">
        <v>2994</v>
      </c>
      <c r="J808" s="8" t="s">
        <v>2341</v>
      </c>
      <c r="K808" s="8" t="s">
        <v>2342</v>
      </c>
    </row>
    <row r="809" spans="1:11" ht="47.25">
      <c r="A809" s="4" t="s">
        <v>888</v>
      </c>
      <c r="B809" s="4" t="s">
        <v>1041</v>
      </c>
      <c r="C809" s="8" t="s">
        <v>49</v>
      </c>
      <c r="D809" s="8" t="s">
        <v>49</v>
      </c>
      <c r="E809" s="8" t="s">
        <v>48</v>
      </c>
      <c r="F809" s="8" t="s">
        <v>49</v>
      </c>
      <c r="G809" s="8" t="s">
        <v>63</v>
      </c>
      <c r="H809" s="8" t="s">
        <v>2351</v>
      </c>
      <c r="I809" s="8" t="s">
        <v>2994</v>
      </c>
      <c r="J809" s="8" t="s">
        <v>2341</v>
      </c>
      <c r="K809" s="8" t="s">
        <v>2342</v>
      </c>
    </row>
    <row r="810" spans="1:11" ht="126">
      <c r="A810" s="4" t="s">
        <v>888</v>
      </c>
      <c r="B810" s="4" t="s">
        <v>32</v>
      </c>
      <c r="C810" s="8" t="s">
        <v>99</v>
      </c>
      <c r="D810" s="8" t="s">
        <v>99</v>
      </c>
      <c r="E810" s="8" t="s">
        <v>48</v>
      </c>
      <c r="F810" s="8" t="s">
        <v>99</v>
      </c>
      <c r="G810" s="8" t="s">
        <v>63</v>
      </c>
      <c r="H810" s="8" t="s">
        <v>2995</v>
      </c>
      <c r="I810" s="8" t="s">
        <v>2994</v>
      </c>
      <c r="J810" s="8" t="s">
        <v>2341</v>
      </c>
      <c r="K810" s="8" t="s">
        <v>2342</v>
      </c>
    </row>
    <row r="811" spans="1:11" ht="47.25">
      <c r="A811" s="4" t="s">
        <v>888</v>
      </c>
      <c r="B811" s="4" t="s">
        <v>1090</v>
      </c>
      <c r="C811" s="8" t="s">
        <v>2353</v>
      </c>
      <c r="D811" s="8" t="s">
        <v>2353</v>
      </c>
      <c r="E811" s="8" t="s">
        <v>48</v>
      </c>
      <c r="F811" s="8" t="s">
        <v>2353</v>
      </c>
      <c r="G811" s="8" t="s">
        <v>63</v>
      </c>
      <c r="H811" s="8" t="s">
        <v>2354</v>
      </c>
      <c r="I811" s="8" t="s">
        <v>1617</v>
      </c>
      <c r="J811" s="8" t="s">
        <v>2341</v>
      </c>
      <c r="K811" s="8" t="s">
        <v>2342</v>
      </c>
    </row>
    <row r="812" spans="1:11" ht="141.75">
      <c r="A812" s="4" t="s">
        <v>888</v>
      </c>
      <c r="B812" s="4" t="s">
        <v>1091</v>
      </c>
      <c r="C812" s="8" t="s">
        <v>2355</v>
      </c>
      <c r="D812" s="8" t="s">
        <v>2355</v>
      </c>
      <c r="E812" s="8" t="s">
        <v>48</v>
      </c>
      <c r="F812" s="8" t="s">
        <v>2355</v>
      </c>
      <c r="G812" s="8" t="s">
        <v>63</v>
      </c>
      <c r="H812" s="8" t="s">
        <v>2996</v>
      </c>
      <c r="I812" s="8" t="s">
        <v>2997</v>
      </c>
      <c r="J812" s="8" t="s">
        <v>2341</v>
      </c>
      <c r="K812" s="8" t="s">
        <v>2342</v>
      </c>
    </row>
    <row r="813" spans="1:11" ht="47.25">
      <c r="A813" s="4" t="s">
        <v>888</v>
      </c>
      <c r="B813" s="4" t="s">
        <v>35</v>
      </c>
      <c r="C813" s="8" t="s">
        <v>50</v>
      </c>
      <c r="D813" s="8" t="s">
        <v>50</v>
      </c>
      <c r="E813" s="8" t="s">
        <v>48</v>
      </c>
      <c r="F813" s="8" t="s">
        <v>50</v>
      </c>
      <c r="G813" s="8" t="s">
        <v>63</v>
      </c>
      <c r="H813" s="8" t="s">
        <v>2358</v>
      </c>
      <c r="I813" s="8" t="s">
        <v>2949</v>
      </c>
      <c r="J813" s="8" t="s">
        <v>2341</v>
      </c>
      <c r="K813" s="8" t="s">
        <v>2342</v>
      </c>
    </row>
    <row r="814" spans="1:11" ht="47.25">
      <c r="A814" s="4" t="s">
        <v>896</v>
      </c>
      <c r="B814" s="4" t="s">
        <v>1028</v>
      </c>
      <c r="C814" s="8" t="s">
        <v>83</v>
      </c>
      <c r="D814" s="8" t="s">
        <v>83</v>
      </c>
      <c r="E814" s="8" t="s">
        <v>48</v>
      </c>
      <c r="F814" s="8" t="s">
        <v>83</v>
      </c>
      <c r="G814" s="8" t="s">
        <v>63</v>
      </c>
      <c r="H814" s="8" t="s">
        <v>2875</v>
      </c>
      <c r="I814" s="8" t="s">
        <v>2998</v>
      </c>
      <c r="J814" s="8" t="s">
        <v>2341</v>
      </c>
      <c r="K814" s="8" t="s">
        <v>2342</v>
      </c>
    </row>
    <row r="815" spans="1:11" ht="47.25">
      <c r="A815" s="4" t="s">
        <v>896</v>
      </c>
      <c r="B815" s="4" t="s">
        <v>1030</v>
      </c>
      <c r="C815" s="8" t="s">
        <v>57</v>
      </c>
      <c r="D815" s="8" t="s">
        <v>57</v>
      </c>
      <c r="E815" s="8" t="s">
        <v>48</v>
      </c>
      <c r="F815" s="8" t="s">
        <v>57</v>
      </c>
      <c r="G815" s="8" t="s">
        <v>63</v>
      </c>
      <c r="H815" s="8" t="s">
        <v>2343</v>
      </c>
      <c r="I815" s="8" t="s">
        <v>2999</v>
      </c>
      <c r="J815" s="8" t="s">
        <v>2341</v>
      </c>
      <c r="K815" s="8" t="s">
        <v>2342</v>
      </c>
    </row>
    <row r="816" spans="1:11" ht="47.25">
      <c r="A816" s="4" t="s">
        <v>896</v>
      </c>
      <c r="B816" s="4" t="s">
        <v>1032</v>
      </c>
      <c r="C816" s="8" t="s">
        <v>58</v>
      </c>
      <c r="D816" s="8" t="s">
        <v>58</v>
      </c>
      <c r="E816" s="8" t="s">
        <v>48</v>
      </c>
      <c r="F816" s="8" t="s">
        <v>58</v>
      </c>
      <c r="G816" s="8" t="s">
        <v>63</v>
      </c>
      <c r="H816" s="8" t="s">
        <v>2597</v>
      </c>
      <c r="I816" s="8" t="s">
        <v>3000</v>
      </c>
      <c r="J816" s="8" t="s">
        <v>2341</v>
      </c>
      <c r="K816" s="8" t="s">
        <v>2342</v>
      </c>
    </row>
    <row r="817" spans="1:11" ht="47.25">
      <c r="A817" s="4" t="s">
        <v>896</v>
      </c>
      <c r="B817" s="4" t="s">
        <v>1034</v>
      </c>
      <c r="C817" s="8" t="s">
        <v>86</v>
      </c>
      <c r="D817" s="8" t="s">
        <v>86</v>
      </c>
      <c r="E817" s="8" t="s">
        <v>48</v>
      </c>
      <c r="F817" s="8" t="s">
        <v>86</v>
      </c>
      <c r="G817" s="8" t="s">
        <v>63</v>
      </c>
      <c r="H817" s="8" t="s">
        <v>2347</v>
      </c>
      <c r="I817" s="8" t="s">
        <v>3001</v>
      </c>
      <c r="J817" s="8" t="s">
        <v>2341</v>
      </c>
      <c r="K817" s="8" t="s">
        <v>2342</v>
      </c>
    </row>
    <row r="818" spans="1:11" ht="47.25">
      <c r="A818" s="4" t="s">
        <v>896</v>
      </c>
      <c r="B818" s="4" t="s">
        <v>1038</v>
      </c>
      <c r="C818" s="8" t="s">
        <v>107</v>
      </c>
      <c r="D818" s="8" t="s">
        <v>107</v>
      </c>
      <c r="E818" s="8" t="s">
        <v>48</v>
      </c>
      <c r="F818" s="8" t="s">
        <v>107</v>
      </c>
      <c r="G818" s="8" t="s">
        <v>63</v>
      </c>
      <c r="H818" s="8" t="s">
        <v>2349</v>
      </c>
      <c r="I818" s="8" t="s">
        <v>3002</v>
      </c>
      <c r="J818" s="8" t="s">
        <v>2341</v>
      </c>
      <c r="K818" s="8" t="s">
        <v>2342</v>
      </c>
    </row>
    <row r="819" spans="1:11" ht="47.25">
      <c r="A819" s="4" t="s">
        <v>896</v>
      </c>
      <c r="B819" s="4" t="s">
        <v>1041</v>
      </c>
      <c r="C819" s="8" t="s">
        <v>49</v>
      </c>
      <c r="D819" s="8" t="s">
        <v>49</v>
      </c>
      <c r="E819" s="8" t="s">
        <v>48</v>
      </c>
      <c r="F819" s="8" t="s">
        <v>49</v>
      </c>
      <c r="G819" s="8" t="s">
        <v>63</v>
      </c>
      <c r="H819" s="8" t="s">
        <v>2351</v>
      </c>
      <c r="I819" s="8" t="s">
        <v>3002</v>
      </c>
      <c r="J819" s="8" t="s">
        <v>2341</v>
      </c>
      <c r="K819" s="8" t="s">
        <v>2342</v>
      </c>
    </row>
    <row r="820" spans="1:11" ht="141.75">
      <c r="A820" s="4" t="s">
        <v>896</v>
      </c>
      <c r="B820" s="4" t="s">
        <v>32</v>
      </c>
      <c r="C820" s="8" t="s">
        <v>99</v>
      </c>
      <c r="D820" s="8" t="s">
        <v>99</v>
      </c>
      <c r="E820" s="8" t="s">
        <v>48</v>
      </c>
      <c r="F820" s="8" t="s">
        <v>99</v>
      </c>
      <c r="G820" s="8" t="s">
        <v>63</v>
      </c>
      <c r="H820" s="8" t="s">
        <v>3003</v>
      </c>
      <c r="I820" s="8" t="s">
        <v>3002</v>
      </c>
      <c r="J820" s="8" t="s">
        <v>2341</v>
      </c>
      <c r="K820" s="8" t="s">
        <v>2342</v>
      </c>
    </row>
    <row r="821" spans="1:11" ht="47.25">
      <c r="A821" s="4" t="s">
        <v>896</v>
      </c>
      <c r="B821" s="4" t="s">
        <v>1090</v>
      </c>
      <c r="C821" s="8" t="s">
        <v>2353</v>
      </c>
      <c r="D821" s="8" t="s">
        <v>2353</v>
      </c>
      <c r="E821" s="8" t="s">
        <v>48</v>
      </c>
      <c r="F821" s="8" t="s">
        <v>2353</v>
      </c>
      <c r="G821" s="8" t="s">
        <v>63</v>
      </c>
      <c r="H821" s="8" t="s">
        <v>2354</v>
      </c>
      <c r="I821" s="8" t="s">
        <v>1617</v>
      </c>
      <c r="J821" s="8" t="s">
        <v>2341</v>
      </c>
      <c r="K821" s="8" t="s">
        <v>2342</v>
      </c>
    </row>
    <row r="822" spans="1:11" ht="141.75">
      <c r="A822" s="4" t="s">
        <v>896</v>
      </c>
      <c r="B822" s="4" t="s">
        <v>1091</v>
      </c>
      <c r="C822" s="8" t="s">
        <v>2355</v>
      </c>
      <c r="D822" s="8" t="s">
        <v>2355</v>
      </c>
      <c r="E822" s="8" t="s">
        <v>48</v>
      </c>
      <c r="F822" s="8" t="s">
        <v>2355</v>
      </c>
      <c r="G822" s="8" t="s">
        <v>63</v>
      </c>
      <c r="H822" s="8" t="s">
        <v>3004</v>
      </c>
      <c r="I822" s="8" t="s">
        <v>3005</v>
      </c>
      <c r="J822" s="8" t="s">
        <v>2341</v>
      </c>
      <c r="K822" s="8" t="s">
        <v>2342</v>
      </c>
    </row>
    <row r="823" spans="1:11" ht="47.25">
      <c r="A823" s="4" t="s">
        <v>896</v>
      </c>
      <c r="B823" s="4" t="s">
        <v>35</v>
      </c>
      <c r="C823" s="8" t="s">
        <v>50</v>
      </c>
      <c r="D823" s="8" t="s">
        <v>50</v>
      </c>
      <c r="E823" s="8" t="s">
        <v>48</v>
      </c>
      <c r="F823" s="8" t="s">
        <v>50</v>
      </c>
      <c r="G823" s="8" t="s">
        <v>63</v>
      </c>
      <c r="H823" s="8" t="s">
        <v>2358</v>
      </c>
      <c r="I823" s="8" t="s">
        <v>3006</v>
      </c>
      <c r="J823" s="8" t="s">
        <v>2341</v>
      </c>
      <c r="K823" s="8" t="s">
        <v>2342</v>
      </c>
    </row>
    <row r="824" spans="1:11" ht="47.25">
      <c r="A824" s="4" t="s">
        <v>904</v>
      </c>
      <c r="B824" s="4" t="s">
        <v>1028</v>
      </c>
      <c r="C824" s="8" t="s">
        <v>83</v>
      </c>
      <c r="D824" s="8" t="s">
        <v>83</v>
      </c>
      <c r="E824" s="8" t="s">
        <v>48</v>
      </c>
      <c r="F824" s="8" t="s">
        <v>83</v>
      </c>
      <c r="G824" s="8" t="s">
        <v>63</v>
      </c>
      <c r="H824" s="8" t="s">
        <v>2875</v>
      </c>
      <c r="I824" s="8" t="s">
        <v>3007</v>
      </c>
      <c r="J824" s="8" t="s">
        <v>2341</v>
      </c>
      <c r="K824" s="8" t="s">
        <v>2342</v>
      </c>
    </row>
    <row r="825" spans="1:11" ht="47.25">
      <c r="A825" s="4" t="s">
        <v>904</v>
      </c>
      <c r="B825" s="4" t="s">
        <v>1030</v>
      </c>
      <c r="C825" s="8" t="s">
        <v>57</v>
      </c>
      <c r="D825" s="8" t="s">
        <v>57</v>
      </c>
      <c r="E825" s="8" t="s">
        <v>48</v>
      </c>
      <c r="F825" s="8" t="s">
        <v>57</v>
      </c>
      <c r="G825" s="8" t="s">
        <v>63</v>
      </c>
      <c r="H825" s="8" t="s">
        <v>2343</v>
      </c>
      <c r="I825" s="8" t="s">
        <v>3008</v>
      </c>
      <c r="J825" s="8" t="s">
        <v>2341</v>
      </c>
      <c r="K825" s="8" t="s">
        <v>2342</v>
      </c>
    </row>
    <row r="826" spans="1:11" ht="47.25">
      <c r="A826" s="4" t="s">
        <v>904</v>
      </c>
      <c r="B826" s="4" t="s">
        <v>1032</v>
      </c>
      <c r="C826" s="8" t="s">
        <v>43</v>
      </c>
      <c r="D826" s="8" t="s">
        <v>43</v>
      </c>
      <c r="E826" s="8" t="s">
        <v>48</v>
      </c>
      <c r="F826" s="8" t="s">
        <v>43</v>
      </c>
      <c r="G826" s="8" t="s">
        <v>63</v>
      </c>
      <c r="H826" s="8" t="s">
        <v>2549</v>
      </c>
      <c r="I826" s="8" t="s">
        <v>3009</v>
      </c>
      <c r="J826" s="8" t="s">
        <v>2341</v>
      </c>
      <c r="K826" s="8" t="s">
        <v>2342</v>
      </c>
    </row>
    <row r="827" spans="1:11" ht="47.25">
      <c r="A827" s="4" t="s">
        <v>904</v>
      </c>
      <c r="B827" s="4" t="s">
        <v>1034</v>
      </c>
      <c r="C827" s="8" t="s">
        <v>86</v>
      </c>
      <c r="D827" s="8" t="s">
        <v>86</v>
      </c>
      <c r="E827" s="8" t="s">
        <v>48</v>
      </c>
      <c r="F827" s="8" t="s">
        <v>86</v>
      </c>
      <c r="G827" s="8" t="s">
        <v>63</v>
      </c>
      <c r="H827" s="8" t="s">
        <v>2347</v>
      </c>
      <c r="I827" s="8" t="s">
        <v>3010</v>
      </c>
      <c r="J827" s="8" t="s">
        <v>2341</v>
      </c>
      <c r="K827" s="8" t="s">
        <v>2342</v>
      </c>
    </row>
    <row r="828" spans="1:11" ht="47.25">
      <c r="A828" s="4" t="s">
        <v>904</v>
      </c>
      <c r="B828" s="4" t="s">
        <v>1038</v>
      </c>
      <c r="C828" s="8" t="s">
        <v>107</v>
      </c>
      <c r="D828" s="8" t="s">
        <v>107</v>
      </c>
      <c r="E828" s="8" t="s">
        <v>48</v>
      </c>
      <c r="F828" s="8" t="s">
        <v>107</v>
      </c>
      <c r="G828" s="8" t="s">
        <v>63</v>
      </c>
      <c r="H828" s="8" t="s">
        <v>2349</v>
      </c>
      <c r="I828" s="8" t="s">
        <v>3011</v>
      </c>
      <c r="J828" s="8" t="s">
        <v>2341</v>
      </c>
      <c r="K828" s="8" t="s">
        <v>2342</v>
      </c>
    </row>
    <row r="829" spans="1:11" ht="47.25">
      <c r="A829" s="4" t="s">
        <v>904</v>
      </c>
      <c r="B829" s="4" t="s">
        <v>1041</v>
      </c>
      <c r="C829" s="8" t="s">
        <v>49</v>
      </c>
      <c r="D829" s="8" t="s">
        <v>49</v>
      </c>
      <c r="E829" s="8" t="s">
        <v>48</v>
      </c>
      <c r="F829" s="8" t="s">
        <v>49</v>
      </c>
      <c r="G829" s="8" t="s">
        <v>63</v>
      </c>
      <c r="H829" s="8" t="s">
        <v>2351</v>
      </c>
      <c r="I829" s="8" t="s">
        <v>3011</v>
      </c>
      <c r="J829" s="8" t="s">
        <v>2341</v>
      </c>
      <c r="K829" s="8" t="s">
        <v>2342</v>
      </c>
    </row>
    <row r="830" spans="1:11" ht="126">
      <c r="A830" s="4" t="s">
        <v>904</v>
      </c>
      <c r="B830" s="4" t="s">
        <v>32</v>
      </c>
      <c r="C830" s="8" t="s">
        <v>99</v>
      </c>
      <c r="D830" s="8" t="s">
        <v>99</v>
      </c>
      <c r="E830" s="8" t="s">
        <v>48</v>
      </c>
      <c r="F830" s="8" t="s">
        <v>99</v>
      </c>
      <c r="G830" s="8" t="s">
        <v>63</v>
      </c>
      <c r="H830" s="8" t="s">
        <v>3012</v>
      </c>
      <c r="I830" s="8" t="s">
        <v>3011</v>
      </c>
      <c r="J830" s="8" t="s">
        <v>2341</v>
      </c>
      <c r="K830" s="8" t="s">
        <v>2342</v>
      </c>
    </row>
    <row r="831" spans="1:11" ht="47.25">
      <c r="A831" s="4" t="s">
        <v>904</v>
      </c>
      <c r="B831" s="4" t="s">
        <v>1090</v>
      </c>
      <c r="C831" s="8" t="s">
        <v>2353</v>
      </c>
      <c r="D831" s="8" t="s">
        <v>2353</v>
      </c>
      <c r="E831" s="8" t="s">
        <v>48</v>
      </c>
      <c r="F831" s="8" t="s">
        <v>2353</v>
      </c>
      <c r="G831" s="8" t="s">
        <v>63</v>
      </c>
      <c r="H831" s="8" t="s">
        <v>2354</v>
      </c>
      <c r="I831" s="8" t="s">
        <v>1617</v>
      </c>
      <c r="J831" s="8" t="s">
        <v>2341</v>
      </c>
      <c r="K831" s="8" t="s">
        <v>2342</v>
      </c>
    </row>
    <row r="832" spans="1:11" ht="141.75">
      <c r="A832" s="4" t="s">
        <v>904</v>
      </c>
      <c r="B832" s="4" t="s">
        <v>1091</v>
      </c>
      <c r="C832" s="8" t="s">
        <v>2355</v>
      </c>
      <c r="D832" s="8" t="s">
        <v>2355</v>
      </c>
      <c r="E832" s="8" t="s">
        <v>48</v>
      </c>
      <c r="F832" s="8" t="s">
        <v>2355</v>
      </c>
      <c r="G832" s="8" t="s">
        <v>63</v>
      </c>
      <c r="H832" s="8" t="s">
        <v>3013</v>
      </c>
      <c r="I832" s="8" t="s">
        <v>3014</v>
      </c>
      <c r="J832" s="8" t="s">
        <v>2341</v>
      </c>
      <c r="K832" s="8" t="s">
        <v>2342</v>
      </c>
    </row>
    <row r="833" spans="1:11" ht="47.25">
      <c r="A833" s="4" t="s">
        <v>904</v>
      </c>
      <c r="B833" s="4" t="s">
        <v>35</v>
      </c>
      <c r="C833" s="8" t="s">
        <v>50</v>
      </c>
      <c r="D833" s="8" t="s">
        <v>50</v>
      </c>
      <c r="E833" s="8" t="s">
        <v>48</v>
      </c>
      <c r="F833" s="8" t="s">
        <v>50</v>
      </c>
      <c r="G833" s="8" t="s">
        <v>63</v>
      </c>
      <c r="H833" s="8" t="s">
        <v>2358</v>
      </c>
      <c r="I833" s="8" t="s">
        <v>3015</v>
      </c>
      <c r="J833" s="8" t="s">
        <v>2341</v>
      </c>
      <c r="K833" s="8" t="s">
        <v>2342</v>
      </c>
    </row>
    <row r="834" spans="1:11" ht="47.25">
      <c r="A834" s="4" t="s">
        <v>913</v>
      </c>
      <c r="B834" s="4" t="s">
        <v>1028</v>
      </c>
      <c r="C834" s="8" t="s">
        <v>83</v>
      </c>
      <c r="D834" s="8" t="s">
        <v>83</v>
      </c>
      <c r="E834" s="8" t="s">
        <v>48</v>
      </c>
      <c r="F834" s="8" t="s">
        <v>83</v>
      </c>
      <c r="G834" s="8" t="s">
        <v>63</v>
      </c>
      <c r="H834" s="8" t="s">
        <v>2875</v>
      </c>
      <c r="I834" s="8" t="s">
        <v>3016</v>
      </c>
      <c r="J834" s="8" t="s">
        <v>2341</v>
      </c>
      <c r="K834" s="8" t="s">
        <v>2342</v>
      </c>
    </row>
    <row r="835" spans="1:11" ht="47.25">
      <c r="A835" s="4" t="s">
        <v>913</v>
      </c>
      <c r="B835" s="4" t="s">
        <v>1030</v>
      </c>
      <c r="C835" s="8" t="s">
        <v>57</v>
      </c>
      <c r="D835" s="8" t="s">
        <v>57</v>
      </c>
      <c r="E835" s="8" t="s">
        <v>48</v>
      </c>
      <c r="F835" s="8" t="s">
        <v>57</v>
      </c>
      <c r="G835" s="8" t="s">
        <v>63</v>
      </c>
      <c r="H835" s="8" t="s">
        <v>2343</v>
      </c>
      <c r="I835" s="8" t="s">
        <v>3017</v>
      </c>
      <c r="J835" s="8" t="s">
        <v>2341</v>
      </c>
      <c r="K835" s="8" t="s">
        <v>2342</v>
      </c>
    </row>
    <row r="836" spans="1:11" ht="47.25">
      <c r="A836" s="4" t="s">
        <v>913</v>
      </c>
      <c r="B836" s="4" t="s">
        <v>1032</v>
      </c>
      <c r="C836" s="8" t="s">
        <v>43</v>
      </c>
      <c r="D836" s="8" t="s">
        <v>43</v>
      </c>
      <c r="E836" s="8" t="s">
        <v>48</v>
      </c>
      <c r="F836" s="8" t="s">
        <v>43</v>
      </c>
      <c r="G836" s="8" t="s">
        <v>63</v>
      </c>
      <c r="H836" s="8" t="s">
        <v>2549</v>
      </c>
      <c r="I836" s="8" t="s">
        <v>3018</v>
      </c>
      <c r="J836" s="8" t="s">
        <v>2341</v>
      </c>
      <c r="K836" s="8" t="s">
        <v>2342</v>
      </c>
    </row>
    <row r="837" spans="1:11" ht="47.25">
      <c r="A837" s="4" t="s">
        <v>913</v>
      </c>
      <c r="B837" s="4" t="s">
        <v>1034</v>
      </c>
      <c r="C837" s="8" t="s">
        <v>86</v>
      </c>
      <c r="D837" s="8" t="s">
        <v>86</v>
      </c>
      <c r="E837" s="8" t="s">
        <v>48</v>
      </c>
      <c r="F837" s="8" t="s">
        <v>86</v>
      </c>
      <c r="G837" s="8" t="s">
        <v>63</v>
      </c>
      <c r="H837" s="8" t="s">
        <v>2347</v>
      </c>
      <c r="I837" s="8" t="s">
        <v>3019</v>
      </c>
      <c r="J837" s="8" t="s">
        <v>2341</v>
      </c>
      <c r="K837" s="8" t="s">
        <v>2342</v>
      </c>
    </row>
    <row r="838" spans="1:11" ht="47.25">
      <c r="A838" s="4" t="s">
        <v>913</v>
      </c>
      <c r="B838" s="4" t="s">
        <v>1038</v>
      </c>
      <c r="C838" s="8" t="s">
        <v>107</v>
      </c>
      <c r="D838" s="8" t="s">
        <v>107</v>
      </c>
      <c r="E838" s="8" t="s">
        <v>48</v>
      </c>
      <c r="F838" s="8" t="s">
        <v>107</v>
      </c>
      <c r="G838" s="8" t="s">
        <v>63</v>
      </c>
      <c r="H838" s="8" t="s">
        <v>2349</v>
      </c>
      <c r="I838" s="8" t="s">
        <v>3020</v>
      </c>
      <c r="J838" s="8" t="s">
        <v>2341</v>
      </c>
      <c r="K838" s="8" t="s">
        <v>2342</v>
      </c>
    </row>
    <row r="839" spans="1:11" ht="47.25">
      <c r="A839" s="4" t="s">
        <v>913</v>
      </c>
      <c r="B839" s="4" t="s">
        <v>1041</v>
      </c>
      <c r="C839" s="8" t="s">
        <v>49</v>
      </c>
      <c r="D839" s="8" t="s">
        <v>49</v>
      </c>
      <c r="E839" s="8" t="s">
        <v>48</v>
      </c>
      <c r="F839" s="8" t="s">
        <v>49</v>
      </c>
      <c r="G839" s="8" t="s">
        <v>63</v>
      </c>
      <c r="H839" s="8" t="s">
        <v>2351</v>
      </c>
      <c r="I839" s="8" t="s">
        <v>3020</v>
      </c>
      <c r="J839" s="8" t="s">
        <v>2341</v>
      </c>
      <c r="K839" s="8" t="s">
        <v>2342</v>
      </c>
    </row>
    <row r="840" spans="1:11" ht="126">
      <c r="A840" s="4" t="s">
        <v>913</v>
      </c>
      <c r="B840" s="4" t="s">
        <v>32</v>
      </c>
      <c r="C840" s="8" t="s">
        <v>99</v>
      </c>
      <c r="D840" s="8" t="s">
        <v>99</v>
      </c>
      <c r="E840" s="8" t="s">
        <v>48</v>
      </c>
      <c r="F840" s="8" t="s">
        <v>99</v>
      </c>
      <c r="G840" s="8" t="s">
        <v>63</v>
      </c>
      <c r="H840" s="8" t="s">
        <v>3021</v>
      </c>
      <c r="I840" s="8" t="s">
        <v>3020</v>
      </c>
      <c r="J840" s="8" t="s">
        <v>2341</v>
      </c>
      <c r="K840" s="8" t="s">
        <v>2342</v>
      </c>
    </row>
    <row r="841" spans="1:11" ht="47.25">
      <c r="A841" s="4" t="s">
        <v>913</v>
      </c>
      <c r="B841" s="4" t="s">
        <v>1090</v>
      </c>
      <c r="C841" s="8" t="s">
        <v>2353</v>
      </c>
      <c r="D841" s="8" t="s">
        <v>2353</v>
      </c>
      <c r="E841" s="8" t="s">
        <v>48</v>
      </c>
      <c r="F841" s="8" t="s">
        <v>2353</v>
      </c>
      <c r="G841" s="8" t="s">
        <v>63</v>
      </c>
      <c r="H841" s="8" t="s">
        <v>2354</v>
      </c>
      <c r="I841" s="8" t="s">
        <v>1617</v>
      </c>
      <c r="J841" s="8" t="s">
        <v>2341</v>
      </c>
      <c r="K841" s="8" t="s">
        <v>2342</v>
      </c>
    </row>
    <row r="842" spans="1:11" ht="141.75">
      <c r="A842" s="4" t="s">
        <v>913</v>
      </c>
      <c r="B842" s="4" t="s">
        <v>1091</v>
      </c>
      <c r="C842" s="8" t="s">
        <v>2355</v>
      </c>
      <c r="D842" s="8" t="s">
        <v>2355</v>
      </c>
      <c r="E842" s="8" t="s">
        <v>48</v>
      </c>
      <c r="F842" s="8" t="s">
        <v>2355</v>
      </c>
      <c r="G842" s="8" t="s">
        <v>63</v>
      </c>
      <c r="H842" s="8" t="s">
        <v>3022</v>
      </c>
      <c r="I842" s="8" t="s">
        <v>3023</v>
      </c>
      <c r="J842" s="8" t="s">
        <v>2341</v>
      </c>
      <c r="K842" s="8" t="s">
        <v>2342</v>
      </c>
    </row>
    <row r="843" spans="1:11" ht="47.25">
      <c r="A843" s="4" t="s">
        <v>913</v>
      </c>
      <c r="B843" s="4" t="s">
        <v>35</v>
      </c>
      <c r="C843" s="8" t="s">
        <v>50</v>
      </c>
      <c r="D843" s="8" t="s">
        <v>50</v>
      </c>
      <c r="E843" s="8" t="s">
        <v>48</v>
      </c>
      <c r="F843" s="8" t="s">
        <v>50</v>
      </c>
      <c r="G843" s="8" t="s">
        <v>63</v>
      </c>
      <c r="H843" s="8" t="s">
        <v>2358</v>
      </c>
      <c r="I843" s="8" t="s">
        <v>3024</v>
      </c>
      <c r="J843" s="8" t="s">
        <v>2341</v>
      </c>
      <c r="K843" s="8" t="s">
        <v>2342</v>
      </c>
    </row>
    <row r="844" spans="1:11" ht="47.25">
      <c r="A844" s="4" t="s">
        <v>922</v>
      </c>
      <c r="B844" s="4" t="s">
        <v>1028</v>
      </c>
      <c r="C844" s="8" t="s">
        <v>83</v>
      </c>
      <c r="D844" s="8" t="s">
        <v>83</v>
      </c>
      <c r="E844" s="8" t="s">
        <v>48</v>
      </c>
      <c r="F844" s="8" t="s">
        <v>83</v>
      </c>
      <c r="G844" s="8" t="s">
        <v>63</v>
      </c>
      <c r="H844" s="8" t="s">
        <v>2875</v>
      </c>
      <c r="I844" s="8" t="s">
        <v>3016</v>
      </c>
      <c r="J844" s="8" t="s">
        <v>2341</v>
      </c>
      <c r="K844" s="8" t="s">
        <v>2342</v>
      </c>
    </row>
    <row r="845" spans="1:11" ht="47.25">
      <c r="A845" s="4" t="s">
        <v>922</v>
      </c>
      <c r="B845" s="4" t="s">
        <v>1030</v>
      </c>
      <c r="C845" s="8" t="s">
        <v>57</v>
      </c>
      <c r="D845" s="8" t="s">
        <v>57</v>
      </c>
      <c r="E845" s="8" t="s">
        <v>48</v>
      </c>
      <c r="F845" s="8" t="s">
        <v>57</v>
      </c>
      <c r="G845" s="8" t="s">
        <v>63</v>
      </c>
      <c r="H845" s="8" t="s">
        <v>2343</v>
      </c>
      <c r="I845" s="8" t="s">
        <v>3017</v>
      </c>
      <c r="J845" s="8" t="s">
        <v>2341</v>
      </c>
      <c r="K845" s="8" t="s">
        <v>2342</v>
      </c>
    </row>
    <row r="846" spans="1:11" ht="47.25">
      <c r="A846" s="4" t="s">
        <v>922</v>
      </c>
      <c r="B846" s="4" t="s">
        <v>1032</v>
      </c>
      <c r="C846" s="8" t="s">
        <v>73</v>
      </c>
      <c r="D846" s="8" t="s">
        <v>73</v>
      </c>
      <c r="E846" s="8" t="s">
        <v>48</v>
      </c>
      <c r="F846" s="8" t="s">
        <v>73</v>
      </c>
      <c r="G846" s="8" t="s">
        <v>63</v>
      </c>
      <c r="H846" s="8" t="s">
        <v>2416</v>
      </c>
      <c r="I846" s="8" t="s">
        <v>3018</v>
      </c>
      <c r="J846" s="8" t="s">
        <v>2341</v>
      </c>
      <c r="K846" s="8" t="s">
        <v>2342</v>
      </c>
    </row>
    <row r="847" spans="1:11" ht="47.25">
      <c r="A847" s="4" t="s">
        <v>922</v>
      </c>
      <c r="B847" s="4" t="s">
        <v>1034</v>
      </c>
      <c r="C847" s="8" t="s">
        <v>86</v>
      </c>
      <c r="D847" s="8" t="s">
        <v>86</v>
      </c>
      <c r="E847" s="8" t="s">
        <v>48</v>
      </c>
      <c r="F847" s="8" t="s">
        <v>86</v>
      </c>
      <c r="G847" s="8" t="s">
        <v>63</v>
      </c>
      <c r="H847" s="8" t="s">
        <v>2347</v>
      </c>
      <c r="I847" s="8" t="s">
        <v>3019</v>
      </c>
      <c r="J847" s="8" t="s">
        <v>2341</v>
      </c>
      <c r="K847" s="8" t="s">
        <v>2342</v>
      </c>
    </row>
    <row r="848" spans="1:11" ht="47.25">
      <c r="A848" s="4" t="s">
        <v>922</v>
      </c>
      <c r="B848" s="4" t="s">
        <v>1038</v>
      </c>
      <c r="C848" s="8" t="s">
        <v>107</v>
      </c>
      <c r="D848" s="8" t="s">
        <v>107</v>
      </c>
      <c r="E848" s="8" t="s">
        <v>48</v>
      </c>
      <c r="F848" s="8" t="s">
        <v>107</v>
      </c>
      <c r="G848" s="8" t="s">
        <v>63</v>
      </c>
      <c r="H848" s="8" t="s">
        <v>2349</v>
      </c>
      <c r="I848" s="8" t="s">
        <v>3025</v>
      </c>
      <c r="J848" s="8" t="s">
        <v>2341</v>
      </c>
      <c r="K848" s="8" t="s">
        <v>2342</v>
      </c>
    </row>
    <row r="849" spans="1:11" ht="47.25">
      <c r="A849" s="4" t="s">
        <v>922</v>
      </c>
      <c r="B849" s="4" t="s">
        <v>1041</v>
      </c>
      <c r="C849" s="8" t="s">
        <v>49</v>
      </c>
      <c r="D849" s="8" t="s">
        <v>49</v>
      </c>
      <c r="E849" s="8" t="s">
        <v>48</v>
      </c>
      <c r="F849" s="8" t="s">
        <v>49</v>
      </c>
      <c r="G849" s="8" t="s">
        <v>63</v>
      </c>
      <c r="H849" s="8" t="s">
        <v>2351</v>
      </c>
      <c r="I849" s="8" t="s">
        <v>3025</v>
      </c>
      <c r="J849" s="8" t="s">
        <v>2341</v>
      </c>
      <c r="K849" s="8" t="s">
        <v>2342</v>
      </c>
    </row>
    <row r="850" spans="1:11" ht="126">
      <c r="A850" s="4" t="s">
        <v>922</v>
      </c>
      <c r="B850" s="4" t="s">
        <v>32</v>
      </c>
      <c r="C850" s="8" t="s">
        <v>99</v>
      </c>
      <c r="D850" s="8" t="s">
        <v>99</v>
      </c>
      <c r="E850" s="8" t="s">
        <v>48</v>
      </c>
      <c r="F850" s="8" t="s">
        <v>99</v>
      </c>
      <c r="G850" s="8" t="s">
        <v>63</v>
      </c>
      <c r="H850" s="8" t="s">
        <v>3026</v>
      </c>
      <c r="I850" s="8" t="s">
        <v>3025</v>
      </c>
      <c r="J850" s="8" t="s">
        <v>2341</v>
      </c>
      <c r="K850" s="8" t="s">
        <v>2342</v>
      </c>
    </row>
    <row r="851" spans="1:11" ht="47.25">
      <c r="A851" s="4" t="s">
        <v>922</v>
      </c>
      <c r="B851" s="4" t="s">
        <v>1090</v>
      </c>
      <c r="C851" s="8" t="s">
        <v>2353</v>
      </c>
      <c r="D851" s="8" t="s">
        <v>2353</v>
      </c>
      <c r="E851" s="8" t="s">
        <v>48</v>
      </c>
      <c r="F851" s="8" t="s">
        <v>2353</v>
      </c>
      <c r="G851" s="8" t="s">
        <v>63</v>
      </c>
      <c r="H851" s="8" t="s">
        <v>2354</v>
      </c>
      <c r="I851" s="8" t="s">
        <v>1617</v>
      </c>
      <c r="J851" s="8" t="s">
        <v>2341</v>
      </c>
      <c r="K851" s="8" t="s">
        <v>2342</v>
      </c>
    </row>
    <row r="852" spans="1:11" ht="141.75">
      <c r="A852" s="4" t="s">
        <v>922</v>
      </c>
      <c r="B852" s="4" t="s">
        <v>1091</v>
      </c>
      <c r="C852" s="8" t="s">
        <v>2355</v>
      </c>
      <c r="D852" s="8" t="s">
        <v>2355</v>
      </c>
      <c r="E852" s="8" t="s">
        <v>48</v>
      </c>
      <c r="F852" s="8" t="s">
        <v>2355</v>
      </c>
      <c r="G852" s="8" t="s">
        <v>63</v>
      </c>
      <c r="H852" s="8" t="s">
        <v>3027</v>
      </c>
      <c r="I852" s="8" t="s">
        <v>3028</v>
      </c>
      <c r="J852" s="8" t="s">
        <v>2341</v>
      </c>
      <c r="K852" s="8" t="s">
        <v>2342</v>
      </c>
    </row>
    <row r="853" spans="1:11" ht="47.25">
      <c r="A853" s="4" t="s">
        <v>922</v>
      </c>
      <c r="B853" s="4" t="s">
        <v>35</v>
      </c>
      <c r="C853" s="8" t="s">
        <v>65</v>
      </c>
      <c r="D853" s="8" t="s">
        <v>65</v>
      </c>
      <c r="E853" s="8" t="s">
        <v>48</v>
      </c>
      <c r="F853" s="8" t="s">
        <v>65</v>
      </c>
      <c r="G853" s="8" t="s">
        <v>63</v>
      </c>
      <c r="H853" s="8" t="s">
        <v>2371</v>
      </c>
      <c r="I853" s="8" t="s">
        <v>3029</v>
      </c>
      <c r="J853" s="8" t="s">
        <v>2341</v>
      </c>
      <c r="K853" s="8" t="s">
        <v>2342</v>
      </c>
    </row>
    <row r="854" spans="1:11" ht="47.25">
      <c r="A854" s="4" t="s">
        <v>930</v>
      </c>
      <c r="B854" s="4" t="s">
        <v>1028</v>
      </c>
      <c r="C854" s="8" t="s">
        <v>83</v>
      </c>
      <c r="D854" s="8" t="s">
        <v>83</v>
      </c>
      <c r="E854" s="8" t="s">
        <v>48</v>
      </c>
      <c r="F854" s="8" t="s">
        <v>83</v>
      </c>
      <c r="G854" s="8" t="s">
        <v>63</v>
      </c>
      <c r="H854" s="8" t="s">
        <v>2875</v>
      </c>
      <c r="I854" s="8" t="s">
        <v>3030</v>
      </c>
      <c r="J854" s="8" t="s">
        <v>2341</v>
      </c>
      <c r="K854" s="8" t="s">
        <v>2342</v>
      </c>
    </row>
    <row r="855" spans="1:11" ht="47.25">
      <c r="A855" s="4" t="s">
        <v>930</v>
      </c>
      <c r="B855" s="4" t="s">
        <v>1030</v>
      </c>
      <c r="C855" s="8" t="s">
        <v>57</v>
      </c>
      <c r="D855" s="8" t="s">
        <v>57</v>
      </c>
      <c r="E855" s="8" t="s">
        <v>48</v>
      </c>
      <c r="F855" s="8" t="s">
        <v>57</v>
      </c>
      <c r="G855" s="8" t="s">
        <v>63</v>
      </c>
      <c r="H855" s="8" t="s">
        <v>2343</v>
      </c>
      <c r="I855" s="8" t="s">
        <v>3031</v>
      </c>
      <c r="J855" s="8" t="s">
        <v>2341</v>
      </c>
      <c r="K855" s="8" t="s">
        <v>2342</v>
      </c>
    </row>
    <row r="856" spans="1:11" ht="47.25">
      <c r="A856" s="4" t="s">
        <v>930</v>
      </c>
      <c r="B856" s="4" t="s">
        <v>1032</v>
      </c>
      <c r="C856" s="8" t="s">
        <v>43</v>
      </c>
      <c r="D856" s="8" t="s">
        <v>43</v>
      </c>
      <c r="E856" s="8" t="s">
        <v>48</v>
      </c>
      <c r="F856" s="8" t="s">
        <v>43</v>
      </c>
      <c r="G856" s="8" t="s">
        <v>63</v>
      </c>
      <c r="H856" s="8" t="s">
        <v>2549</v>
      </c>
      <c r="I856" s="8" t="s">
        <v>3032</v>
      </c>
      <c r="J856" s="8" t="s">
        <v>2341</v>
      </c>
      <c r="K856" s="8" t="s">
        <v>2342</v>
      </c>
    </row>
    <row r="857" spans="1:11" ht="47.25">
      <c r="A857" s="4" t="s">
        <v>930</v>
      </c>
      <c r="B857" s="4" t="s">
        <v>1034</v>
      </c>
      <c r="C857" s="8" t="s">
        <v>86</v>
      </c>
      <c r="D857" s="8" t="s">
        <v>86</v>
      </c>
      <c r="E857" s="8" t="s">
        <v>48</v>
      </c>
      <c r="F857" s="8" t="s">
        <v>86</v>
      </c>
      <c r="G857" s="8" t="s">
        <v>63</v>
      </c>
      <c r="H857" s="8" t="s">
        <v>2347</v>
      </c>
      <c r="I857" s="8" t="s">
        <v>3033</v>
      </c>
      <c r="J857" s="8" t="s">
        <v>2341</v>
      </c>
      <c r="K857" s="8" t="s">
        <v>2342</v>
      </c>
    </row>
    <row r="858" spans="1:11" ht="47.25">
      <c r="A858" s="4" t="s">
        <v>930</v>
      </c>
      <c r="B858" s="4" t="s">
        <v>1038</v>
      </c>
      <c r="C858" s="8" t="s">
        <v>107</v>
      </c>
      <c r="D858" s="8" t="s">
        <v>107</v>
      </c>
      <c r="E858" s="8" t="s">
        <v>48</v>
      </c>
      <c r="F858" s="8" t="s">
        <v>107</v>
      </c>
      <c r="G858" s="8" t="s">
        <v>63</v>
      </c>
      <c r="H858" s="8" t="s">
        <v>2349</v>
      </c>
      <c r="I858" s="8" t="s">
        <v>3034</v>
      </c>
      <c r="J858" s="8" t="s">
        <v>2341</v>
      </c>
      <c r="K858" s="8" t="s">
        <v>2342</v>
      </c>
    </row>
    <row r="859" spans="1:11" ht="47.25">
      <c r="A859" s="4" t="s">
        <v>930</v>
      </c>
      <c r="B859" s="4" t="s">
        <v>1041</v>
      </c>
      <c r="C859" s="8" t="s">
        <v>49</v>
      </c>
      <c r="D859" s="8" t="s">
        <v>49</v>
      </c>
      <c r="E859" s="8" t="s">
        <v>48</v>
      </c>
      <c r="F859" s="8" t="s">
        <v>49</v>
      </c>
      <c r="G859" s="8" t="s">
        <v>63</v>
      </c>
      <c r="H859" s="8" t="s">
        <v>2351</v>
      </c>
      <c r="I859" s="8" t="s">
        <v>3034</v>
      </c>
      <c r="J859" s="8" t="s">
        <v>2341</v>
      </c>
      <c r="K859" s="8" t="s">
        <v>2342</v>
      </c>
    </row>
    <row r="860" spans="1:11" ht="126">
      <c r="A860" s="4" t="s">
        <v>930</v>
      </c>
      <c r="B860" s="4" t="s">
        <v>32</v>
      </c>
      <c r="C860" s="8" t="s">
        <v>99</v>
      </c>
      <c r="D860" s="8" t="s">
        <v>99</v>
      </c>
      <c r="E860" s="8" t="s">
        <v>48</v>
      </c>
      <c r="F860" s="8" t="s">
        <v>99</v>
      </c>
      <c r="G860" s="8" t="s">
        <v>63</v>
      </c>
      <c r="H860" s="8" t="s">
        <v>3035</v>
      </c>
      <c r="I860" s="8" t="s">
        <v>3034</v>
      </c>
      <c r="J860" s="8" t="s">
        <v>2341</v>
      </c>
      <c r="K860" s="8" t="s">
        <v>2342</v>
      </c>
    </row>
    <row r="861" spans="1:11" ht="47.25">
      <c r="A861" s="4" t="s">
        <v>930</v>
      </c>
      <c r="B861" s="4" t="s">
        <v>1090</v>
      </c>
      <c r="C861" s="8" t="s">
        <v>2353</v>
      </c>
      <c r="D861" s="8" t="s">
        <v>2353</v>
      </c>
      <c r="E861" s="8" t="s">
        <v>48</v>
      </c>
      <c r="F861" s="8" t="s">
        <v>2353</v>
      </c>
      <c r="G861" s="8" t="s">
        <v>63</v>
      </c>
      <c r="H861" s="8" t="s">
        <v>2354</v>
      </c>
      <c r="I861" s="8" t="s">
        <v>1617</v>
      </c>
      <c r="J861" s="8" t="s">
        <v>2341</v>
      </c>
      <c r="K861" s="8" t="s">
        <v>2342</v>
      </c>
    </row>
    <row r="862" spans="1:11" ht="141.75">
      <c r="A862" s="4" t="s">
        <v>930</v>
      </c>
      <c r="B862" s="4" t="s">
        <v>1091</v>
      </c>
      <c r="C862" s="8" t="s">
        <v>2355</v>
      </c>
      <c r="D862" s="8" t="s">
        <v>2355</v>
      </c>
      <c r="E862" s="8" t="s">
        <v>48</v>
      </c>
      <c r="F862" s="8" t="s">
        <v>2355</v>
      </c>
      <c r="G862" s="8" t="s">
        <v>63</v>
      </c>
      <c r="H862" s="8" t="s">
        <v>3036</v>
      </c>
      <c r="I862" s="8" t="s">
        <v>3037</v>
      </c>
      <c r="J862" s="8" t="s">
        <v>2341</v>
      </c>
      <c r="K862" s="8" t="s">
        <v>2342</v>
      </c>
    </row>
    <row r="863" spans="1:11" ht="47.25">
      <c r="A863" s="4" t="s">
        <v>930</v>
      </c>
      <c r="B863" s="4" t="s">
        <v>35</v>
      </c>
      <c r="C863" s="8" t="s">
        <v>50</v>
      </c>
      <c r="D863" s="8" t="s">
        <v>50</v>
      </c>
      <c r="E863" s="8" t="s">
        <v>48</v>
      </c>
      <c r="F863" s="8" t="s">
        <v>50</v>
      </c>
      <c r="G863" s="8" t="s">
        <v>63</v>
      </c>
      <c r="H863" s="8" t="s">
        <v>2358</v>
      </c>
      <c r="I863" s="8" t="s">
        <v>3033</v>
      </c>
      <c r="J863" s="8" t="s">
        <v>2341</v>
      </c>
      <c r="K863" s="8" t="s">
        <v>2342</v>
      </c>
    </row>
    <row r="864" spans="1:11" ht="47.25">
      <c r="A864" s="4" t="s">
        <v>938</v>
      </c>
      <c r="B864" s="4" t="s">
        <v>1028</v>
      </c>
      <c r="C864" s="8" t="s">
        <v>83</v>
      </c>
      <c r="D864" s="8" t="s">
        <v>83</v>
      </c>
      <c r="E864" s="8" t="s">
        <v>48</v>
      </c>
      <c r="F864" s="8" t="s">
        <v>83</v>
      </c>
      <c r="G864" s="8" t="s">
        <v>63</v>
      </c>
      <c r="H864" s="8" t="s">
        <v>2875</v>
      </c>
      <c r="I864" s="8" t="s">
        <v>3038</v>
      </c>
      <c r="J864" s="8" t="s">
        <v>2341</v>
      </c>
      <c r="K864" s="8" t="s">
        <v>2342</v>
      </c>
    </row>
    <row r="865" spans="1:11" ht="47.25">
      <c r="A865" s="4" t="s">
        <v>938</v>
      </c>
      <c r="B865" s="4" t="s">
        <v>1030</v>
      </c>
      <c r="C865" s="8" t="s">
        <v>57</v>
      </c>
      <c r="D865" s="8" t="s">
        <v>57</v>
      </c>
      <c r="E865" s="8" t="s">
        <v>48</v>
      </c>
      <c r="F865" s="8" t="s">
        <v>57</v>
      </c>
      <c r="G865" s="8" t="s">
        <v>63</v>
      </c>
      <c r="H865" s="8" t="s">
        <v>2343</v>
      </c>
      <c r="I865" s="8" t="s">
        <v>3038</v>
      </c>
      <c r="J865" s="8" t="s">
        <v>2341</v>
      </c>
      <c r="K865" s="8" t="s">
        <v>2342</v>
      </c>
    </row>
    <row r="866" spans="1:11" ht="47.25">
      <c r="A866" s="4" t="s">
        <v>938</v>
      </c>
      <c r="B866" s="4" t="s">
        <v>1032</v>
      </c>
      <c r="C866" s="8" t="s">
        <v>111</v>
      </c>
      <c r="D866" s="8" t="s">
        <v>111</v>
      </c>
      <c r="E866" s="8" t="s">
        <v>48</v>
      </c>
      <c r="F866" s="8" t="s">
        <v>111</v>
      </c>
      <c r="G866" s="8" t="s">
        <v>63</v>
      </c>
      <c r="H866" s="8" t="s">
        <v>2724</v>
      </c>
      <c r="I866" s="8" t="s">
        <v>3009</v>
      </c>
      <c r="J866" s="8" t="s">
        <v>2341</v>
      </c>
      <c r="K866" s="8" t="s">
        <v>2342</v>
      </c>
    </row>
    <row r="867" spans="1:11" ht="47.25">
      <c r="A867" s="4" t="s">
        <v>938</v>
      </c>
      <c r="B867" s="4" t="s">
        <v>1034</v>
      </c>
      <c r="C867" s="8" t="s">
        <v>86</v>
      </c>
      <c r="D867" s="8" t="s">
        <v>86</v>
      </c>
      <c r="E867" s="8" t="s">
        <v>48</v>
      </c>
      <c r="F867" s="8" t="s">
        <v>86</v>
      </c>
      <c r="G867" s="8" t="s">
        <v>63</v>
      </c>
      <c r="H867" s="8" t="s">
        <v>2347</v>
      </c>
      <c r="I867" s="8" t="s">
        <v>3009</v>
      </c>
      <c r="J867" s="8" t="s">
        <v>2341</v>
      </c>
      <c r="K867" s="8" t="s">
        <v>2342</v>
      </c>
    </row>
    <row r="868" spans="1:11" ht="47.25">
      <c r="A868" s="4" t="s">
        <v>938</v>
      </c>
      <c r="B868" s="4" t="s">
        <v>1038</v>
      </c>
      <c r="C868" s="8" t="s">
        <v>76</v>
      </c>
      <c r="D868" s="8" t="s">
        <v>76</v>
      </c>
      <c r="E868" s="8" t="s">
        <v>48</v>
      </c>
      <c r="F868" s="8" t="s">
        <v>76</v>
      </c>
      <c r="G868" s="8" t="s">
        <v>63</v>
      </c>
      <c r="H868" s="8" t="s">
        <v>2797</v>
      </c>
      <c r="I868" s="8" t="s">
        <v>3039</v>
      </c>
      <c r="J868" s="8" t="s">
        <v>2341</v>
      </c>
      <c r="K868" s="8" t="s">
        <v>2342</v>
      </c>
    </row>
    <row r="869" spans="1:11" ht="47.25">
      <c r="A869" s="4" t="s">
        <v>938</v>
      </c>
      <c r="B869" s="4" t="s">
        <v>1041</v>
      </c>
      <c r="C869" s="8" t="s">
        <v>49</v>
      </c>
      <c r="D869" s="8" t="s">
        <v>49</v>
      </c>
      <c r="E869" s="8" t="s">
        <v>48</v>
      </c>
      <c r="F869" s="8" t="s">
        <v>49</v>
      </c>
      <c r="G869" s="8" t="s">
        <v>63</v>
      </c>
      <c r="H869" s="8" t="s">
        <v>2351</v>
      </c>
      <c r="I869" s="8" t="s">
        <v>3039</v>
      </c>
      <c r="J869" s="8" t="s">
        <v>2341</v>
      </c>
      <c r="K869" s="8" t="s">
        <v>2342</v>
      </c>
    </row>
    <row r="870" spans="1:11" ht="126">
      <c r="A870" s="4" t="s">
        <v>938</v>
      </c>
      <c r="B870" s="4" t="s">
        <v>32</v>
      </c>
      <c r="C870" s="8" t="s">
        <v>62</v>
      </c>
      <c r="D870" s="8" t="s">
        <v>62</v>
      </c>
      <c r="E870" s="8" t="s">
        <v>48</v>
      </c>
      <c r="F870" s="8" t="s">
        <v>62</v>
      </c>
      <c r="G870" s="8" t="s">
        <v>63</v>
      </c>
      <c r="H870" s="8" t="s">
        <v>3040</v>
      </c>
      <c r="I870" s="8" t="s">
        <v>3039</v>
      </c>
      <c r="J870" s="8" t="s">
        <v>2341</v>
      </c>
      <c r="K870" s="8" t="s">
        <v>2342</v>
      </c>
    </row>
    <row r="871" spans="1:11" ht="47.25">
      <c r="A871" s="4" t="s">
        <v>938</v>
      </c>
      <c r="B871" s="4" t="s">
        <v>1090</v>
      </c>
      <c r="C871" s="8" t="s">
        <v>2353</v>
      </c>
      <c r="D871" s="8" t="s">
        <v>2353</v>
      </c>
      <c r="E871" s="8" t="s">
        <v>48</v>
      </c>
      <c r="F871" s="8" t="s">
        <v>2353</v>
      </c>
      <c r="G871" s="8" t="s">
        <v>63</v>
      </c>
      <c r="H871" s="8" t="s">
        <v>2354</v>
      </c>
      <c r="I871" s="8" t="s">
        <v>1617</v>
      </c>
      <c r="J871" s="8" t="s">
        <v>2341</v>
      </c>
      <c r="K871" s="8" t="s">
        <v>2342</v>
      </c>
    </row>
    <row r="872" spans="1:11" ht="141.75">
      <c r="A872" s="4" t="s">
        <v>938</v>
      </c>
      <c r="B872" s="4" t="s">
        <v>1091</v>
      </c>
      <c r="C872" s="8" t="s">
        <v>2390</v>
      </c>
      <c r="D872" s="8" t="s">
        <v>2390</v>
      </c>
      <c r="E872" s="8" t="s">
        <v>48</v>
      </c>
      <c r="F872" s="8" t="s">
        <v>2390</v>
      </c>
      <c r="G872" s="8" t="s">
        <v>63</v>
      </c>
      <c r="H872" s="8" t="s">
        <v>3041</v>
      </c>
      <c r="I872" s="8" t="s">
        <v>3042</v>
      </c>
      <c r="J872" s="8" t="s">
        <v>2341</v>
      </c>
      <c r="K872" s="8" t="s">
        <v>2342</v>
      </c>
    </row>
    <row r="873" spans="1:11" ht="47.25">
      <c r="A873" s="4" t="s">
        <v>938</v>
      </c>
      <c r="B873" s="4" t="s">
        <v>35</v>
      </c>
      <c r="C873" s="8" t="s">
        <v>50</v>
      </c>
      <c r="D873" s="8" t="s">
        <v>50</v>
      </c>
      <c r="E873" s="8" t="s">
        <v>48</v>
      </c>
      <c r="F873" s="8" t="s">
        <v>50</v>
      </c>
      <c r="G873" s="8" t="s">
        <v>63</v>
      </c>
      <c r="H873" s="8" t="s">
        <v>2358</v>
      </c>
      <c r="I873" s="8" t="s">
        <v>3039</v>
      </c>
      <c r="J873" s="8" t="s">
        <v>2341</v>
      </c>
      <c r="K873" s="8" t="s">
        <v>2342</v>
      </c>
    </row>
    <row r="874" spans="1:11" ht="47.25">
      <c r="A874" s="4" t="s">
        <v>947</v>
      </c>
      <c r="B874" s="4" t="s">
        <v>1028</v>
      </c>
      <c r="C874" s="8" t="s">
        <v>83</v>
      </c>
      <c r="D874" s="8" t="s">
        <v>83</v>
      </c>
      <c r="E874" s="8" t="s">
        <v>48</v>
      </c>
      <c r="F874" s="8" t="s">
        <v>83</v>
      </c>
      <c r="G874" s="8" t="s">
        <v>63</v>
      </c>
      <c r="H874" s="8" t="s">
        <v>2875</v>
      </c>
      <c r="I874" s="8" t="s">
        <v>3043</v>
      </c>
      <c r="J874" s="8" t="s">
        <v>2341</v>
      </c>
      <c r="K874" s="8" t="s">
        <v>2342</v>
      </c>
    </row>
    <row r="875" spans="1:11" ht="47.25">
      <c r="A875" s="4" t="s">
        <v>947</v>
      </c>
      <c r="B875" s="4" t="s">
        <v>1030</v>
      </c>
      <c r="C875" s="8" t="s">
        <v>57</v>
      </c>
      <c r="D875" s="8" t="s">
        <v>57</v>
      </c>
      <c r="E875" s="8" t="s">
        <v>48</v>
      </c>
      <c r="F875" s="8" t="s">
        <v>57</v>
      </c>
      <c r="G875" s="8" t="s">
        <v>63</v>
      </c>
      <c r="H875" s="8" t="s">
        <v>2343</v>
      </c>
      <c r="I875" s="8" t="s">
        <v>3043</v>
      </c>
      <c r="J875" s="8" t="s">
        <v>2341</v>
      </c>
      <c r="K875" s="8" t="s">
        <v>2342</v>
      </c>
    </row>
    <row r="876" spans="1:11" ht="47.25">
      <c r="A876" s="4" t="s">
        <v>947</v>
      </c>
      <c r="B876" s="4" t="s">
        <v>1032</v>
      </c>
      <c r="C876" s="8" t="s">
        <v>111</v>
      </c>
      <c r="D876" s="8" t="s">
        <v>111</v>
      </c>
      <c r="E876" s="8" t="s">
        <v>48</v>
      </c>
      <c r="F876" s="8" t="s">
        <v>111</v>
      </c>
      <c r="G876" s="8" t="s">
        <v>63</v>
      </c>
      <c r="H876" s="8" t="s">
        <v>2724</v>
      </c>
      <c r="I876" s="8" t="s">
        <v>3044</v>
      </c>
      <c r="J876" s="8" t="s">
        <v>2341</v>
      </c>
      <c r="K876" s="8" t="s">
        <v>2342</v>
      </c>
    </row>
    <row r="877" spans="1:11" ht="47.25">
      <c r="A877" s="4" t="s">
        <v>947</v>
      </c>
      <c r="B877" s="4" t="s">
        <v>1034</v>
      </c>
      <c r="C877" s="8" t="s">
        <v>86</v>
      </c>
      <c r="D877" s="8" t="s">
        <v>86</v>
      </c>
      <c r="E877" s="8" t="s">
        <v>48</v>
      </c>
      <c r="F877" s="8" t="s">
        <v>86</v>
      </c>
      <c r="G877" s="8" t="s">
        <v>63</v>
      </c>
      <c r="H877" s="8" t="s">
        <v>2347</v>
      </c>
      <c r="I877" s="8" t="s">
        <v>3044</v>
      </c>
      <c r="J877" s="8" t="s">
        <v>2341</v>
      </c>
      <c r="K877" s="8" t="s">
        <v>2342</v>
      </c>
    </row>
    <row r="878" spans="1:11" ht="47.25">
      <c r="A878" s="4" t="s">
        <v>947</v>
      </c>
      <c r="B878" s="4" t="s">
        <v>1038</v>
      </c>
      <c r="C878" s="8" t="s">
        <v>107</v>
      </c>
      <c r="D878" s="8" t="s">
        <v>107</v>
      </c>
      <c r="E878" s="8" t="s">
        <v>48</v>
      </c>
      <c r="F878" s="8" t="s">
        <v>107</v>
      </c>
      <c r="G878" s="8" t="s">
        <v>63</v>
      </c>
      <c r="H878" s="8" t="s">
        <v>2349</v>
      </c>
      <c r="I878" s="8" t="s">
        <v>3045</v>
      </c>
      <c r="J878" s="8" t="s">
        <v>2341</v>
      </c>
      <c r="K878" s="8" t="s">
        <v>2342</v>
      </c>
    </row>
    <row r="879" spans="1:11" ht="47.25">
      <c r="A879" s="4" t="s">
        <v>947</v>
      </c>
      <c r="B879" s="4" t="s">
        <v>1041</v>
      </c>
      <c r="C879" s="8" t="s">
        <v>49</v>
      </c>
      <c r="D879" s="8" t="s">
        <v>49</v>
      </c>
      <c r="E879" s="8" t="s">
        <v>48</v>
      </c>
      <c r="F879" s="8" t="s">
        <v>49</v>
      </c>
      <c r="G879" s="8" t="s">
        <v>63</v>
      </c>
      <c r="H879" s="8" t="s">
        <v>2351</v>
      </c>
      <c r="I879" s="8" t="s">
        <v>3045</v>
      </c>
      <c r="J879" s="8" t="s">
        <v>2341</v>
      </c>
      <c r="K879" s="8" t="s">
        <v>2342</v>
      </c>
    </row>
    <row r="880" spans="1:11" ht="126">
      <c r="A880" s="4" t="s">
        <v>947</v>
      </c>
      <c r="B880" s="4" t="s">
        <v>32</v>
      </c>
      <c r="C880" s="8" t="s">
        <v>99</v>
      </c>
      <c r="D880" s="8" t="s">
        <v>99</v>
      </c>
      <c r="E880" s="8" t="s">
        <v>48</v>
      </c>
      <c r="F880" s="8" t="s">
        <v>99</v>
      </c>
      <c r="G880" s="8" t="s">
        <v>63</v>
      </c>
      <c r="H880" s="8" t="s">
        <v>3046</v>
      </c>
      <c r="I880" s="8" t="s">
        <v>3045</v>
      </c>
      <c r="J880" s="8" t="s">
        <v>2341</v>
      </c>
      <c r="K880" s="8" t="s">
        <v>2342</v>
      </c>
    </row>
    <row r="881" spans="1:11" ht="47.25">
      <c r="A881" s="4" t="s">
        <v>947</v>
      </c>
      <c r="B881" s="4" t="s">
        <v>1090</v>
      </c>
      <c r="C881" s="8" t="s">
        <v>2353</v>
      </c>
      <c r="D881" s="8" t="s">
        <v>2353</v>
      </c>
      <c r="E881" s="8" t="s">
        <v>48</v>
      </c>
      <c r="F881" s="8" t="s">
        <v>2353</v>
      </c>
      <c r="G881" s="8" t="s">
        <v>63</v>
      </c>
      <c r="H881" s="8" t="s">
        <v>2354</v>
      </c>
      <c r="I881" s="8" t="s">
        <v>1617</v>
      </c>
      <c r="J881" s="8" t="s">
        <v>2341</v>
      </c>
      <c r="K881" s="8" t="s">
        <v>2342</v>
      </c>
    </row>
    <row r="882" spans="1:11" ht="141.75">
      <c r="A882" s="4" t="s">
        <v>947</v>
      </c>
      <c r="B882" s="4" t="s">
        <v>1091</v>
      </c>
      <c r="C882" s="8" t="s">
        <v>2355</v>
      </c>
      <c r="D882" s="8" t="s">
        <v>2355</v>
      </c>
      <c r="E882" s="8" t="s">
        <v>48</v>
      </c>
      <c r="F882" s="8" t="s">
        <v>2355</v>
      </c>
      <c r="G882" s="8" t="s">
        <v>63</v>
      </c>
      <c r="H882" s="8" t="s">
        <v>3047</v>
      </c>
      <c r="I882" s="8" t="s">
        <v>3048</v>
      </c>
      <c r="J882" s="8" t="s">
        <v>2341</v>
      </c>
      <c r="K882" s="8" t="s">
        <v>2342</v>
      </c>
    </row>
    <row r="883" spans="1:11" ht="47.25">
      <c r="A883" s="4" t="s">
        <v>947</v>
      </c>
      <c r="B883" s="4" t="s">
        <v>35</v>
      </c>
      <c r="C883" s="8" t="s">
        <v>50</v>
      </c>
      <c r="D883" s="8" t="s">
        <v>50</v>
      </c>
      <c r="E883" s="8" t="s">
        <v>48</v>
      </c>
      <c r="F883" s="8" t="s">
        <v>50</v>
      </c>
      <c r="G883" s="8" t="s">
        <v>63</v>
      </c>
      <c r="H883" s="8" t="s">
        <v>2358</v>
      </c>
      <c r="I883" s="8" t="s">
        <v>3045</v>
      </c>
      <c r="J883" s="8" t="s">
        <v>2341</v>
      </c>
      <c r="K883" s="8" t="s">
        <v>2342</v>
      </c>
    </row>
    <row r="884" spans="1:11" ht="47.25">
      <c r="A884" s="4" t="s">
        <v>956</v>
      </c>
      <c r="B884" s="4" t="s">
        <v>1028</v>
      </c>
      <c r="C884" s="8" t="s">
        <v>83</v>
      </c>
      <c r="D884" s="8" t="s">
        <v>83</v>
      </c>
      <c r="E884" s="8" t="s">
        <v>48</v>
      </c>
      <c r="F884" s="8" t="s">
        <v>83</v>
      </c>
      <c r="G884" s="8" t="s">
        <v>63</v>
      </c>
      <c r="H884" s="8" t="s">
        <v>2875</v>
      </c>
      <c r="I884" s="8" t="s">
        <v>3049</v>
      </c>
      <c r="J884" s="8" t="s">
        <v>2341</v>
      </c>
      <c r="K884" s="8" t="s">
        <v>2342</v>
      </c>
    </row>
    <row r="885" spans="1:11" ht="47.25">
      <c r="A885" s="4" t="s">
        <v>956</v>
      </c>
      <c r="B885" s="4" t="s">
        <v>1030</v>
      </c>
      <c r="C885" s="8" t="s">
        <v>57</v>
      </c>
      <c r="D885" s="8" t="s">
        <v>57</v>
      </c>
      <c r="E885" s="8" t="s">
        <v>48</v>
      </c>
      <c r="F885" s="8" t="s">
        <v>57</v>
      </c>
      <c r="G885" s="8" t="s">
        <v>63</v>
      </c>
      <c r="H885" s="8" t="s">
        <v>2343</v>
      </c>
      <c r="I885" s="8" t="s">
        <v>3050</v>
      </c>
      <c r="J885" s="8" t="s">
        <v>2341</v>
      </c>
      <c r="K885" s="8" t="s">
        <v>2342</v>
      </c>
    </row>
    <row r="886" spans="1:11" ht="47.25">
      <c r="A886" s="4" t="s">
        <v>956</v>
      </c>
      <c r="B886" s="4" t="s">
        <v>1032</v>
      </c>
      <c r="C886" s="8" t="s">
        <v>58</v>
      </c>
      <c r="D886" s="8" t="s">
        <v>58</v>
      </c>
      <c r="E886" s="8" t="s">
        <v>48</v>
      </c>
      <c r="F886" s="8" t="s">
        <v>58</v>
      </c>
      <c r="G886" s="8" t="s">
        <v>63</v>
      </c>
      <c r="H886" s="8" t="s">
        <v>2597</v>
      </c>
      <c r="I886" s="8" t="s">
        <v>3051</v>
      </c>
      <c r="J886" s="8" t="s">
        <v>2341</v>
      </c>
      <c r="K886" s="8" t="s">
        <v>2342</v>
      </c>
    </row>
    <row r="887" spans="1:11" ht="47.25">
      <c r="A887" s="4" t="s">
        <v>956</v>
      </c>
      <c r="B887" s="4" t="s">
        <v>1034</v>
      </c>
      <c r="C887" s="8" t="s">
        <v>86</v>
      </c>
      <c r="D887" s="8" t="s">
        <v>86</v>
      </c>
      <c r="E887" s="8" t="s">
        <v>48</v>
      </c>
      <c r="F887" s="8" t="s">
        <v>86</v>
      </c>
      <c r="G887" s="8" t="s">
        <v>63</v>
      </c>
      <c r="H887" s="8" t="s">
        <v>2347</v>
      </c>
      <c r="I887" s="8" t="s">
        <v>3052</v>
      </c>
      <c r="J887" s="8" t="s">
        <v>2341</v>
      </c>
      <c r="K887" s="8" t="s">
        <v>2342</v>
      </c>
    </row>
    <row r="888" spans="1:11" ht="47.25">
      <c r="A888" s="4" t="s">
        <v>956</v>
      </c>
      <c r="B888" s="4" t="s">
        <v>1038</v>
      </c>
      <c r="C888" s="8" t="s">
        <v>107</v>
      </c>
      <c r="D888" s="8" t="s">
        <v>107</v>
      </c>
      <c r="E888" s="8" t="s">
        <v>48</v>
      </c>
      <c r="F888" s="8" t="s">
        <v>107</v>
      </c>
      <c r="G888" s="8" t="s">
        <v>63</v>
      </c>
      <c r="H888" s="8" t="s">
        <v>2349</v>
      </c>
      <c r="I888" s="8" t="s">
        <v>3053</v>
      </c>
      <c r="J888" s="8" t="s">
        <v>2341</v>
      </c>
      <c r="K888" s="8" t="s">
        <v>2342</v>
      </c>
    </row>
    <row r="889" spans="1:11" ht="47.25">
      <c r="A889" s="4" t="s">
        <v>956</v>
      </c>
      <c r="B889" s="4" t="s">
        <v>1041</v>
      </c>
      <c r="C889" s="8" t="s">
        <v>49</v>
      </c>
      <c r="D889" s="8" t="s">
        <v>49</v>
      </c>
      <c r="E889" s="8" t="s">
        <v>48</v>
      </c>
      <c r="F889" s="8" t="s">
        <v>49</v>
      </c>
      <c r="G889" s="8" t="s">
        <v>63</v>
      </c>
      <c r="H889" s="8" t="s">
        <v>2351</v>
      </c>
      <c r="I889" s="8" t="s">
        <v>3053</v>
      </c>
      <c r="J889" s="8" t="s">
        <v>2341</v>
      </c>
      <c r="K889" s="8" t="s">
        <v>2342</v>
      </c>
    </row>
    <row r="890" spans="1:11" ht="126">
      <c r="A890" s="4" t="s">
        <v>956</v>
      </c>
      <c r="B890" s="4" t="s">
        <v>32</v>
      </c>
      <c r="C890" s="8" t="s">
        <v>99</v>
      </c>
      <c r="D890" s="8" t="s">
        <v>99</v>
      </c>
      <c r="E890" s="8" t="s">
        <v>48</v>
      </c>
      <c r="F890" s="8" t="s">
        <v>99</v>
      </c>
      <c r="G890" s="8" t="s">
        <v>63</v>
      </c>
      <c r="H890" s="8" t="s">
        <v>3054</v>
      </c>
      <c r="I890" s="8" t="s">
        <v>3053</v>
      </c>
      <c r="J890" s="8" t="s">
        <v>2341</v>
      </c>
      <c r="K890" s="8" t="s">
        <v>2342</v>
      </c>
    </row>
    <row r="891" spans="1:11" ht="47.25">
      <c r="A891" s="4" t="s">
        <v>956</v>
      </c>
      <c r="B891" s="4" t="s">
        <v>1090</v>
      </c>
      <c r="C891" s="8" t="s">
        <v>2353</v>
      </c>
      <c r="D891" s="8" t="s">
        <v>2353</v>
      </c>
      <c r="E891" s="8" t="s">
        <v>48</v>
      </c>
      <c r="F891" s="8" t="s">
        <v>2353</v>
      </c>
      <c r="G891" s="8" t="s">
        <v>63</v>
      </c>
      <c r="H891" s="8" t="s">
        <v>2354</v>
      </c>
      <c r="I891" s="8" t="s">
        <v>1617</v>
      </c>
      <c r="J891" s="8" t="s">
        <v>2341</v>
      </c>
      <c r="K891" s="8" t="s">
        <v>2342</v>
      </c>
    </row>
    <row r="892" spans="1:11" ht="141.75">
      <c r="A892" s="4" t="s">
        <v>956</v>
      </c>
      <c r="B892" s="4" t="s">
        <v>1091</v>
      </c>
      <c r="C892" s="8" t="s">
        <v>2355</v>
      </c>
      <c r="D892" s="8" t="s">
        <v>2355</v>
      </c>
      <c r="E892" s="8" t="s">
        <v>48</v>
      </c>
      <c r="F892" s="8" t="s">
        <v>2355</v>
      </c>
      <c r="G892" s="8" t="s">
        <v>63</v>
      </c>
      <c r="H892" s="8" t="s">
        <v>3055</v>
      </c>
      <c r="I892" s="8" t="s">
        <v>3056</v>
      </c>
      <c r="J892" s="8" t="s">
        <v>2341</v>
      </c>
      <c r="K892" s="8" t="s">
        <v>2342</v>
      </c>
    </row>
    <row r="893" spans="1:11" ht="47.25">
      <c r="A893" s="4" t="s">
        <v>956</v>
      </c>
      <c r="B893" s="4" t="s">
        <v>35</v>
      </c>
      <c r="C893" s="8" t="s">
        <v>50</v>
      </c>
      <c r="D893" s="8" t="s">
        <v>50</v>
      </c>
      <c r="E893" s="8" t="s">
        <v>48</v>
      </c>
      <c r="F893" s="8" t="s">
        <v>50</v>
      </c>
      <c r="G893" s="8" t="s">
        <v>63</v>
      </c>
      <c r="H893" s="8" t="s">
        <v>2358</v>
      </c>
      <c r="I893" s="8" t="s">
        <v>3057</v>
      </c>
      <c r="J893" s="8" t="s">
        <v>2341</v>
      </c>
      <c r="K893" s="8" t="s">
        <v>2342</v>
      </c>
    </row>
    <row r="894" spans="1:11" ht="47.25">
      <c r="A894" s="4" t="s">
        <v>965</v>
      </c>
      <c r="B894" s="4" t="s">
        <v>1028</v>
      </c>
      <c r="C894" s="8" t="s">
        <v>83</v>
      </c>
      <c r="D894" s="8" t="s">
        <v>83</v>
      </c>
      <c r="E894" s="8" t="s">
        <v>48</v>
      </c>
      <c r="F894" s="8" t="s">
        <v>83</v>
      </c>
      <c r="G894" s="8" t="s">
        <v>63</v>
      </c>
      <c r="H894" s="8" t="s">
        <v>2875</v>
      </c>
      <c r="I894" s="8" t="s">
        <v>3058</v>
      </c>
      <c r="J894" s="8" t="s">
        <v>2341</v>
      </c>
      <c r="K894" s="8" t="s">
        <v>2342</v>
      </c>
    </row>
    <row r="895" spans="1:11" ht="47.25">
      <c r="A895" s="4" t="s">
        <v>965</v>
      </c>
      <c r="B895" s="4" t="s">
        <v>1030</v>
      </c>
      <c r="C895" s="8" t="s">
        <v>57</v>
      </c>
      <c r="D895" s="8" t="s">
        <v>57</v>
      </c>
      <c r="E895" s="8" t="s">
        <v>48</v>
      </c>
      <c r="F895" s="8" t="s">
        <v>57</v>
      </c>
      <c r="G895" s="8" t="s">
        <v>63</v>
      </c>
      <c r="H895" s="8" t="s">
        <v>2343</v>
      </c>
      <c r="I895" s="8" t="s">
        <v>3059</v>
      </c>
      <c r="J895" s="8" t="s">
        <v>2341</v>
      </c>
      <c r="K895" s="8" t="s">
        <v>2342</v>
      </c>
    </row>
    <row r="896" spans="1:11" ht="47.25">
      <c r="A896" s="4" t="s">
        <v>965</v>
      </c>
      <c r="B896" s="4" t="s">
        <v>1032</v>
      </c>
      <c r="C896" s="8" t="s">
        <v>43</v>
      </c>
      <c r="D896" s="8" t="s">
        <v>43</v>
      </c>
      <c r="E896" s="8" t="s">
        <v>48</v>
      </c>
      <c r="F896" s="8" t="s">
        <v>43</v>
      </c>
      <c r="G896" s="8" t="s">
        <v>63</v>
      </c>
      <c r="H896" s="8" t="s">
        <v>2549</v>
      </c>
      <c r="I896" s="8" t="s">
        <v>3060</v>
      </c>
      <c r="J896" s="8" t="s">
        <v>2341</v>
      </c>
      <c r="K896" s="8" t="s">
        <v>2342</v>
      </c>
    </row>
    <row r="897" spans="1:11" ht="47.25">
      <c r="A897" s="4" t="s">
        <v>965</v>
      </c>
      <c r="B897" s="4" t="s">
        <v>1034</v>
      </c>
      <c r="C897" s="8" t="s">
        <v>86</v>
      </c>
      <c r="D897" s="8" t="s">
        <v>86</v>
      </c>
      <c r="E897" s="8" t="s">
        <v>48</v>
      </c>
      <c r="F897" s="8" t="s">
        <v>86</v>
      </c>
      <c r="G897" s="8" t="s">
        <v>63</v>
      </c>
      <c r="H897" s="8" t="s">
        <v>2347</v>
      </c>
      <c r="I897" s="8" t="s">
        <v>3061</v>
      </c>
      <c r="J897" s="8" t="s">
        <v>2341</v>
      </c>
      <c r="K897" s="8" t="s">
        <v>2342</v>
      </c>
    </row>
    <row r="898" spans="1:11" ht="47.25">
      <c r="A898" s="4" t="s">
        <v>965</v>
      </c>
      <c r="B898" s="4" t="s">
        <v>1038</v>
      </c>
      <c r="C898" s="8" t="s">
        <v>107</v>
      </c>
      <c r="D898" s="8" t="s">
        <v>107</v>
      </c>
      <c r="E898" s="8" t="s">
        <v>48</v>
      </c>
      <c r="F898" s="8" t="s">
        <v>107</v>
      </c>
      <c r="G898" s="8" t="s">
        <v>63</v>
      </c>
      <c r="H898" s="8" t="s">
        <v>2349</v>
      </c>
      <c r="I898" s="8" t="s">
        <v>3062</v>
      </c>
      <c r="J898" s="8" t="s">
        <v>2341</v>
      </c>
      <c r="K898" s="8" t="s">
        <v>2342</v>
      </c>
    </row>
    <row r="899" spans="1:11" ht="47.25">
      <c r="A899" s="4" t="s">
        <v>965</v>
      </c>
      <c r="B899" s="4" t="s">
        <v>1041</v>
      </c>
      <c r="C899" s="8" t="s">
        <v>49</v>
      </c>
      <c r="D899" s="8" t="s">
        <v>49</v>
      </c>
      <c r="E899" s="8" t="s">
        <v>48</v>
      </c>
      <c r="F899" s="8" t="s">
        <v>49</v>
      </c>
      <c r="G899" s="8" t="s">
        <v>63</v>
      </c>
      <c r="H899" s="8" t="s">
        <v>2351</v>
      </c>
      <c r="I899" s="8" t="s">
        <v>3062</v>
      </c>
      <c r="J899" s="8" t="s">
        <v>2341</v>
      </c>
      <c r="K899" s="8" t="s">
        <v>2342</v>
      </c>
    </row>
    <row r="900" spans="1:11" ht="126">
      <c r="A900" s="4" t="s">
        <v>965</v>
      </c>
      <c r="B900" s="4" t="s">
        <v>32</v>
      </c>
      <c r="C900" s="8" t="s">
        <v>99</v>
      </c>
      <c r="D900" s="8" t="s">
        <v>99</v>
      </c>
      <c r="E900" s="8" t="s">
        <v>48</v>
      </c>
      <c r="F900" s="8" t="s">
        <v>99</v>
      </c>
      <c r="G900" s="8" t="s">
        <v>63</v>
      </c>
      <c r="H900" s="8" t="s">
        <v>3063</v>
      </c>
      <c r="I900" s="8" t="s">
        <v>3062</v>
      </c>
      <c r="J900" s="8" t="s">
        <v>2341</v>
      </c>
      <c r="K900" s="8" t="s">
        <v>2342</v>
      </c>
    </row>
    <row r="901" spans="1:11" ht="47.25">
      <c r="A901" s="4" t="s">
        <v>965</v>
      </c>
      <c r="B901" s="4" t="s">
        <v>1090</v>
      </c>
      <c r="C901" s="8" t="s">
        <v>2353</v>
      </c>
      <c r="D901" s="8" t="s">
        <v>2353</v>
      </c>
      <c r="E901" s="8" t="s">
        <v>48</v>
      </c>
      <c r="F901" s="8" t="s">
        <v>2353</v>
      </c>
      <c r="G901" s="8" t="s">
        <v>63</v>
      </c>
      <c r="H901" s="8" t="s">
        <v>2354</v>
      </c>
      <c r="I901" s="8" t="s">
        <v>1617</v>
      </c>
      <c r="J901" s="8" t="s">
        <v>2341</v>
      </c>
      <c r="K901" s="8" t="s">
        <v>2342</v>
      </c>
    </row>
    <row r="902" spans="1:11" ht="141.75">
      <c r="A902" s="4" t="s">
        <v>965</v>
      </c>
      <c r="B902" s="4" t="s">
        <v>1091</v>
      </c>
      <c r="C902" s="8" t="s">
        <v>2355</v>
      </c>
      <c r="D902" s="8" t="s">
        <v>2355</v>
      </c>
      <c r="E902" s="8" t="s">
        <v>48</v>
      </c>
      <c r="F902" s="8" t="s">
        <v>2355</v>
      </c>
      <c r="G902" s="8" t="s">
        <v>63</v>
      </c>
      <c r="H902" s="8" t="s">
        <v>3064</v>
      </c>
      <c r="I902" s="8" t="s">
        <v>3065</v>
      </c>
      <c r="J902" s="8" t="s">
        <v>2341</v>
      </c>
      <c r="K902" s="8" t="s">
        <v>2342</v>
      </c>
    </row>
    <row r="903" spans="1:11" ht="47.25">
      <c r="A903" s="4" t="s">
        <v>965</v>
      </c>
      <c r="B903" s="4" t="s">
        <v>35</v>
      </c>
      <c r="C903" s="8" t="s">
        <v>50</v>
      </c>
      <c r="D903" s="8" t="s">
        <v>50</v>
      </c>
      <c r="E903" s="8" t="s">
        <v>48</v>
      </c>
      <c r="F903" s="8" t="s">
        <v>50</v>
      </c>
      <c r="G903" s="8" t="s">
        <v>63</v>
      </c>
      <c r="H903" s="8" t="s">
        <v>2358</v>
      </c>
      <c r="I903" s="8" t="s">
        <v>3066</v>
      </c>
      <c r="J903" s="8" t="s">
        <v>2341</v>
      </c>
      <c r="K903" s="8" t="s">
        <v>2342</v>
      </c>
    </row>
    <row r="904" spans="1:11" ht="47.25">
      <c r="A904" s="4" t="s">
        <v>974</v>
      </c>
      <c r="B904" s="4" t="s">
        <v>1028</v>
      </c>
      <c r="C904" s="8" t="s">
        <v>83</v>
      </c>
      <c r="D904" s="8" t="s">
        <v>83</v>
      </c>
      <c r="E904" s="8" t="s">
        <v>48</v>
      </c>
      <c r="F904" s="8" t="s">
        <v>83</v>
      </c>
      <c r="G904" s="8" t="s">
        <v>63</v>
      </c>
      <c r="H904" s="8" t="s">
        <v>2875</v>
      </c>
      <c r="I904" s="8" t="s">
        <v>3067</v>
      </c>
      <c r="J904" s="8" t="s">
        <v>2341</v>
      </c>
      <c r="K904" s="8" t="s">
        <v>2342</v>
      </c>
    </row>
    <row r="905" spans="1:11" ht="47.25">
      <c r="A905" s="4" t="s">
        <v>974</v>
      </c>
      <c r="B905" s="4" t="s">
        <v>1030</v>
      </c>
      <c r="C905" s="8" t="s">
        <v>57</v>
      </c>
      <c r="D905" s="8" t="s">
        <v>57</v>
      </c>
      <c r="E905" s="8" t="s">
        <v>48</v>
      </c>
      <c r="F905" s="8" t="s">
        <v>57</v>
      </c>
      <c r="G905" s="8" t="s">
        <v>63</v>
      </c>
      <c r="H905" s="8" t="s">
        <v>2343</v>
      </c>
      <c r="I905" s="8" t="s">
        <v>3068</v>
      </c>
      <c r="J905" s="8" t="s">
        <v>2341</v>
      </c>
      <c r="K905" s="8" t="s">
        <v>2342</v>
      </c>
    </row>
    <row r="906" spans="1:11" ht="47.25">
      <c r="A906" s="4" t="s">
        <v>974</v>
      </c>
      <c r="B906" s="4" t="s">
        <v>1032</v>
      </c>
      <c r="C906" s="8" t="s">
        <v>111</v>
      </c>
      <c r="D906" s="8" t="s">
        <v>111</v>
      </c>
      <c r="E906" s="8" t="s">
        <v>48</v>
      </c>
      <c r="F906" s="8" t="s">
        <v>111</v>
      </c>
      <c r="G906" s="8" t="s">
        <v>63</v>
      </c>
      <c r="H906" s="8" t="s">
        <v>2724</v>
      </c>
      <c r="I906" s="8" t="s">
        <v>3069</v>
      </c>
      <c r="J906" s="8" t="s">
        <v>2341</v>
      </c>
      <c r="K906" s="8" t="s">
        <v>2342</v>
      </c>
    </row>
    <row r="907" spans="1:11" ht="47.25">
      <c r="A907" s="4" t="s">
        <v>974</v>
      </c>
      <c r="B907" s="4" t="s">
        <v>1034</v>
      </c>
      <c r="C907" s="8" t="s">
        <v>86</v>
      </c>
      <c r="D907" s="8" t="s">
        <v>86</v>
      </c>
      <c r="E907" s="8" t="s">
        <v>48</v>
      </c>
      <c r="F907" s="8" t="s">
        <v>86</v>
      </c>
      <c r="G907" s="8" t="s">
        <v>63</v>
      </c>
      <c r="H907" s="8" t="s">
        <v>2347</v>
      </c>
      <c r="I907" s="8" t="s">
        <v>3070</v>
      </c>
      <c r="J907" s="8" t="s">
        <v>2341</v>
      </c>
      <c r="K907" s="8" t="s">
        <v>2342</v>
      </c>
    </row>
    <row r="908" spans="1:11" ht="47.25">
      <c r="A908" s="4" t="s">
        <v>974</v>
      </c>
      <c r="B908" s="4" t="s">
        <v>1038</v>
      </c>
      <c r="C908" s="8" t="s">
        <v>107</v>
      </c>
      <c r="D908" s="8" t="s">
        <v>107</v>
      </c>
      <c r="E908" s="8" t="s">
        <v>48</v>
      </c>
      <c r="F908" s="8" t="s">
        <v>107</v>
      </c>
      <c r="G908" s="8" t="s">
        <v>63</v>
      </c>
      <c r="H908" s="8" t="s">
        <v>2349</v>
      </c>
      <c r="I908" s="8" t="s">
        <v>3071</v>
      </c>
      <c r="J908" s="8" t="s">
        <v>2341</v>
      </c>
      <c r="K908" s="8" t="s">
        <v>2342</v>
      </c>
    </row>
    <row r="909" spans="1:11" ht="47.25">
      <c r="A909" s="4" t="s">
        <v>974</v>
      </c>
      <c r="B909" s="4" t="s">
        <v>1041</v>
      </c>
      <c r="C909" s="8" t="s">
        <v>49</v>
      </c>
      <c r="D909" s="8" t="s">
        <v>49</v>
      </c>
      <c r="E909" s="8" t="s">
        <v>48</v>
      </c>
      <c r="F909" s="8" t="s">
        <v>49</v>
      </c>
      <c r="G909" s="8" t="s">
        <v>63</v>
      </c>
      <c r="H909" s="8" t="s">
        <v>2351</v>
      </c>
      <c r="I909" s="8" t="s">
        <v>3071</v>
      </c>
      <c r="J909" s="8" t="s">
        <v>2341</v>
      </c>
      <c r="K909" s="8" t="s">
        <v>2342</v>
      </c>
    </row>
    <row r="910" spans="1:11" ht="126">
      <c r="A910" s="4" t="s">
        <v>974</v>
      </c>
      <c r="B910" s="4" t="s">
        <v>32</v>
      </c>
      <c r="C910" s="8" t="s">
        <v>99</v>
      </c>
      <c r="D910" s="8" t="s">
        <v>99</v>
      </c>
      <c r="E910" s="8" t="s">
        <v>48</v>
      </c>
      <c r="F910" s="8" t="s">
        <v>99</v>
      </c>
      <c r="G910" s="8" t="s">
        <v>63</v>
      </c>
      <c r="H910" s="8" t="s">
        <v>3072</v>
      </c>
      <c r="I910" s="8" t="s">
        <v>3071</v>
      </c>
      <c r="J910" s="8" t="s">
        <v>2341</v>
      </c>
      <c r="K910" s="8" t="s">
        <v>2342</v>
      </c>
    </row>
    <row r="911" spans="1:11" ht="47.25">
      <c r="A911" s="4" t="s">
        <v>974</v>
      </c>
      <c r="B911" s="4" t="s">
        <v>1090</v>
      </c>
      <c r="C911" s="8" t="s">
        <v>2353</v>
      </c>
      <c r="D911" s="8" t="s">
        <v>2353</v>
      </c>
      <c r="E911" s="8" t="s">
        <v>48</v>
      </c>
      <c r="F911" s="8" t="s">
        <v>2353</v>
      </c>
      <c r="G911" s="8" t="s">
        <v>63</v>
      </c>
      <c r="H911" s="8" t="s">
        <v>2354</v>
      </c>
      <c r="I911" s="8" t="s">
        <v>1617</v>
      </c>
      <c r="J911" s="8" t="s">
        <v>2341</v>
      </c>
      <c r="K911" s="8" t="s">
        <v>2342</v>
      </c>
    </row>
    <row r="912" spans="1:11" ht="141.75">
      <c r="A912" s="4" t="s">
        <v>974</v>
      </c>
      <c r="B912" s="4" t="s">
        <v>1091</v>
      </c>
      <c r="C912" s="8" t="s">
        <v>2355</v>
      </c>
      <c r="D912" s="8" t="s">
        <v>2355</v>
      </c>
      <c r="E912" s="8" t="s">
        <v>48</v>
      </c>
      <c r="F912" s="8" t="s">
        <v>2355</v>
      </c>
      <c r="G912" s="8" t="s">
        <v>63</v>
      </c>
      <c r="H912" s="8" t="s">
        <v>3073</v>
      </c>
      <c r="I912" s="8" t="s">
        <v>3074</v>
      </c>
      <c r="J912" s="8" t="s">
        <v>2341</v>
      </c>
      <c r="K912" s="8" t="s">
        <v>2342</v>
      </c>
    </row>
    <row r="913" spans="1:11" ht="47.25">
      <c r="A913" s="4" t="s">
        <v>974</v>
      </c>
      <c r="B913" s="4" t="s">
        <v>35</v>
      </c>
      <c r="C913" s="8" t="s">
        <v>50</v>
      </c>
      <c r="D913" s="8" t="s">
        <v>50</v>
      </c>
      <c r="E913" s="8" t="s">
        <v>48</v>
      </c>
      <c r="F913" s="8" t="s">
        <v>50</v>
      </c>
      <c r="G913" s="8" t="s">
        <v>63</v>
      </c>
      <c r="H913" s="8" t="s">
        <v>2358</v>
      </c>
      <c r="I913" s="8" t="s">
        <v>3075</v>
      </c>
      <c r="J913" s="8" t="s">
        <v>2341</v>
      </c>
      <c r="K913" s="8" t="s">
        <v>2342</v>
      </c>
    </row>
    <row r="914" spans="1:11" ht="47.25">
      <c r="A914" s="4" t="s">
        <v>983</v>
      </c>
      <c r="B914" s="4" t="s">
        <v>1028</v>
      </c>
      <c r="C914" s="8" t="s">
        <v>83</v>
      </c>
      <c r="D914" s="8" t="s">
        <v>83</v>
      </c>
      <c r="E914" s="8" t="s">
        <v>48</v>
      </c>
      <c r="F914" s="8" t="s">
        <v>83</v>
      </c>
      <c r="G914" s="8" t="s">
        <v>63</v>
      </c>
      <c r="H914" s="8" t="s">
        <v>2875</v>
      </c>
      <c r="I914" s="8" t="s">
        <v>3076</v>
      </c>
      <c r="J914" s="8" t="s">
        <v>2341</v>
      </c>
      <c r="K914" s="8" t="s">
        <v>2342</v>
      </c>
    </row>
    <row r="915" spans="1:11" ht="47.25">
      <c r="A915" s="4" t="s">
        <v>983</v>
      </c>
      <c r="B915" s="4" t="s">
        <v>1030</v>
      </c>
      <c r="C915" s="8" t="s">
        <v>57</v>
      </c>
      <c r="D915" s="8" t="s">
        <v>57</v>
      </c>
      <c r="E915" s="8" t="s">
        <v>48</v>
      </c>
      <c r="F915" s="8" t="s">
        <v>57</v>
      </c>
      <c r="G915" s="8" t="s">
        <v>63</v>
      </c>
      <c r="H915" s="8" t="s">
        <v>2343</v>
      </c>
      <c r="I915" s="8" t="s">
        <v>3077</v>
      </c>
      <c r="J915" s="8" t="s">
        <v>2341</v>
      </c>
      <c r="K915" s="8" t="s">
        <v>2342</v>
      </c>
    </row>
    <row r="916" spans="1:11" ht="47.25">
      <c r="A916" s="4" t="s">
        <v>983</v>
      </c>
      <c r="B916" s="4" t="s">
        <v>1032</v>
      </c>
      <c r="C916" s="8" t="s">
        <v>111</v>
      </c>
      <c r="D916" s="8" t="s">
        <v>111</v>
      </c>
      <c r="E916" s="8" t="s">
        <v>48</v>
      </c>
      <c r="F916" s="8" t="s">
        <v>111</v>
      </c>
      <c r="G916" s="8" t="s">
        <v>63</v>
      </c>
      <c r="H916" s="8" t="s">
        <v>2724</v>
      </c>
      <c r="I916" s="8" t="s">
        <v>3078</v>
      </c>
      <c r="J916" s="8" t="s">
        <v>2341</v>
      </c>
      <c r="K916" s="8" t="s">
        <v>2342</v>
      </c>
    </row>
    <row r="917" spans="1:11" ht="47.25">
      <c r="A917" s="4" t="s">
        <v>983</v>
      </c>
      <c r="B917" s="4" t="s">
        <v>1034</v>
      </c>
      <c r="C917" s="8" t="s">
        <v>86</v>
      </c>
      <c r="D917" s="8" t="s">
        <v>86</v>
      </c>
      <c r="E917" s="8" t="s">
        <v>48</v>
      </c>
      <c r="F917" s="8" t="s">
        <v>86</v>
      </c>
      <c r="G917" s="8" t="s">
        <v>63</v>
      </c>
      <c r="H917" s="8" t="s">
        <v>2347</v>
      </c>
      <c r="I917" s="8" t="s">
        <v>3079</v>
      </c>
      <c r="J917" s="8" t="s">
        <v>2341</v>
      </c>
      <c r="K917" s="8" t="s">
        <v>2342</v>
      </c>
    </row>
    <row r="918" spans="1:11" ht="47.25">
      <c r="A918" s="4" t="s">
        <v>983</v>
      </c>
      <c r="B918" s="4" t="s">
        <v>1038</v>
      </c>
      <c r="C918" s="8" t="s">
        <v>107</v>
      </c>
      <c r="D918" s="8" t="s">
        <v>107</v>
      </c>
      <c r="E918" s="8" t="s">
        <v>48</v>
      </c>
      <c r="F918" s="8" t="s">
        <v>107</v>
      </c>
      <c r="G918" s="8" t="s">
        <v>63</v>
      </c>
      <c r="H918" s="8" t="s">
        <v>2349</v>
      </c>
      <c r="I918" s="8" t="s">
        <v>3080</v>
      </c>
      <c r="J918" s="8" t="s">
        <v>2341</v>
      </c>
      <c r="K918" s="8" t="s">
        <v>2342</v>
      </c>
    </row>
    <row r="919" spans="1:11" ht="47.25">
      <c r="A919" s="4" t="s">
        <v>983</v>
      </c>
      <c r="B919" s="4" t="s">
        <v>1041</v>
      </c>
      <c r="C919" s="8" t="s">
        <v>49</v>
      </c>
      <c r="D919" s="8" t="s">
        <v>49</v>
      </c>
      <c r="E919" s="8" t="s">
        <v>48</v>
      </c>
      <c r="F919" s="8" t="s">
        <v>49</v>
      </c>
      <c r="G919" s="8" t="s">
        <v>63</v>
      </c>
      <c r="H919" s="8" t="s">
        <v>2351</v>
      </c>
      <c r="I919" s="8" t="s">
        <v>3080</v>
      </c>
      <c r="J919" s="8" t="s">
        <v>2341</v>
      </c>
      <c r="K919" s="8" t="s">
        <v>2342</v>
      </c>
    </row>
    <row r="920" spans="1:11" ht="126">
      <c r="A920" s="4" t="s">
        <v>983</v>
      </c>
      <c r="B920" s="4" t="s">
        <v>32</v>
      </c>
      <c r="C920" s="8" t="s">
        <v>99</v>
      </c>
      <c r="D920" s="8" t="s">
        <v>99</v>
      </c>
      <c r="E920" s="8" t="s">
        <v>48</v>
      </c>
      <c r="F920" s="8" t="s">
        <v>99</v>
      </c>
      <c r="G920" s="8" t="s">
        <v>63</v>
      </c>
      <c r="H920" s="8" t="s">
        <v>3081</v>
      </c>
      <c r="I920" s="8" t="s">
        <v>3080</v>
      </c>
      <c r="J920" s="8" t="s">
        <v>2341</v>
      </c>
      <c r="K920" s="8" t="s">
        <v>2342</v>
      </c>
    </row>
    <row r="921" spans="1:11" ht="47.25">
      <c r="A921" s="4" t="s">
        <v>983</v>
      </c>
      <c r="B921" s="4" t="s">
        <v>1090</v>
      </c>
      <c r="C921" s="8" t="s">
        <v>2353</v>
      </c>
      <c r="D921" s="8" t="s">
        <v>2353</v>
      </c>
      <c r="E921" s="8" t="s">
        <v>48</v>
      </c>
      <c r="F921" s="8" t="s">
        <v>2353</v>
      </c>
      <c r="G921" s="8" t="s">
        <v>63</v>
      </c>
      <c r="H921" s="8" t="s">
        <v>2354</v>
      </c>
      <c r="I921" s="8" t="s">
        <v>1617</v>
      </c>
      <c r="J921" s="8" t="s">
        <v>2341</v>
      </c>
      <c r="K921" s="8" t="s">
        <v>2342</v>
      </c>
    </row>
    <row r="922" spans="1:11" ht="141.75">
      <c r="A922" s="4" t="s">
        <v>983</v>
      </c>
      <c r="B922" s="4" t="s">
        <v>1091</v>
      </c>
      <c r="C922" s="8" t="s">
        <v>2355</v>
      </c>
      <c r="D922" s="8" t="s">
        <v>2355</v>
      </c>
      <c r="E922" s="8" t="s">
        <v>48</v>
      </c>
      <c r="F922" s="8" t="s">
        <v>2355</v>
      </c>
      <c r="G922" s="8" t="s">
        <v>63</v>
      </c>
      <c r="H922" s="8" t="s">
        <v>3082</v>
      </c>
      <c r="I922" s="8" t="s">
        <v>3083</v>
      </c>
      <c r="J922" s="8" t="s">
        <v>2341</v>
      </c>
      <c r="K922" s="8" t="s">
        <v>2342</v>
      </c>
    </row>
    <row r="923" spans="1:11" ht="47.25">
      <c r="A923" s="4" t="s">
        <v>983</v>
      </c>
      <c r="B923" s="4" t="s">
        <v>35</v>
      </c>
      <c r="C923" s="8" t="s">
        <v>50</v>
      </c>
      <c r="D923" s="8" t="s">
        <v>50</v>
      </c>
      <c r="E923" s="8" t="s">
        <v>48</v>
      </c>
      <c r="F923" s="8" t="s">
        <v>50</v>
      </c>
      <c r="G923" s="8" t="s">
        <v>63</v>
      </c>
      <c r="H923" s="8" t="s">
        <v>2358</v>
      </c>
      <c r="I923" s="8" t="s">
        <v>3084</v>
      </c>
      <c r="J923" s="8" t="s">
        <v>2341</v>
      </c>
      <c r="K923" s="8" t="s">
        <v>2342</v>
      </c>
    </row>
    <row r="924" spans="1:11" ht="47.25">
      <c r="A924" s="4" t="s">
        <v>991</v>
      </c>
      <c r="B924" s="4" t="s">
        <v>1028</v>
      </c>
      <c r="C924" s="8" t="s">
        <v>83</v>
      </c>
      <c r="D924" s="8" t="s">
        <v>83</v>
      </c>
      <c r="E924" s="8" t="s">
        <v>48</v>
      </c>
      <c r="F924" s="8" t="s">
        <v>83</v>
      </c>
      <c r="G924" s="8" t="s">
        <v>63</v>
      </c>
      <c r="H924" s="8" t="s">
        <v>2875</v>
      </c>
      <c r="I924" s="8" t="s">
        <v>3085</v>
      </c>
      <c r="J924" s="8" t="s">
        <v>2341</v>
      </c>
      <c r="K924" s="8" t="s">
        <v>2342</v>
      </c>
    </row>
    <row r="925" spans="1:11" ht="47.25">
      <c r="A925" s="4" t="s">
        <v>991</v>
      </c>
      <c r="B925" s="4" t="s">
        <v>1030</v>
      </c>
      <c r="C925" s="8" t="s">
        <v>57</v>
      </c>
      <c r="D925" s="8" t="s">
        <v>57</v>
      </c>
      <c r="E925" s="8" t="s">
        <v>48</v>
      </c>
      <c r="F925" s="8" t="s">
        <v>57</v>
      </c>
      <c r="G925" s="8" t="s">
        <v>63</v>
      </c>
      <c r="H925" s="8" t="s">
        <v>2343</v>
      </c>
      <c r="I925" s="8" t="s">
        <v>3086</v>
      </c>
      <c r="J925" s="8" t="s">
        <v>2341</v>
      </c>
      <c r="K925" s="8" t="s">
        <v>2342</v>
      </c>
    </row>
    <row r="926" spans="1:11" ht="47.25">
      <c r="A926" s="4" t="s">
        <v>991</v>
      </c>
      <c r="B926" s="4" t="s">
        <v>1032</v>
      </c>
      <c r="C926" s="8" t="s">
        <v>111</v>
      </c>
      <c r="D926" s="8" t="s">
        <v>111</v>
      </c>
      <c r="E926" s="8" t="s">
        <v>48</v>
      </c>
      <c r="F926" s="8" t="s">
        <v>111</v>
      </c>
      <c r="G926" s="8" t="s">
        <v>63</v>
      </c>
      <c r="H926" s="8" t="s">
        <v>2724</v>
      </c>
      <c r="I926" s="8" t="s">
        <v>3044</v>
      </c>
      <c r="J926" s="8" t="s">
        <v>2341</v>
      </c>
      <c r="K926" s="8" t="s">
        <v>2342</v>
      </c>
    </row>
    <row r="927" spans="1:11" ht="47.25">
      <c r="A927" s="4" t="s">
        <v>991</v>
      </c>
      <c r="B927" s="4" t="s">
        <v>1034</v>
      </c>
      <c r="C927" s="8" t="s">
        <v>86</v>
      </c>
      <c r="D927" s="8" t="s">
        <v>86</v>
      </c>
      <c r="E927" s="8" t="s">
        <v>48</v>
      </c>
      <c r="F927" s="8" t="s">
        <v>86</v>
      </c>
      <c r="G927" s="8" t="s">
        <v>63</v>
      </c>
      <c r="H927" s="8" t="s">
        <v>2347</v>
      </c>
      <c r="I927" s="8" t="s">
        <v>3087</v>
      </c>
      <c r="J927" s="8" t="s">
        <v>2341</v>
      </c>
      <c r="K927" s="8" t="s">
        <v>2342</v>
      </c>
    </row>
    <row r="928" spans="1:11" ht="47.25">
      <c r="A928" s="4" t="s">
        <v>991</v>
      </c>
      <c r="B928" s="4" t="s">
        <v>1038</v>
      </c>
      <c r="C928" s="8" t="s">
        <v>107</v>
      </c>
      <c r="D928" s="8" t="s">
        <v>107</v>
      </c>
      <c r="E928" s="8" t="s">
        <v>48</v>
      </c>
      <c r="F928" s="8" t="s">
        <v>107</v>
      </c>
      <c r="G928" s="8" t="s">
        <v>63</v>
      </c>
      <c r="H928" s="8" t="s">
        <v>2349</v>
      </c>
      <c r="I928" s="8" t="s">
        <v>3088</v>
      </c>
      <c r="J928" s="8" t="s">
        <v>2341</v>
      </c>
      <c r="K928" s="8" t="s">
        <v>2342</v>
      </c>
    </row>
    <row r="929" spans="1:11" ht="47.25">
      <c r="A929" s="4" t="s">
        <v>991</v>
      </c>
      <c r="B929" s="4" t="s">
        <v>1041</v>
      </c>
      <c r="C929" s="8" t="s">
        <v>49</v>
      </c>
      <c r="D929" s="8" t="s">
        <v>49</v>
      </c>
      <c r="E929" s="8" t="s">
        <v>48</v>
      </c>
      <c r="F929" s="8" t="s">
        <v>49</v>
      </c>
      <c r="G929" s="8" t="s">
        <v>63</v>
      </c>
      <c r="H929" s="8" t="s">
        <v>2351</v>
      </c>
      <c r="I929" s="8" t="s">
        <v>3088</v>
      </c>
      <c r="J929" s="8" t="s">
        <v>2341</v>
      </c>
      <c r="K929" s="8" t="s">
        <v>2342</v>
      </c>
    </row>
    <row r="930" spans="1:11" ht="126">
      <c r="A930" s="4" t="s">
        <v>991</v>
      </c>
      <c r="B930" s="4" t="s">
        <v>32</v>
      </c>
      <c r="C930" s="8" t="s">
        <v>99</v>
      </c>
      <c r="D930" s="8" t="s">
        <v>99</v>
      </c>
      <c r="E930" s="8" t="s">
        <v>48</v>
      </c>
      <c r="F930" s="8" t="s">
        <v>99</v>
      </c>
      <c r="G930" s="8" t="s">
        <v>63</v>
      </c>
      <c r="H930" s="8" t="s">
        <v>3089</v>
      </c>
      <c r="I930" s="8" t="s">
        <v>3088</v>
      </c>
      <c r="J930" s="8" t="s">
        <v>2341</v>
      </c>
      <c r="K930" s="8" t="s">
        <v>2342</v>
      </c>
    </row>
    <row r="931" spans="1:11" ht="47.25">
      <c r="A931" s="4" t="s">
        <v>991</v>
      </c>
      <c r="B931" s="4" t="s">
        <v>1090</v>
      </c>
      <c r="C931" s="8" t="s">
        <v>2353</v>
      </c>
      <c r="D931" s="8" t="s">
        <v>2353</v>
      </c>
      <c r="E931" s="8" t="s">
        <v>48</v>
      </c>
      <c r="F931" s="8" t="s">
        <v>2353</v>
      </c>
      <c r="G931" s="8" t="s">
        <v>63</v>
      </c>
      <c r="H931" s="8" t="s">
        <v>2354</v>
      </c>
      <c r="I931" s="8" t="s">
        <v>1617</v>
      </c>
      <c r="J931" s="8" t="s">
        <v>2341</v>
      </c>
      <c r="K931" s="8" t="s">
        <v>2342</v>
      </c>
    </row>
    <row r="932" spans="1:11" ht="141.75">
      <c r="A932" s="4" t="s">
        <v>991</v>
      </c>
      <c r="B932" s="4" t="s">
        <v>1091</v>
      </c>
      <c r="C932" s="8" t="s">
        <v>2355</v>
      </c>
      <c r="D932" s="8" t="s">
        <v>2355</v>
      </c>
      <c r="E932" s="8" t="s">
        <v>48</v>
      </c>
      <c r="F932" s="8" t="s">
        <v>2355</v>
      </c>
      <c r="G932" s="8" t="s">
        <v>63</v>
      </c>
      <c r="H932" s="8" t="s">
        <v>3090</v>
      </c>
      <c r="I932" s="8" t="s">
        <v>3091</v>
      </c>
      <c r="J932" s="8" t="s">
        <v>2341</v>
      </c>
      <c r="K932" s="8" t="s">
        <v>2342</v>
      </c>
    </row>
    <row r="933" spans="1:11" ht="47.25">
      <c r="A933" s="4" t="s">
        <v>991</v>
      </c>
      <c r="B933" s="4" t="s">
        <v>35</v>
      </c>
      <c r="C933" s="8" t="s">
        <v>50</v>
      </c>
      <c r="D933" s="8" t="s">
        <v>50</v>
      </c>
      <c r="E933" s="8" t="s">
        <v>48</v>
      </c>
      <c r="F933" s="8" t="s">
        <v>50</v>
      </c>
      <c r="G933" s="8" t="s">
        <v>63</v>
      </c>
      <c r="H933" s="8" t="s">
        <v>2358</v>
      </c>
      <c r="I933" s="8" t="s">
        <v>3092</v>
      </c>
      <c r="J933" s="8" t="s">
        <v>2341</v>
      </c>
      <c r="K933" s="8" t="s">
        <v>2342</v>
      </c>
    </row>
    <row r="934" spans="1:11" ht="47.25">
      <c r="A934" s="4" t="s">
        <v>999</v>
      </c>
      <c r="B934" s="4" t="s">
        <v>1028</v>
      </c>
      <c r="C934" s="8" t="s">
        <v>83</v>
      </c>
      <c r="D934" s="8" t="s">
        <v>83</v>
      </c>
      <c r="E934" s="8" t="s">
        <v>48</v>
      </c>
      <c r="F934" s="8" t="s">
        <v>83</v>
      </c>
      <c r="G934" s="8" t="s">
        <v>63</v>
      </c>
      <c r="H934" s="8" t="s">
        <v>2875</v>
      </c>
      <c r="I934" s="8" t="s">
        <v>3059</v>
      </c>
      <c r="J934" s="8" t="s">
        <v>2341</v>
      </c>
      <c r="K934" s="8" t="s">
        <v>2342</v>
      </c>
    </row>
    <row r="935" spans="1:11" ht="47.25">
      <c r="A935" s="4" t="s">
        <v>999</v>
      </c>
      <c r="B935" s="4" t="s">
        <v>1030</v>
      </c>
      <c r="C935" s="8" t="s">
        <v>57</v>
      </c>
      <c r="D935" s="8" t="s">
        <v>57</v>
      </c>
      <c r="E935" s="8" t="s">
        <v>48</v>
      </c>
      <c r="F935" s="8" t="s">
        <v>57</v>
      </c>
      <c r="G935" s="8" t="s">
        <v>63</v>
      </c>
      <c r="H935" s="8" t="s">
        <v>2343</v>
      </c>
      <c r="I935" s="8" t="s">
        <v>3093</v>
      </c>
      <c r="J935" s="8" t="s">
        <v>2341</v>
      </c>
      <c r="K935" s="8" t="s">
        <v>2342</v>
      </c>
    </row>
    <row r="936" spans="1:11" ht="47.25">
      <c r="A936" s="4" t="s">
        <v>999</v>
      </c>
      <c r="B936" s="4" t="s">
        <v>1032</v>
      </c>
      <c r="C936" s="8" t="s">
        <v>111</v>
      </c>
      <c r="D936" s="8" t="s">
        <v>111</v>
      </c>
      <c r="E936" s="8" t="s">
        <v>48</v>
      </c>
      <c r="F936" s="8" t="s">
        <v>111</v>
      </c>
      <c r="G936" s="8" t="s">
        <v>63</v>
      </c>
      <c r="H936" s="8" t="s">
        <v>2724</v>
      </c>
      <c r="I936" s="8" t="s">
        <v>3094</v>
      </c>
      <c r="J936" s="8" t="s">
        <v>2341</v>
      </c>
      <c r="K936" s="8" t="s">
        <v>2342</v>
      </c>
    </row>
    <row r="937" spans="1:11" ht="47.25">
      <c r="A937" s="4" t="s">
        <v>999</v>
      </c>
      <c r="B937" s="4" t="s">
        <v>1034</v>
      </c>
      <c r="C937" s="8" t="s">
        <v>86</v>
      </c>
      <c r="D937" s="8" t="s">
        <v>86</v>
      </c>
      <c r="E937" s="8" t="s">
        <v>48</v>
      </c>
      <c r="F937" s="8" t="s">
        <v>86</v>
      </c>
      <c r="G937" s="8" t="s">
        <v>63</v>
      </c>
      <c r="H937" s="8" t="s">
        <v>2347</v>
      </c>
      <c r="I937" s="8" t="s">
        <v>3095</v>
      </c>
      <c r="J937" s="8" t="s">
        <v>2341</v>
      </c>
      <c r="K937" s="8" t="s">
        <v>2342</v>
      </c>
    </row>
    <row r="938" spans="1:11" ht="47.25">
      <c r="A938" s="4" t="s">
        <v>999</v>
      </c>
      <c r="B938" s="4" t="s">
        <v>1038</v>
      </c>
      <c r="C938" s="8" t="s">
        <v>107</v>
      </c>
      <c r="D938" s="8" t="s">
        <v>107</v>
      </c>
      <c r="E938" s="8" t="s">
        <v>48</v>
      </c>
      <c r="F938" s="8" t="s">
        <v>107</v>
      </c>
      <c r="G938" s="8" t="s">
        <v>63</v>
      </c>
      <c r="H938" s="8" t="s">
        <v>2349</v>
      </c>
      <c r="I938" s="8" t="s">
        <v>3096</v>
      </c>
      <c r="J938" s="8" t="s">
        <v>2341</v>
      </c>
      <c r="K938" s="8" t="s">
        <v>2342</v>
      </c>
    </row>
    <row r="939" spans="1:11" ht="47.25">
      <c r="A939" s="4" t="s">
        <v>999</v>
      </c>
      <c r="B939" s="4" t="s">
        <v>1041</v>
      </c>
      <c r="C939" s="8" t="s">
        <v>49</v>
      </c>
      <c r="D939" s="8" t="s">
        <v>49</v>
      </c>
      <c r="E939" s="8" t="s">
        <v>48</v>
      </c>
      <c r="F939" s="8" t="s">
        <v>49</v>
      </c>
      <c r="G939" s="8" t="s">
        <v>63</v>
      </c>
      <c r="H939" s="8" t="s">
        <v>2351</v>
      </c>
      <c r="I939" s="8" t="s">
        <v>3096</v>
      </c>
      <c r="J939" s="8" t="s">
        <v>2341</v>
      </c>
      <c r="K939" s="8" t="s">
        <v>2342</v>
      </c>
    </row>
    <row r="940" spans="1:11" ht="126">
      <c r="A940" s="4" t="s">
        <v>999</v>
      </c>
      <c r="B940" s="4" t="s">
        <v>32</v>
      </c>
      <c r="C940" s="8" t="s">
        <v>99</v>
      </c>
      <c r="D940" s="8" t="s">
        <v>99</v>
      </c>
      <c r="E940" s="8" t="s">
        <v>48</v>
      </c>
      <c r="F940" s="8" t="s">
        <v>99</v>
      </c>
      <c r="G940" s="8" t="s">
        <v>63</v>
      </c>
      <c r="H940" s="8" t="s">
        <v>3097</v>
      </c>
      <c r="I940" s="8" t="s">
        <v>3096</v>
      </c>
      <c r="J940" s="8" t="s">
        <v>2341</v>
      </c>
      <c r="K940" s="8" t="s">
        <v>2342</v>
      </c>
    </row>
    <row r="941" spans="1:11" ht="47.25">
      <c r="A941" s="4" t="s">
        <v>999</v>
      </c>
      <c r="B941" s="4" t="s">
        <v>1090</v>
      </c>
      <c r="C941" s="8" t="s">
        <v>2353</v>
      </c>
      <c r="D941" s="8" t="s">
        <v>2353</v>
      </c>
      <c r="E941" s="8" t="s">
        <v>48</v>
      </c>
      <c r="F941" s="8" t="s">
        <v>2353</v>
      </c>
      <c r="G941" s="8" t="s">
        <v>63</v>
      </c>
      <c r="H941" s="8" t="s">
        <v>2354</v>
      </c>
      <c r="I941" s="8" t="s">
        <v>1617</v>
      </c>
      <c r="J941" s="8" t="s">
        <v>2341</v>
      </c>
      <c r="K941" s="8" t="s">
        <v>2342</v>
      </c>
    </row>
    <row r="942" spans="1:11" ht="141.75">
      <c r="A942" s="4" t="s">
        <v>999</v>
      </c>
      <c r="B942" s="4" t="s">
        <v>1091</v>
      </c>
      <c r="C942" s="8" t="s">
        <v>2355</v>
      </c>
      <c r="D942" s="8" t="s">
        <v>2355</v>
      </c>
      <c r="E942" s="8" t="s">
        <v>48</v>
      </c>
      <c r="F942" s="8" t="s">
        <v>2355</v>
      </c>
      <c r="G942" s="8" t="s">
        <v>63</v>
      </c>
      <c r="H942" s="8" t="s">
        <v>3098</v>
      </c>
      <c r="I942" s="8" t="s">
        <v>3099</v>
      </c>
      <c r="J942" s="8" t="s">
        <v>2341</v>
      </c>
      <c r="K942" s="8" t="s">
        <v>2342</v>
      </c>
    </row>
    <row r="943" spans="1:11" ht="47.25">
      <c r="A943" s="4" t="s">
        <v>999</v>
      </c>
      <c r="B943" s="4" t="s">
        <v>35</v>
      </c>
      <c r="C943" s="8" t="s">
        <v>50</v>
      </c>
      <c r="D943" s="8" t="s">
        <v>50</v>
      </c>
      <c r="E943" s="8" t="s">
        <v>48</v>
      </c>
      <c r="F943" s="8" t="s">
        <v>50</v>
      </c>
      <c r="G943" s="8" t="s">
        <v>63</v>
      </c>
      <c r="H943" s="8" t="s">
        <v>2358</v>
      </c>
      <c r="I943" s="8" t="s">
        <v>3100</v>
      </c>
      <c r="J943" s="8" t="s">
        <v>2341</v>
      </c>
      <c r="K943" s="8" t="s">
        <v>2342</v>
      </c>
    </row>
  </sheetData>
  <mergeCells count="1">
    <mergeCell ref="A1:K1"/>
  </mergeCells>
  <conditionalFormatting sqref="E4:E943">
    <cfRule type="expression" dxfId="3" priority="1">
      <formula>E4="Yes"</formula>
    </cfRule>
    <cfRule type="expression" dxfId="2" priority="2">
      <formula>E4="N/A"</formula>
    </cfRule>
  </conditionalFormatting>
  <conditionalFormatting sqref="G4:G943">
    <cfRule type="expression" dxfId="1" priority="3">
      <formula>G4="No"</formula>
    </cfRule>
    <cfRule type="expression" dxfId="0" priority="4">
      <formula>G4="Pending"</formula>
    </cfRule>
  </conditionalFormatting>
  <dataValidations count="1">
    <dataValidation type="list" sqref="E4:E943 G4:G943" xr:uid="{E16157A7-E707-412C-B1BA-7C2CE5405F0A}">
      <formula1>"Yes,No,UNC"</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H10"/>
  <sheetViews>
    <sheetView workbookViewId="0">
      <selection activeCell="D24" sqref="D24"/>
    </sheetView>
  </sheetViews>
  <sheetFormatPr defaultRowHeight="15.75"/>
  <cols>
    <col min="1" max="1" width="42" style="2" customWidth="1"/>
    <col min="2" max="2" width="18" style="2" customWidth="1"/>
    <col min="3" max="3" width="9" style="2"/>
    <col min="4" max="6" width="30" style="2" customWidth="1"/>
    <col min="7" max="16384" width="9" style="2"/>
  </cols>
  <sheetData>
    <row r="1" spans="1:8" s="7" customFormat="1" ht="20.25">
      <c r="A1" s="16" t="s">
        <v>1092</v>
      </c>
      <c r="B1" s="16"/>
      <c r="C1" s="16"/>
      <c r="D1" s="16"/>
      <c r="E1" s="16"/>
      <c r="F1" s="16"/>
      <c r="G1" s="16"/>
      <c r="H1" s="16"/>
    </row>
    <row r="3" spans="1:8" s="6" customFormat="1" ht="18.75">
      <c r="A3" s="5" t="s">
        <v>40</v>
      </c>
      <c r="B3" s="5" t="s">
        <v>1093</v>
      </c>
      <c r="D3" s="18" t="s">
        <v>1094</v>
      </c>
      <c r="E3" s="18"/>
      <c r="F3" s="18"/>
    </row>
    <row r="4" spans="1:8">
      <c r="A4" s="3" t="s">
        <v>1095</v>
      </c>
      <c r="B4" s="2">
        <v>94</v>
      </c>
      <c r="D4" s="19" t="s">
        <v>1096</v>
      </c>
      <c r="E4" s="19"/>
      <c r="F4" s="19"/>
    </row>
    <row r="5" spans="1:8">
      <c r="A5" s="3" t="s">
        <v>1097</v>
      </c>
      <c r="B5" s="2">
        <f>COUNTIF(Study_Register!Q4:Q97,"Yes")</f>
        <v>88</v>
      </c>
      <c r="D5" s="19"/>
      <c r="E5" s="19"/>
      <c r="F5" s="19"/>
    </row>
    <row r="6" spans="1:8">
      <c r="A6" s="3" t="s">
        <v>1098</v>
      </c>
      <c r="B6" s="2">
        <f>COUNTIF(Study_Register!Q4:Q97,"Hold")</f>
        <v>6</v>
      </c>
      <c r="D6" s="19"/>
      <c r="E6" s="19"/>
      <c r="F6" s="19"/>
    </row>
    <row r="7" spans="1:8">
      <c r="A7" s="3" t="s">
        <v>1099</v>
      </c>
      <c r="B7" s="2">
        <f>COUNTIF(Classification_Coding!C4:C97,"?*")</f>
        <v>94</v>
      </c>
      <c r="D7" s="19"/>
      <c r="E7" s="19"/>
      <c r="F7" s="19"/>
    </row>
    <row r="8" spans="1:8">
      <c r="A8" s="3" t="s">
        <v>1100</v>
      </c>
      <c r="B8" s="2">
        <f>COUNTIF(Classification_Coding!Q4:Q97,"?*")</f>
        <v>94</v>
      </c>
      <c r="D8" s="19"/>
      <c r="E8" s="19"/>
      <c r="F8" s="19"/>
    </row>
    <row r="9" spans="1:8">
      <c r="A9" s="3" t="s">
        <v>1101</v>
      </c>
      <c r="B9" s="2">
        <f>COUNTIFS(Classification_Coding!V4:V97,"&gt;=1",Classification_Coding!W4:W97,"&gt;=1")</f>
        <v>81</v>
      </c>
      <c r="D9" s="19"/>
      <c r="E9" s="19"/>
      <c r="F9" s="19"/>
    </row>
    <row r="10" spans="1:8" ht="31.5">
      <c r="A10" s="3" t="s">
        <v>1102</v>
      </c>
      <c r="B10" s="2">
        <f>COUNTIF(Verification_Log!E4:E943,"Yes")</f>
        <v>881</v>
      </c>
      <c r="D10" s="19"/>
      <c r="E10" s="19"/>
      <c r="F10" s="19"/>
    </row>
  </sheetData>
  <mergeCells count="3">
    <mergeCell ref="A1:H1"/>
    <mergeCell ref="D3:F3"/>
    <mergeCell ref="D4:F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D8"/>
  <sheetViews>
    <sheetView tabSelected="1" workbookViewId="0">
      <selection activeCell="A23" sqref="A23"/>
    </sheetView>
  </sheetViews>
  <sheetFormatPr defaultRowHeight="15.75"/>
  <cols>
    <col min="1" max="1" width="42" style="2" customWidth="1"/>
    <col min="2" max="2" width="52" style="2" customWidth="1"/>
    <col min="3" max="3" width="78" style="2" customWidth="1"/>
    <col min="4" max="4" width="80" style="2" customWidth="1"/>
    <col min="5" max="16384" width="9" style="2"/>
  </cols>
  <sheetData>
    <row r="1" spans="1:4" s="7" customFormat="1" ht="20.25">
      <c r="A1" s="16" t="s">
        <v>1103</v>
      </c>
      <c r="B1" s="16"/>
      <c r="C1" s="16"/>
      <c r="D1" s="16"/>
    </row>
    <row r="3" spans="1:4" s="6" customFormat="1" ht="18.75">
      <c r="A3" s="5" t="s">
        <v>1104</v>
      </c>
      <c r="B3" s="5" t="s">
        <v>1105</v>
      </c>
      <c r="C3" s="5" t="s">
        <v>1106</v>
      </c>
      <c r="D3" s="5" t="s">
        <v>1107</v>
      </c>
    </row>
    <row r="4" spans="1:4" ht="31.5">
      <c r="A4" s="4" t="s">
        <v>1108</v>
      </c>
      <c r="B4" s="4" t="s">
        <v>1109</v>
      </c>
      <c r="C4" s="4" t="s">
        <v>1110</v>
      </c>
      <c r="D4" s="4" t="s">
        <v>1111</v>
      </c>
    </row>
    <row r="5" spans="1:4">
      <c r="A5" s="4" t="s">
        <v>1112</v>
      </c>
      <c r="B5" s="4" t="s">
        <v>1113</v>
      </c>
      <c r="C5" s="4" t="s">
        <v>1114</v>
      </c>
      <c r="D5" s="4" t="s">
        <v>1115</v>
      </c>
    </row>
    <row r="6" spans="1:4">
      <c r="A6" s="4" t="s">
        <v>1116</v>
      </c>
      <c r="B6" s="4" t="s">
        <v>1117</v>
      </c>
      <c r="C6" s="4" t="s">
        <v>1118</v>
      </c>
      <c r="D6" s="4" t="s">
        <v>1119</v>
      </c>
    </row>
    <row r="7" spans="1:4" ht="31.5">
      <c r="A7" s="4" t="s">
        <v>1120</v>
      </c>
      <c r="B7" s="4" t="s">
        <v>1121</v>
      </c>
      <c r="C7" s="4" t="s">
        <v>1122</v>
      </c>
      <c r="D7" s="4" t="s">
        <v>1123</v>
      </c>
    </row>
    <row r="8" spans="1:4">
      <c r="A8" s="4" t="s">
        <v>1124</v>
      </c>
      <c r="B8" s="4" t="s">
        <v>1125</v>
      </c>
      <c r="C8" s="4" t="s">
        <v>1126</v>
      </c>
      <c r="D8" s="4" t="s">
        <v>1127</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S4_ReadMe</vt:lpstr>
      <vt:lpstr>Controlled_Vocab</vt:lpstr>
      <vt:lpstr>Study_Register</vt:lpstr>
      <vt:lpstr>Context_Technical</vt:lpstr>
      <vt:lpstr>Classification_Coding</vt:lpstr>
      <vt:lpstr>Evaluation_Evidence</vt:lpstr>
      <vt:lpstr>Gaps_Limitations</vt:lpstr>
      <vt:lpstr>Verification_Log</vt:lpstr>
      <vt:lpstr>Completion_Summary</vt:lpstr>
      <vt:lpstr>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Muntasir Yakubu</cp:lastModifiedBy>
  <dcterms:modified xsi:type="dcterms:W3CDTF">2026-08-16T08:10:29Z</dcterms:modified>
</cp:coreProperties>
</file>