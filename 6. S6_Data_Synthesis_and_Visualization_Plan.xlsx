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New Publications\Systematic Mapping Study\Database Search\"/>
    </mc:Choice>
  </mc:AlternateContent>
  <xr:revisionPtr revIDLastSave="0" documentId="13_ncr:1_{C42682A4-2A88-4974-8FD7-AE381AA01777}" xr6:coauthVersionLast="47" xr6:coauthVersionMax="47" xr10:uidLastSave="{00000000-0000-0000-0000-000000000000}"/>
  <bookViews>
    <workbookView xWindow="-120" yWindow="-120" windowWidth="29040" windowHeight="15720" firstSheet="12" activeTab="18" xr2:uid="{00000000-000D-0000-FFFF-FFFF00000000}"/>
  </bookViews>
  <sheets>
    <sheet name="S6_ReadMe" sheetId="1" r:id="rId1"/>
    <sheet name="Controlled_Lists" sheetId="2" r:id="rId2"/>
    <sheet name="Synthesis_Input" sheetId="3" r:id="rId3"/>
    <sheet name="Denominator_Rules" sheetId="4" r:id="rId4"/>
    <sheet name="Descriptive_Plan" sheetId="5" r:id="rId5"/>
    <sheet name="CrossDimensional_Plan" sheetId="6" r:id="rId6"/>
    <sheet name="CrossTab_Templates" sheetId="7" r:id="rId7"/>
    <sheet name="Visualization_Plan" sheetId="8" r:id="rId8"/>
    <sheet name="Bibliometric_Metadata" sheetId="9" r:id="rId9"/>
    <sheet name="Bibliometric_Plan" sheetId="10" r:id="rId10"/>
    <sheet name="Thematic_Seed_Codebook" sheetId="11" r:id="rId11"/>
    <sheet name="Thematic_R1" sheetId="12" r:id="rId12"/>
    <sheet name="Thematic_R2" sheetId="13" r:id="rId13"/>
    <sheet name="Thematic_Reconciliation" sheetId="14" r:id="rId14"/>
    <sheet name="Research_Agenda" sheetId="15" r:id="rId15"/>
    <sheet name="Software_Log" sheetId="16" r:id="rId16"/>
    <sheet name="Output_Register" sheetId="17" r:id="rId17"/>
    <sheet name="Reporting_Checklist" sheetId="18" r:id="rId18"/>
    <sheet name="Provenance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2" i="15" l="1"/>
  <c r="S111" i="15"/>
  <c r="S110" i="15"/>
  <c r="S109" i="15"/>
  <c r="S108" i="15"/>
  <c r="S107" i="15"/>
  <c r="S106" i="15"/>
  <c r="S105" i="15"/>
  <c r="S104" i="15"/>
  <c r="S103" i="15"/>
  <c r="S102" i="15"/>
  <c r="S101" i="15"/>
  <c r="S100" i="15"/>
  <c r="S99" i="15"/>
  <c r="S98" i="15"/>
  <c r="S97" i="15"/>
  <c r="S96" i="15"/>
  <c r="S95" i="15"/>
  <c r="S94" i="15"/>
  <c r="S93" i="15"/>
  <c r="S92" i="15"/>
  <c r="S91" i="15"/>
  <c r="S90" i="15"/>
  <c r="S89" i="15"/>
  <c r="S88" i="15"/>
  <c r="S87" i="15"/>
  <c r="S86" i="15"/>
  <c r="S85" i="15"/>
  <c r="S84" i="15"/>
  <c r="S83" i="15"/>
  <c r="S82" i="15"/>
  <c r="S81" i="15"/>
  <c r="S80" i="15"/>
  <c r="S79" i="15"/>
  <c r="S78" i="15"/>
  <c r="S77" i="15"/>
  <c r="S76" i="15"/>
  <c r="S75" i="15"/>
  <c r="S74" i="15"/>
  <c r="S73" i="15"/>
  <c r="S72" i="15"/>
  <c r="S71" i="15"/>
  <c r="S70" i="15"/>
  <c r="S69" i="15"/>
  <c r="S68" i="15"/>
  <c r="S67" i="15"/>
  <c r="S66" i="15"/>
  <c r="S65" i="15"/>
  <c r="S64" i="15"/>
  <c r="S63" i="15"/>
  <c r="S62" i="15"/>
  <c r="S61" i="15"/>
  <c r="S60" i="15"/>
  <c r="S59" i="15"/>
  <c r="S58" i="15"/>
  <c r="S57" i="15"/>
  <c r="S56" i="15"/>
  <c r="S55" i="15"/>
  <c r="S54" i="15"/>
  <c r="S53" i="15"/>
  <c r="S52" i="15"/>
  <c r="S51" i="15"/>
  <c r="S50" i="15"/>
  <c r="S49" i="15"/>
  <c r="S48" i="15"/>
  <c r="S47" i="15"/>
  <c r="S46" i="15"/>
  <c r="S45" i="15"/>
  <c r="S44" i="15"/>
  <c r="S43" i="15"/>
  <c r="S42" i="15"/>
  <c r="S41" i="15"/>
  <c r="S40" i="15"/>
  <c r="S39" i="15"/>
  <c r="S38" i="15"/>
  <c r="S37" i="15"/>
  <c r="S36" i="15"/>
  <c r="S35" i="15"/>
  <c r="S34" i="15"/>
  <c r="S33" i="15"/>
  <c r="S32" i="15"/>
  <c r="S31" i="15"/>
  <c r="S30" i="15"/>
  <c r="S29" i="15"/>
  <c r="S28" i="15"/>
  <c r="S27" i="15"/>
  <c r="S26" i="15"/>
  <c r="S25" i="15"/>
  <c r="S24" i="15"/>
  <c r="S23" i="15"/>
  <c r="S22" i="15"/>
  <c r="S21" i="15"/>
  <c r="S20" i="15"/>
  <c r="S19" i="15"/>
  <c r="S18" i="15"/>
  <c r="S17" i="15"/>
  <c r="S16" i="15"/>
  <c r="S15" i="15"/>
  <c r="S14" i="15"/>
  <c r="S13" i="15"/>
  <c r="T96" i="3"/>
  <c r="E96" i="3"/>
  <c r="T95" i="3"/>
  <c r="E95" i="3"/>
  <c r="T94" i="3"/>
  <c r="E94" i="3"/>
  <c r="T93" i="3"/>
  <c r="E93" i="3"/>
  <c r="T92" i="3"/>
  <c r="E92" i="3"/>
  <c r="T91" i="3"/>
  <c r="E91" i="3"/>
  <c r="T90" i="3"/>
  <c r="E90" i="3"/>
  <c r="T89" i="3"/>
  <c r="E89" i="3"/>
  <c r="T88" i="3"/>
  <c r="E88" i="3"/>
  <c r="T87" i="3"/>
  <c r="E87" i="3"/>
  <c r="T86" i="3"/>
  <c r="E86" i="3"/>
  <c r="T85" i="3"/>
  <c r="E85" i="3"/>
  <c r="T84" i="3"/>
  <c r="E84" i="3"/>
  <c r="T83" i="3"/>
  <c r="E83" i="3"/>
  <c r="T82" i="3"/>
  <c r="E82" i="3"/>
  <c r="T81" i="3"/>
  <c r="E81" i="3"/>
  <c r="T80" i="3"/>
  <c r="E80" i="3"/>
  <c r="T79" i="3"/>
  <c r="E79" i="3"/>
  <c r="T78" i="3"/>
  <c r="E78" i="3"/>
  <c r="T77" i="3"/>
  <c r="E77" i="3"/>
  <c r="T76" i="3"/>
  <c r="E76" i="3"/>
  <c r="T75" i="3"/>
  <c r="E75" i="3"/>
  <c r="T74" i="3"/>
  <c r="E74" i="3"/>
  <c r="T73" i="3"/>
  <c r="E73" i="3"/>
  <c r="T72" i="3"/>
  <c r="E72" i="3"/>
  <c r="T71" i="3"/>
  <c r="E71" i="3"/>
  <c r="T70" i="3"/>
  <c r="E70" i="3"/>
  <c r="T69" i="3"/>
  <c r="E69" i="3"/>
  <c r="T68" i="3"/>
  <c r="E68" i="3"/>
  <c r="T67" i="3"/>
  <c r="E67" i="3"/>
  <c r="T66" i="3"/>
  <c r="E66" i="3"/>
  <c r="T65" i="3"/>
  <c r="E65" i="3"/>
  <c r="T64" i="3"/>
  <c r="E64" i="3"/>
  <c r="T63" i="3"/>
  <c r="E63" i="3"/>
  <c r="T62" i="3"/>
  <c r="E62" i="3"/>
  <c r="T61" i="3"/>
  <c r="E61" i="3"/>
  <c r="T60" i="3"/>
  <c r="E60" i="3"/>
  <c r="T59" i="3"/>
  <c r="E59" i="3"/>
  <c r="T58" i="3"/>
  <c r="E58" i="3"/>
  <c r="T57" i="3"/>
  <c r="E57" i="3"/>
  <c r="T56" i="3"/>
  <c r="E56" i="3"/>
  <c r="T55" i="3"/>
  <c r="E55" i="3"/>
  <c r="T54" i="3"/>
  <c r="E54" i="3"/>
  <c r="T53" i="3"/>
  <c r="E53" i="3"/>
  <c r="T52" i="3"/>
  <c r="E52" i="3"/>
  <c r="T51" i="3"/>
  <c r="E51" i="3"/>
  <c r="T50" i="3"/>
  <c r="E50" i="3"/>
  <c r="T49" i="3"/>
  <c r="E49" i="3"/>
  <c r="T48" i="3"/>
  <c r="E48" i="3"/>
  <c r="T47" i="3"/>
  <c r="E47" i="3"/>
  <c r="T46" i="3"/>
  <c r="E46" i="3"/>
  <c r="T45" i="3"/>
  <c r="E45" i="3"/>
  <c r="T44" i="3"/>
  <c r="E44" i="3"/>
  <c r="T43" i="3"/>
  <c r="E43" i="3"/>
  <c r="T42" i="3"/>
  <c r="E42" i="3"/>
  <c r="T41" i="3"/>
  <c r="E41" i="3"/>
  <c r="T40" i="3"/>
  <c r="E40" i="3"/>
  <c r="T39" i="3"/>
  <c r="E39" i="3"/>
  <c r="T38" i="3"/>
  <c r="E38" i="3"/>
  <c r="T37" i="3"/>
  <c r="E37" i="3"/>
  <c r="T36" i="3"/>
  <c r="E36" i="3"/>
  <c r="T35" i="3"/>
  <c r="E35" i="3"/>
  <c r="T34" i="3"/>
  <c r="E34" i="3"/>
  <c r="T33" i="3"/>
  <c r="E33" i="3"/>
  <c r="T32" i="3"/>
  <c r="E32" i="3"/>
  <c r="T31" i="3"/>
  <c r="E31" i="3"/>
  <c r="T30" i="3"/>
  <c r="E30" i="3"/>
  <c r="T29" i="3"/>
  <c r="E29" i="3"/>
  <c r="T28" i="3"/>
  <c r="E28" i="3"/>
  <c r="T27" i="3"/>
  <c r="E27" i="3"/>
  <c r="T26" i="3"/>
  <c r="E26" i="3"/>
  <c r="T25" i="3"/>
  <c r="E25" i="3"/>
  <c r="T24" i="3"/>
  <c r="E24" i="3"/>
  <c r="T23" i="3"/>
  <c r="E23" i="3"/>
  <c r="T22" i="3"/>
  <c r="E22" i="3"/>
  <c r="T21" i="3"/>
  <c r="E21" i="3"/>
  <c r="T20" i="3"/>
  <c r="E20" i="3"/>
  <c r="T19" i="3"/>
  <c r="E19" i="3"/>
  <c r="T18" i="3"/>
  <c r="E18" i="3"/>
  <c r="T17" i="3"/>
  <c r="E17" i="3"/>
  <c r="T16" i="3"/>
  <c r="E16" i="3"/>
  <c r="T15" i="3"/>
  <c r="E15" i="3"/>
  <c r="T14" i="3"/>
  <c r="E14" i="3"/>
  <c r="T13" i="3"/>
  <c r="E13" i="3"/>
  <c r="T12" i="3"/>
  <c r="E12" i="3"/>
  <c r="T11" i="3"/>
  <c r="E11" i="3"/>
  <c r="T10" i="3"/>
  <c r="E10" i="3"/>
  <c r="T9" i="3"/>
  <c r="E9" i="3"/>
  <c r="T8" i="3"/>
  <c r="E8" i="3"/>
  <c r="T7" i="3"/>
  <c r="E7" i="3"/>
  <c r="T6" i="3"/>
  <c r="E6" i="3"/>
  <c r="T5" i="3"/>
  <c r="E5" i="3"/>
  <c r="T4" i="3"/>
  <c r="E4" i="3"/>
  <c r="T3" i="3"/>
  <c r="E3" i="3"/>
</calcChain>
</file>

<file path=xl/sharedStrings.xml><?xml version="1.0" encoding="utf-8"?>
<sst xmlns="http://schemas.openxmlformats.org/spreadsheetml/2006/main" count="9199" uniqueCount="2244">
  <si>
    <t>Supplementary File S6 — Data Synthesis and Visualization Plan</t>
  </si>
  <si>
    <t>Item</t>
  </si>
  <si>
    <t>Operational rule</t>
  </si>
  <si>
    <t>Purpose</t>
  </si>
  <si>
    <t>Detailed, reproducible plan for descriptive mapping, cross-dimensional analysis, bibliometrics, thematic synthesis, visualization, and research-agenda derivation described in Section 3.9.</t>
  </si>
  <si>
    <t>Results status</t>
  </si>
  <si>
    <t>Analysis population</t>
  </si>
  <si>
    <t>Multi-label percentages</t>
  </si>
  <si>
    <t>ED, RT, CT, LC, BC, and EV percentages use the total final included N. Because studies may have multiple labels, percentages within a facet may exceed 100%.</t>
  </si>
  <si>
    <t>Missing data</t>
  </si>
  <si>
    <t>Keep NR, NA, and UNC explicit. Do not silently change denominators when a technical/context field is not reported.</t>
  </si>
  <si>
    <t>Evidence maturity</t>
  </si>
  <si>
    <t>EM0–EM7 distributions use only studies with EM Applicability = Applicable; Not applicable and UNC are reported separately.</t>
  </si>
  <si>
    <t>TRL</t>
  </si>
  <si>
    <t>Author-reported TRL and reviewer-inferred TRL are analysed independently. Reviewer-inferred ranges are retained as ranges.</t>
  </si>
  <si>
    <t>Bibliometrics</t>
  </si>
  <si>
    <t>Run only where metadata are sufficiently complete and consistent. Report metadata coverage, thresholds, counting method, normalization, source, retrieval date, software, and version.</t>
  </si>
  <si>
    <t>Thematic synthesis</t>
  </si>
  <si>
    <t>Hybrid deductive–inductive coding. Seed themes are provisional; emergent themes require a definition, example, and versioned codebook update. Theme frequency counts unique studies, not excerpts.</t>
  </si>
  <si>
    <t>Research agenda</t>
  </si>
  <si>
    <t>Agenda candidates are traced to mapping evidence and six evidence criteria. The file counts criteria met but does not impose an arbitrary automatic priority threshold.</t>
  </si>
  <si>
    <t>Companion files</t>
  </si>
  <si>
    <t>S3 = coding authority; S4 = extraction source; S5 = pilot coding and IRR. Populate S6 after S4 consensus coding is sufficiently complete.</t>
  </si>
  <si>
    <t>Controlled Values for S6 Templates</t>
  </si>
  <si>
    <t>Yes_No</t>
  </si>
  <si>
    <t>EM_app</t>
  </si>
  <si>
    <t>EM_code</t>
  </si>
  <si>
    <t>Flag</t>
  </si>
  <si>
    <t>Priority</t>
  </si>
  <si>
    <t>Software_status</t>
  </si>
  <si>
    <t>Evidence_type</t>
  </si>
  <si>
    <t>Theme_type</t>
  </si>
  <si>
    <t>Counting_method</t>
  </si>
  <si>
    <t>Checklist</t>
  </si>
  <si>
    <t>Yes</t>
  </si>
  <si>
    <t>Applicable</t>
  </si>
  <si>
    <t>EM0</t>
  </si>
  <si>
    <t>High priority</t>
  </si>
  <si>
    <t>Not yet executed</t>
  </si>
  <si>
    <t>Author limitation</t>
  </si>
  <si>
    <t>Deductive seed</t>
  </si>
  <si>
    <t>Full counting</t>
  </si>
  <si>
    <t>No</t>
  </si>
  <si>
    <t>Not applicable</t>
  </si>
  <si>
    <t>EM1</t>
  </si>
  <si>
    <t>Medium priority</t>
  </si>
  <si>
    <t>Executed / version recorded</t>
  </si>
  <si>
    <t>Deployment barrier</t>
  </si>
  <si>
    <t>Inductive emergent</t>
  </si>
  <si>
    <t>Fractional counting</t>
  </si>
  <si>
    <t>UNC</t>
  </si>
  <si>
    <t>EM2</t>
  </si>
  <si>
    <t>Lower priority</t>
  </si>
  <si>
    <t>Future research recommendation</t>
  </si>
  <si>
    <t>Other</t>
  </si>
  <si>
    <t>NA</t>
  </si>
  <si>
    <t>EM3</t>
  </si>
  <si>
    <t>Do not include</t>
  </si>
  <si>
    <t>Reviewer mapping evidence</t>
  </si>
  <si>
    <t>EM4</t>
  </si>
  <si>
    <t>Pending</t>
  </si>
  <si>
    <t>EM5</t>
  </si>
  <si>
    <t>EM6</t>
  </si>
  <si>
    <t>EM7</t>
  </si>
  <si>
    <t>Synthesis Input Staging Table — Populate From Final S4 Consensus Data</t>
  </si>
  <si>
    <t>Study ID</t>
  </si>
  <si>
    <t>Current S4 extraction allowed?</t>
  </si>
  <si>
    <t>Final synthesis include?</t>
  </si>
  <si>
    <t>Year</t>
  </si>
  <si>
    <t>Publication period</t>
  </si>
  <si>
    <t>Venue</t>
  </si>
  <si>
    <t>Application sector (primary)</t>
  </si>
  <si>
    <t>Blockchain architecture / permission model</t>
  </si>
  <si>
    <t>BC code(s)</t>
  </si>
  <si>
    <t>ED code(s)</t>
  </si>
  <si>
    <t>RT code(s)</t>
  </si>
  <si>
    <t>CT code(s)</t>
  </si>
  <si>
    <t>LC code(s)</t>
  </si>
  <si>
    <t>EV code(s)</t>
  </si>
  <si>
    <t>EM Applicability</t>
  </si>
  <si>
    <t>EM code</t>
  </si>
  <si>
    <t>Author-reported TRL exact</t>
  </si>
  <si>
    <t>Reviewer TRL lower</t>
  </si>
  <si>
    <t>Reviewer TRL upper</t>
  </si>
  <si>
    <t>Reviewer TRL range</t>
  </si>
  <si>
    <t>Authors</t>
  </si>
  <si>
    <t>Institutions</t>
  </si>
  <si>
    <t>Countries</t>
  </si>
  <si>
    <t>Keywords</t>
  </si>
  <si>
    <t>Citation count</t>
  </si>
  <si>
    <t>Citation retrieval date</t>
  </si>
  <si>
    <t>Author-stated limitations</t>
  </si>
  <si>
    <t>Deployment barriers</t>
  </si>
  <si>
    <t>Future research recommendations</t>
  </si>
  <si>
    <t>Comparative evaluation?</t>
  </si>
  <si>
    <t>Replication / independent comparison?</t>
  </si>
  <si>
    <t>Operational deployment evidence?</t>
  </si>
  <si>
    <t>Longitudinal evidence?</t>
  </si>
  <si>
    <t>Source / coding notes</t>
  </si>
  <si>
    <t>PS001</t>
  </si>
  <si>
    <t>Proceedings of the 2017 ACM International Conference on Management of Data (SIGMOD 2017)</t>
  </si>
  <si>
    <t>Tien Tuan Anh Dinh; Ji Wang; Gang Chen; Rui Liu; Beng Chin Ooi; Kian-Lee Tan</t>
  </si>
  <si>
    <t>PS002</t>
  </si>
  <si>
    <t>Proceedings of the Thirteenth EuroSys Conference (EuroSys 2018)</t>
  </si>
  <si>
    <t>Elli Androulaki et al.</t>
  </si>
  <si>
    <t>PS003</t>
  </si>
  <si>
    <t>2019 IEEE International Conference on Blockchain and Cryptocurrency (ICBC)</t>
  </si>
  <si>
    <t>Christian Gorenflo; Stephen Lee; Lukasz Golab; Srinivasan Keshav</t>
  </si>
  <si>
    <t>PS004</t>
  </si>
  <si>
    <t>IEEE Internet of Things Journal</t>
  </si>
  <si>
    <t>A. Asheralieva; D. Niyato</t>
  </si>
  <si>
    <t>PS005</t>
  </si>
  <si>
    <t>IEEE Transactions on Network Science and Engineering</t>
  </si>
  <si>
    <t>P. Zhang; M. Zhou; Q. Zhao; A. Abusorrah; O. O. Bamasag</t>
  </si>
  <si>
    <t>PS006</t>
  </si>
  <si>
    <t>Proceedings - International Conference on Data Engineering</t>
  </si>
  <si>
    <t>Fang M.; Zhang Z.; Jin C.; Zhou A.</t>
  </si>
  <si>
    <t>PS007</t>
  </si>
  <si>
    <t>IEEE Transactions on Parallel and Distributed Systems</t>
  </si>
  <si>
    <t>J. Li; Y. Shao; K. Wei; M. Ding; C. Ma; L. Shi; Z. Han; H. V. Poor</t>
  </si>
  <si>
    <t>PS008</t>
  </si>
  <si>
    <t>IEEE Transactions on Information Forensics and Security</t>
  </si>
  <si>
    <t>Y. Liu; X. Xing; H. Cheng; D. Li; Z. Guan; J. Liu; Q. Wu</t>
  </si>
  <si>
    <t>PS009</t>
  </si>
  <si>
    <t>IEEE Transactions on Dependable and Secure Computing</t>
  </si>
  <si>
    <t>W. Liu; Z. Wan; J. Shao; Y. Yu</t>
  </si>
  <si>
    <t>PS010</t>
  </si>
  <si>
    <t>IEEE Transactions on Mobile Computing</t>
  </si>
  <si>
    <t>X. Chen; G. Xue; R. Yu; H. Wu; D. Wang</t>
  </si>
  <si>
    <t>PS011</t>
  </si>
  <si>
    <t>A. Liu; Y. Liu; Q. Wu; B. Zhao; D. Li; Y. Lu; R. Lu; W. Susilo</t>
  </si>
  <si>
    <t>PS012</t>
  </si>
  <si>
    <t>IEEE Transactions on Industrial Informatics</t>
  </si>
  <si>
    <t>Xian D.; Wei X.</t>
  </si>
  <si>
    <t>PS013</t>
  </si>
  <si>
    <t>INTERNET OF THINGS</t>
  </si>
  <si>
    <t>Bandara, Eranga; Liang, Xueping; Foytik, Peter; Shetty, Sachin; Mukkamala, Ravi; Rahman, Abdul; Ranasinghe, Nalin; De Zoysa, Kasun; Ng, Wee Keong</t>
  </si>
  <si>
    <t>PS014</t>
  </si>
  <si>
    <t>Hold</t>
  </si>
  <si>
    <t>IEEE Access</t>
  </si>
  <si>
    <t>V. Deval; V. K. Dwivedi; A. Dixit; A. Norta; S. A. Shah; R. Sharma; D. Draheim</t>
  </si>
  <si>
    <t>PS015</t>
  </si>
  <si>
    <t>K. Kumar Kondru; S. Rajiakodi</t>
  </si>
  <si>
    <t>PS016</t>
  </si>
  <si>
    <t>X. Chen</t>
  </si>
  <si>
    <t>PS017</t>
  </si>
  <si>
    <t>Y. Liu; X. Xing; Z. Tong; X. Lin; J. Chen; Z. Guan; Q. Wu; W. Susilo</t>
  </si>
  <si>
    <t>PS018</t>
  </si>
  <si>
    <t>J. Xu; Y. Ming; Z. Wu; C. Wang; X. Jia</t>
  </si>
  <si>
    <t>PS019</t>
  </si>
  <si>
    <t>H. Cheng; Y. Lu; Z. Lu; Q. Tang; Y. Zhang; Z. Zhang</t>
  </si>
  <si>
    <t>PS020</t>
  </si>
  <si>
    <t>W. Ni; A. Asheralieva; X. Wei; C. Maple</t>
  </si>
  <si>
    <t>PS021</t>
  </si>
  <si>
    <t>W. Yang; W. Chen; L. Xue; W. Zou; L. Huang</t>
  </si>
  <si>
    <t>PS022</t>
  </si>
  <si>
    <t>H. Chen; R. Zhou; Y. -H. Chan; Z. Jiang; X. Chen; E. C. H. Ngai</t>
  </si>
  <si>
    <t>PS023</t>
  </si>
  <si>
    <t>IEEE Transactions on Networking</t>
  </si>
  <si>
    <t>B. Li; T. Duan; Q. Zhao; Y. Guo; Z. Song; H. Zhang; Z. Li; Y. Sun</t>
  </si>
  <si>
    <t>PS024</t>
  </si>
  <si>
    <t>Liang J.; Yao P.; Chen W.; Hong Z.; Zhang J.; Cai T.; Sun M.; Zheng Z.</t>
  </si>
  <si>
    <t>PS025</t>
  </si>
  <si>
    <t>C. Liu; K. Ning; P. T. Mathiopoulos; Z. Xue; G. Han</t>
  </si>
  <si>
    <t>PS026</t>
  </si>
  <si>
    <t>Proceedings of the 2018 ACM Symposium on Principles of Distributed Computing (PODC 2018)</t>
  </si>
  <si>
    <t>Maurice Herlihy</t>
  </si>
  <si>
    <t>PS027</t>
  </si>
  <si>
    <t>PROCEEDINGS OF THE 2019 ACM SIGSAC CONFERENCE ON COMPUTER AND COMMUNICATIONS SECURITY (CCS'19)</t>
  </si>
  <si>
    <t>Liu, Zhuotao; Xiang, Yangxi; Shi, Jian; Gao, Peng; Wang, Haoyu; Xiao, Xusheng; Wen, Bihan; Hu, Yih-Chun</t>
  </si>
  <si>
    <t>PS028</t>
  </si>
  <si>
    <t>2019 IEEE Symposium on Security and Privacy (SP)</t>
  </si>
  <si>
    <t>Alexei Zamyatin; Dominik Harz; Joshua Lind; Panayiotis Panayiotou; Arthur Gervais; William Knottenbelt</t>
  </si>
  <si>
    <t>PS029</t>
  </si>
  <si>
    <t>2021 3rd Conference on Blockchain Research and Applications for Innovative Networks and Services, BRAINS 2021</t>
  </si>
  <si>
    <t>Barisic A.; Zhu E.; Mallet F.</t>
  </si>
  <si>
    <t>PS030</t>
  </si>
  <si>
    <t>Proceedings - 3rd IEEE International Conference on Decentralized Applications and Infrastructures, DAPPS 2021</t>
  </si>
  <si>
    <t>Nissl M.; Sallinger E.; Schulte S.; Borkowski M.</t>
  </si>
  <si>
    <t>PS031</t>
  </si>
  <si>
    <t>Neural Computing and Applications</t>
  </si>
  <si>
    <t>Su H.; Guo B.; Lu J.; Suo X.</t>
  </si>
  <si>
    <t>PS032</t>
  </si>
  <si>
    <t>IEEE INTERNET OF THINGS JOURNAL</t>
  </si>
  <si>
    <t>Chang, Jian; Ni, Junpei; Xiao, Jiang; Dai, Xiaohai; Jin, Hai</t>
  </si>
  <si>
    <t>PS033</t>
  </si>
  <si>
    <t>Journal of Network and Systems Management</t>
  </si>
  <si>
    <t>El Haddouti S.; Ouaguid A.; Ech-Cherif El Kettani M.D.</t>
  </si>
  <si>
    <t>PS034</t>
  </si>
  <si>
    <t>Proceedings of the International Conference on Parallel and Distributed Systems - ICPADS</t>
  </si>
  <si>
    <t>Hou Z.; Yang J.; Lai R.; He Y.; Mo Z.; Zhao G.</t>
  </si>
  <si>
    <t>PS035</t>
  </si>
  <si>
    <t>2024 IEEE INTERNATIONAL CONFERENCE ON BLOCKCHAIN, BLOCKCHAIN 2024</t>
  </si>
  <si>
    <t>Khorasani, Koosha Esmaeilzadeh; Rouhani, Sara; Pan, Rui; Pourheidari, Vahid</t>
  </si>
  <si>
    <t>PS036</t>
  </si>
  <si>
    <t>J. Jiang; Y. Zhang; J. Zhao; L. Gao; L. Zhu; Z. Tian</t>
  </si>
  <si>
    <t>PS037</t>
  </si>
  <si>
    <t>IEEE Transactions on Vehicular Technology</t>
  </si>
  <si>
    <t>X. Tang; L. Lou; R. Peng; T. Zhang; Z. Liu; Z. Liu; J. Kang; Z. Han; D. Niyato</t>
  </si>
  <si>
    <t>PS038</t>
  </si>
  <si>
    <t>IEEE Transactions on Services Computing</t>
  </si>
  <si>
    <t>T. Shen; Y. Feng; J. Dong; K. Zhu; L. Jiao; L. Zhang</t>
  </si>
  <si>
    <t>PS039</t>
  </si>
  <si>
    <t>IEEE Transactions on Computers</t>
  </si>
  <si>
    <t>L. Ma; S. Chen; Y. Lv; B. Luan; X. Liu; K. Li</t>
  </si>
  <si>
    <t>PS040</t>
  </si>
  <si>
    <t>P. Han; Z. Yan; Z. Xu; L. T. Yang; E. Bertino</t>
  </si>
  <si>
    <t>PS041</t>
  </si>
  <si>
    <t>IEEE Transactions on Network and Service Management</t>
  </si>
  <si>
    <t>K. Ding; X. Hu; W. Zhou; G. Cheng; R. Li; H. Wu</t>
  </si>
  <si>
    <t>PS042</t>
  </si>
  <si>
    <t>PROCEEDINGS OF THE 2017 IEEE/ACM 39TH INTERNATIONAL CONFERENCE ON SOFTWARE ENGINEERING COMPANION (ICSE-C 2017)</t>
  </si>
  <si>
    <t>Porru, Simone; Pinna, Andrea; Marchesi, Michele; Tonelli, Roberto</t>
  </si>
  <si>
    <t>PS043</t>
  </si>
  <si>
    <t>Empirical Software Engineering</t>
  </si>
  <si>
    <t>Amiangshu Bosu; Anindya Iqbal; Rifat Shahriyar; Partha Chakraborty</t>
  </si>
  <si>
    <t>PS044</t>
  </si>
  <si>
    <t>Blockchain: Research and Applications</t>
  </si>
  <si>
    <t>Lodovica Marchesi; Michele Marchesi; Roberto Tonelli</t>
  </si>
  <si>
    <t>PS045</t>
  </si>
  <si>
    <t>IEEE INFOCOM 2020 - IEEE CONFERENCE ON COMPUTER COMMUNICATIONS WORKSHOPS (INFOCOM WKSHPS)</t>
  </si>
  <si>
    <t>Wu, Xiao; Qiu, Han; Zhang, Shuyi; Memmi, Gerard; Gai, Keke; Cai, Wei</t>
  </si>
  <si>
    <t>PS046</t>
  </si>
  <si>
    <t>Journal of Web Engineering</t>
  </si>
  <si>
    <t>Sánchez-Gómez N.; Morales-Trujillo L.; Gutiérrez J.J.; Torres-Valderrama J.</t>
  </si>
  <si>
    <t>PS047</t>
  </si>
  <si>
    <t>COMPUTER</t>
  </si>
  <si>
    <t>Zhu, Yan; Guo, Qian; Yin, Hongjian; Liang, Kaitai; Yau, Stephen S.</t>
  </si>
  <si>
    <t>PS048</t>
  </si>
  <si>
    <t>SOFTWARE-PRACTICE &amp; EXPERIENCE</t>
  </si>
  <si>
    <t>Lu, Qinghua; Binh Tran, An; Weber, Ingo; O'Connor, Hugo; Rimba, Paul; Xu, Xiwei; Staples, Mark; Zhu, Liming; Jeffery, Ross</t>
  </si>
  <si>
    <t>PS049</t>
  </si>
  <si>
    <t>IEEE Transactions on Software Engineering</t>
  </si>
  <si>
    <t>Z. Wan; X. Xia; A. E. Hassan</t>
  </si>
  <si>
    <t>PS050</t>
  </si>
  <si>
    <t>Jurgelaitis M.; Ceponiene L.; Butkiene R.</t>
  </si>
  <si>
    <t>PS051</t>
  </si>
  <si>
    <t>Applied Sciences (Switzerland)</t>
  </si>
  <si>
    <t>Shen X.; Li W.; Xu H.; Wang X.; Wang Z.</t>
  </si>
  <si>
    <t>PS052</t>
  </si>
  <si>
    <t>Proceedings - 5th International Workshop on Emerging Trends in Software Engineering for Blockchain, WETSEB 2022</t>
  </si>
  <si>
    <t>Ibba G.</t>
  </si>
  <si>
    <t>PS053</t>
  </si>
  <si>
    <t>Jurgelaitis M.; Čeponienė L.; Butkus K.; Butkienė R.; Drungilas V.</t>
  </si>
  <si>
    <t>PS054</t>
  </si>
  <si>
    <t>Bodorik P.; Liu C.G.; Jutla D.</t>
  </si>
  <si>
    <t>PS055</t>
  </si>
  <si>
    <t>EMPIRICAL SOFTWARE ENGINEERING</t>
  </si>
  <si>
    <t>Ebrahimi, Amir M.; Adams, Bram; Oliva, Gustavo A.; Hassan, Ahmed E.</t>
  </si>
  <si>
    <t>PS056</t>
  </si>
  <si>
    <t>2024 6th Conference on Blockchain Research and Applications for Innovative Networks and Services, BRAINS 2024</t>
  </si>
  <si>
    <t>Daspe E.; Durand M.; Hatin J.; Bradai S.</t>
  </si>
  <si>
    <t>PS057</t>
  </si>
  <si>
    <t>International Symposium on Empirical Software Engineering and Measurement</t>
  </si>
  <si>
    <t>Mitropoulos C.; Kechagia M.; Maschas C.; Ioannidis S.; Sarro F.; Mitropoulos D.</t>
  </si>
  <si>
    <t>PS058</t>
  </si>
  <si>
    <t>International Journal of Advanced Computer Science and Applications</t>
  </si>
  <si>
    <t>Hsain Y.A.; Laaz N.; Mbarki S.</t>
  </si>
  <si>
    <t>PS059</t>
  </si>
  <si>
    <t>ACM Trans. Softw. Eng. Methodol.</t>
  </si>
  <si>
    <t>Xiangping Chen; Ziang Qian; Peiyong Liao; Yuan Huang; Changlin Yang; Zibin Zheng</t>
  </si>
  <si>
    <t>PS060</t>
  </si>
  <si>
    <t>Proceedings - International Conference on Software Engineering</t>
  </si>
  <si>
    <t>Mo R.; Song H.; Ding W.; Wu C.</t>
  </si>
  <si>
    <t>PS061</t>
  </si>
  <si>
    <t>Lopez-Pimentel J.-C.; Del-Valle-Soto C.; Valdivia L.J.; Monroy R.</t>
  </si>
  <si>
    <t>PS062</t>
  </si>
  <si>
    <t>2025 IEEE/ACM 22ND INTERNATIONAL CONFERENCE ON MINING SOFTWARE REPOSITORIES, MSR</t>
  </si>
  <si>
    <t>Qasse, Ilham; Hamdaqa, Mohammad; Jonsson, Bjorn Thornor</t>
  </si>
  <si>
    <t>PS063</t>
  </si>
  <si>
    <t>IEEE TRANSACTIONS ON SOFTWARE ENGINEERING</t>
  </si>
  <si>
    <t>Zhang, Xiaoli; Song, Yiqiao; Du, Yuefeng; Cai, Chengjun; Cheng, Hongbing; Xu, Ke; Li, Qi</t>
  </si>
  <si>
    <t>PS064</t>
  </si>
  <si>
    <t>JOURNAL OF SOFTWARE-EVOLUTION AND PROCESS</t>
  </si>
  <si>
    <t>Wang, Yanze; Feng, Qi; Li, Jingyue; Li, Shanshan; Zhang, He</t>
  </si>
  <si>
    <t>PS065</t>
  </si>
  <si>
    <t>Proceedings of the 2016 ACM SIGSAC Conference on Computer and Communications Security (CCS 2016)</t>
  </si>
  <si>
    <t>Loi Luu; Duc-Hiep Chu; Hrishi Olickel; Prateek Saxena; Aquinas Hobor</t>
  </si>
  <si>
    <t>PS066</t>
  </si>
  <si>
    <t>Proceedings of the 2018 ACM SIGSAC Conference on Computer and Communications Security (CCS 2018)</t>
  </si>
  <si>
    <t>Petar Tsankov; Andrei Dan; Dana Drachsler-Cohen; Arthur Gervais; Florian Bünzli; Martin T. Vechev</t>
  </si>
  <si>
    <t>PS067</t>
  </si>
  <si>
    <t>Network and Distributed System Security Symposium (NDSS 2018)</t>
  </si>
  <si>
    <t>Sukrit Kalra; Seep Goel; Mohan Dhawan; Subodh Sharma</t>
  </si>
  <si>
    <t>PS068</t>
  </si>
  <si>
    <t>Proceedings - International Computer Software and Applications Conference</t>
  </si>
  <si>
    <t>Liu Z.; Liu J.</t>
  </si>
  <si>
    <t>PS069</t>
  </si>
  <si>
    <t>2020 ACM/IEEE 42ND INTERNATIONAL CONFERENCE ON SOFTWARE ENGINEERING: COMPANION PROCEEDINGS (ICSE-COMPANION 2020)</t>
  </si>
  <si>
    <t>Ye, Jiaming; Ma, Mingliang; Lin, Yun; Sui, Yulei; Xue, Yinxing</t>
  </si>
  <si>
    <t>PS070</t>
  </si>
  <si>
    <t>2020 IEEE 44TH ANNUAL COMPUTERS, SOFTWARE, AND APPLICATIONS CONFERENCE (COMPSAC 2020)</t>
  </si>
  <si>
    <t>Yang, Zhen; Keung, Jacky; Zhang, Miao; Xiao, Yan; Huang, Yangyang; Hui, Tik</t>
  </si>
  <si>
    <t>PS071</t>
  </si>
  <si>
    <t>2021 IEEE 21ST INTERNATIONAL CONFERENCE ON SOFTWARE QUALITY, RELIABILITY AND SECURITY (QRS 2021)</t>
  </si>
  <si>
    <t>Jiang, Bo; Chen, Yifei; Wang, Dong; Ashraf, Imran; Chan, W. K.</t>
  </si>
  <si>
    <t>PS072</t>
  </si>
  <si>
    <t>Proceedings - 2022 IEEE International Conference on Big Data, Big Data 2022</t>
  </si>
  <si>
    <t>Yao Y.; Li H.; Yang X.; Le Y.</t>
  </si>
  <si>
    <t>PS073</t>
  </si>
  <si>
    <t>SENSORS</t>
  </si>
  <si>
    <t>Zhang, Lejun; Chen, Weijie; Wang, Weizheng; Jin, Zilong; Zhao, Chunhui; Cai, Zhennao; Chen, Huiling</t>
  </si>
  <si>
    <t>PS074</t>
  </si>
  <si>
    <t>ISSTA 2022 - Proceedings of the 31st ACM SIGSOFT International Symposium on Software Testing and Analysis</t>
  </si>
  <si>
    <t>Zheng P.; Zheng Z.; Luo X.</t>
  </si>
  <si>
    <t>PS075</t>
  </si>
  <si>
    <t>ACM International Conference Proceeding Series</t>
  </si>
  <si>
    <t>Zhang Z.; Lei Y.; Yan M.; Yu Y.; Chen J.; Wang S.; Mao X.</t>
  </si>
  <si>
    <t>PS076</t>
  </si>
  <si>
    <t>Computer Networks</t>
  </si>
  <si>
    <t>Zhang L.; Wang J.; Wang W.; Jin Z.; Su Y.; Chen H.</t>
  </si>
  <si>
    <t>PS077</t>
  </si>
  <si>
    <t>Energies</t>
  </si>
  <si>
    <t>Guo R.; Chen W.; Zhang L.; Wang G.; Chen H.</t>
  </si>
  <si>
    <t>PS078</t>
  </si>
  <si>
    <t>Ghaleb A.; Rubin J.; Pattabiraman K.</t>
  </si>
  <si>
    <t>PS079</t>
  </si>
  <si>
    <t>Zhang Y.; Ma J.; Liu X.; Ye G.; Jin Q.; Ma J.; Zhou Q.</t>
  </si>
  <si>
    <t>PS080</t>
  </si>
  <si>
    <t>Journal of Systems and Software</t>
  </si>
  <si>
    <t>Cai J.; Li B.; Zhang J.; Sun X.; Chen B.</t>
  </si>
  <si>
    <t>PS081</t>
  </si>
  <si>
    <t>Le H.-B.; Le D.-T.; Trung D.M.; Tran T.-D.; Duy P.T.; Pham V.-H.</t>
  </si>
  <si>
    <t>PS082</t>
  </si>
  <si>
    <t>Nelaturu K.; Mavridou A.; Stachtiari E.; Veneris A.; Laszka A.</t>
  </si>
  <si>
    <t>PS083</t>
  </si>
  <si>
    <t>ACM Web Conference 2023 - Proceedings of the World Wide Web Conference, WWW 2023</t>
  </si>
  <si>
    <t>Qian P.; Liu Z.; Yin Y.; He Q.</t>
  </si>
  <si>
    <t>PS084</t>
  </si>
  <si>
    <t>Proceedings - 2023 IEEE/ACM 20th International Conference on Mining Software Repositories, MSR 2023</t>
  </si>
  <si>
    <t>Nguyen H.H.; Nguyen N.-M.; Xie C.; Ahmadi Z.; Kudendo D.; Doan T.-N.; Jiang L.</t>
  </si>
  <si>
    <t>PS085</t>
  </si>
  <si>
    <t>2023 IEEE 34TH INTERNATIONAL SYMPOSIUM ON SOFTWARE RELIABILITY ENGINEERING, ISSRE</t>
  </si>
  <si>
    <t>Yu, Lei; Lu, Junyi; Liu, Xianglong; Yang, Li; Zhang, Fengjun; Ma, Jiajia</t>
  </si>
  <si>
    <t>PS086</t>
  </si>
  <si>
    <t>APPLIED SCIENCES-BASEL</t>
  </si>
  <si>
    <t>Wu, Huaiguang; Dong, Hanjie; He, Yaqiong; Duan, Qianheng</t>
  </si>
  <si>
    <t>PS087</t>
  </si>
  <si>
    <t>2023 IEEE 8th International Conference for Convergence in Technology, I2CT 2023</t>
  </si>
  <si>
    <t>Shah N.K.; Nandurkar S.; Bilapate M.; Maalik M.A.; Harne N.; Shaik K.; Kumar A.</t>
  </si>
  <si>
    <t>PS088</t>
  </si>
  <si>
    <t>International Journal of Information Technology (Singapore)</t>
  </si>
  <si>
    <t>J J L.; Singh K.</t>
  </si>
  <si>
    <t>PS089</t>
  </si>
  <si>
    <t>Journal of Software: Evolution and Process</t>
  </si>
  <si>
    <t>Chu H.; Zhang P.; Dong H.; Xiao Y.; Ji S.</t>
  </si>
  <si>
    <t>PS090</t>
  </si>
  <si>
    <t>Conference Proceedings of the IEEE International Performance, Computing, and Communications Conference</t>
  </si>
  <si>
    <t>Li H.; Xiong G.; Hou C.; Gou G.; Chen Z.; Li Z.</t>
  </si>
  <si>
    <t>PS091</t>
  </si>
  <si>
    <t>Automated Software Engineering</t>
  </si>
  <si>
    <t>Wang S.; Zhao X.</t>
  </si>
  <si>
    <t>PS092</t>
  </si>
  <si>
    <t>Yang J.; Zhao X.; Zhang H.; He L.; Wang S.; Gou N.</t>
  </si>
  <si>
    <t>PS093</t>
  </si>
  <si>
    <t>Liang R.; Chen J.; Wu C.; He K.; Wu Y.; Cao R.; Du R.; Zhao Z.; Liu Y.</t>
  </si>
  <si>
    <t>PS094</t>
  </si>
  <si>
    <t>Chen, Chong; Bao, Lingfeng; Lo, David; Wang, Yanlin; Shan, Zhenyu; Chen, Ting; Yin, Guangqiang; Yu, Jianxing; Zheng, Zibin; Chen, Jiachi</t>
  </si>
  <si>
    <t>Denominator and Missing-Data Rules</t>
  </si>
  <si>
    <t>Variable / analysis</t>
  </si>
  <si>
    <t>Primary denominator</t>
  </si>
  <si>
    <t>Missing / NA treatment</t>
  </si>
  <si>
    <t>Multi-label consequence</t>
  </si>
  <si>
    <t>Percentage rule</t>
  </si>
  <si>
    <t>Reporting note</t>
  </si>
  <si>
    <t>Publication year / venue</t>
  </si>
  <si>
    <t>All final included studies</t>
  </si>
  <si>
    <t>Report NR explicitly where relevant</t>
  </si>
  <si>
    <t>n / total included</t>
  </si>
  <si>
    <t>Mutually exclusive categories should sum to 100%.</t>
  </si>
  <si>
    <t>Application sector</t>
  </si>
  <si>
    <t>NR shown as a category or separate missing count</t>
  </si>
  <si>
    <t>State if multiple sectors are permitted</t>
  </si>
  <si>
    <t>Prefer one primary sector for clean reporting.</t>
  </si>
  <si>
    <t>ED / RT / CT / LC / BC / EV</t>
  </si>
  <si>
    <t>Uncoded study triggers data-quality review</t>
  </si>
  <si>
    <t>Facet percentages may exceed 100%</t>
  </si>
  <si>
    <t>studies carrying code / total included</t>
  </si>
  <si>
    <t>Count unique studies, not code occurrences.</t>
  </si>
  <si>
    <t>Evidence maturity EM0–EM7</t>
  </si>
  <si>
    <t>EM-applicable included studies</t>
  </si>
  <si>
    <t>Not applicable and UNC reported separately</t>
  </si>
  <si>
    <t>Single EM level</t>
  </si>
  <si>
    <t>n / EM-applicable studies</t>
  </si>
  <si>
    <t>Do not force observational studies into EM.</t>
  </si>
  <si>
    <t>Author-reported TRL</t>
  </si>
  <si>
    <t>All final included studies for reporting prevalence</t>
  </si>
  <si>
    <t>NR = no author TRL</t>
  </si>
  <si>
    <t>Keep exact author text/range</t>
  </si>
  <si>
    <t>studies reporting author TRL / total included</t>
  </si>
  <si>
    <t>Author TRL distribution denominator = studies that report it.</t>
  </si>
  <si>
    <t>Reviewer-inferred TRL</t>
  </si>
  <si>
    <t>Studies with applicable reviewer TRL</t>
  </si>
  <si>
    <t>Not applicable/UNC reported separately</t>
  </si>
  <si>
    <t>Keep lower and upper bound</t>
  </si>
  <si>
    <t>n / reviewer-TRL-applicable studies</t>
  </si>
  <si>
    <t>Analyse separately from author-reported TRL.</t>
  </si>
  <si>
    <t>Bibliometric networks</t>
  </si>
  <si>
    <t>Included studies with required metadata</t>
  </si>
  <si>
    <t>Report metadata coverage n/N</t>
  </si>
  <si>
    <t>Analysis-specific</t>
  </si>
  <si>
    <t>analysis-specific</t>
  </si>
  <si>
    <t>Thresholds/counting method must be disclosed.</t>
  </si>
  <si>
    <t>Thematic frequencies</t>
  </si>
  <si>
    <t>Unique included studies with thematic evidence</t>
  </si>
  <si>
    <t>No relevant evidence remains distinguishable from missing text</t>
  </si>
  <si>
    <t>Themes may be multi-label</t>
  </si>
  <si>
    <t>unique studies supporting theme / thematic corpus</t>
  </si>
  <si>
    <t>Do not count excerpts as independent evidence.</t>
  </si>
  <si>
    <t>Descriptive Mapping Analysis Plan</t>
  </si>
  <si>
    <t>Variable / facet</t>
  </si>
  <si>
    <t>Statistic</t>
  </si>
  <si>
    <t>Denominator</t>
  </si>
  <si>
    <t>Multi-label?</t>
  </si>
  <si>
    <t>Missing-data handling</t>
  </si>
  <si>
    <t>Planned output</t>
  </si>
  <si>
    <t>RQ support</t>
  </si>
  <si>
    <t>Final value / note</t>
  </si>
  <si>
    <t>Publication year</t>
  </si>
  <si>
    <t>Count; %</t>
  </si>
  <si>
    <t>Final included N</t>
  </si>
  <si>
    <t>None expected</t>
  </si>
  <si>
    <t>Annual line chart + table</t>
  </si>
  <si>
    <t>RQ1</t>
  </si>
  <si>
    <t>Report NR</t>
  </si>
  <si>
    <t>Horizontal bar / table</t>
  </si>
  <si>
    <t>Prefer one primary sector</t>
  </si>
  <si>
    <t>Blockchain architecture / BC context</t>
  </si>
  <si>
    <t>Yes where BC multi-label</t>
  </si>
  <si>
    <t>Bar chart / table</t>
  </si>
  <si>
    <t>Engineering domain ED</t>
  </si>
  <si>
    <t>Uncoded = data-quality issue</t>
  </si>
  <si>
    <t>Horizontal bar</t>
  </si>
  <si>
    <t>RQ2</t>
  </si>
  <si>
    <t>Research type RT</t>
  </si>
  <si>
    <t>Bar / table</t>
  </si>
  <si>
    <t>RQ1/RQ5</t>
  </si>
  <si>
    <t>Contribution type CT</t>
  </si>
  <si>
    <t>RQ3</t>
  </si>
  <si>
    <t>Lifecycle phase LC</t>
  </si>
  <si>
    <t>Bar / lifecycle matrix</t>
  </si>
  <si>
    <t>RQ4</t>
  </si>
  <si>
    <t>Evaluation method EV</t>
  </si>
  <si>
    <t>RQ5</t>
  </si>
  <si>
    <t>Evidence maturity EM</t>
  </si>
  <si>
    <t>EM-applicable N</t>
  </si>
  <si>
    <t>Report Not applicable/UNC</t>
  </si>
  <si>
    <t>Bar / matrix</t>
  </si>
  <si>
    <t>RQ5/RQ6</t>
  </si>
  <si>
    <t>Reporting prevalence + exact distribution</t>
  </si>
  <si>
    <t>Final N; then author-TRL-reporting N</t>
  </si>
  <si>
    <t>NR reported</t>
  </si>
  <si>
    <t>Table</t>
  </si>
  <si>
    <t>RQ6</t>
  </si>
  <si>
    <t>Exact range distribution</t>
  </si>
  <si>
    <t>Reviewer-TRL-applicable N</t>
  </si>
  <si>
    <t>NA/UNC separate</t>
  </si>
  <si>
    <t>Table / matrix</t>
  </si>
  <si>
    <t>Median/IQR or descriptive context only if used</t>
  </si>
  <si>
    <t>Studies with retrieval-consistent citation data</t>
  </si>
  <si>
    <t>Report retrieval date and missing</t>
  </si>
  <si>
    <t>Contextual table only</t>
  </si>
  <si>
    <t>Context</t>
  </si>
  <si>
    <t>Cross-Dimensional Mapping Plan</t>
  </si>
  <si>
    <t>ID</t>
  </si>
  <si>
    <t>Relationship</t>
  </si>
  <si>
    <t>Coding basis</t>
  </si>
  <si>
    <t>Cell / denominator rule</t>
  </si>
  <si>
    <t>Interpretation rule</t>
  </si>
  <si>
    <t>Template / result location</t>
  </si>
  <si>
    <t>XT1</t>
  </si>
  <si>
    <t>Engineering domain × research type</t>
  </si>
  <si>
    <t>RQ7</t>
  </si>
  <si>
    <t>ED multi-label × RT multi-label</t>
  </si>
  <si>
    <t>Cell = included studies carrying both codes</t>
  </si>
  <si>
    <t>Heatmap</t>
  </si>
  <si>
    <t>Describe concentration/sparsity; no default significance test</t>
  </si>
  <si>
    <t>CrossTab_Templates</t>
  </si>
  <si>
    <t>XT2</t>
  </si>
  <si>
    <t>Engineering domain × contribution type</t>
  </si>
  <si>
    <t>RQ3/RQ7</t>
  </si>
  <si>
    <t>ED × CT multi-label</t>
  </si>
  <si>
    <t>Same unique-study counting rule</t>
  </si>
  <si>
    <t>Identify dominant/underrepresented contribution forms</t>
  </si>
  <si>
    <t>XT3</t>
  </si>
  <si>
    <t>Engineering domain × lifecycle phase</t>
  </si>
  <si>
    <t>RQ4/RQ7</t>
  </si>
  <si>
    <t>ED × LC multi-label</t>
  </si>
  <si>
    <t>Lifecycle heatmap</t>
  </si>
  <si>
    <t>Identify unsupported lifecycle phases by domain</t>
  </si>
  <si>
    <t>XT4</t>
  </si>
  <si>
    <t>Engineering domain × evaluation method</t>
  </si>
  <si>
    <t>RQ5/RQ7</t>
  </si>
  <si>
    <t>ED × EV multi-label</t>
  </si>
  <si>
    <t>Heatmap / stacked bar</t>
  </si>
  <si>
    <t>Separate volume from evaluation strength</t>
  </si>
  <si>
    <t>XT5</t>
  </si>
  <si>
    <t>Engineering domain × evidence maturity</t>
  </si>
  <si>
    <t>RQ5/RQ6/RQ7</t>
  </si>
  <si>
    <t>ED × applicable EM</t>
  </si>
  <si>
    <t>Only EM-applicable studies</t>
  </si>
  <si>
    <t>Evidence-maturity matrix</t>
  </si>
  <si>
    <t>Identify domain maturity concentration</t>
  </si>
  <si>
    <t>XT6</t>
  </si>
  <si>
    <t>Blockchain architecture/context × evidence maturity</t>
  </si>
  <si>
    <t>RQ6/RQ7</t>
  </si>
  <si>
    <t>BC1–BC7 × applicable EM</t>
  </si>
  <si>
    <t>Do not mix integration-only BC codes with architecture unless stated</t>
  </si>
  <si>
    <t>XT7</t>
  </si>
  <si>
    <t>Application sector × reported readiness</t>
  </si>
  <si>
    <t>Primary sector × reviewer TRL range; author TRL separately</t>
  </si>
  <si>
    <t>Exact range strings; separate author/reviewer values</t>
  </si>
  <si>
    <t>Matrix</t>
  </si>
  <si>
    <t>Report sparse cells and exact denominators</t>
  </si>
  <si>
    <t>XT8</t>
  </si>
  <si>
    <t>Lifecycle phase × evaluation method</t>
  </si>
  <si>
    <t>RQ4/RQ5/RQ7</t>
  </si>
  <si>
    <t>LC × EV multi-label</t>
  </si>
  <si>
    <t>Included studies carrying both codes</t>
  </si>
  <si>
    <t>Reveal which lifecycle activities receive which evaluation forms</t>
  </si>
  <si>
    <t>XT9</t>
  </si>
  <si>
    <t>Contribution type × reviewer-inferred TRL range</t>
  </si>
  <si>
    <t>CT multi-label × exact reviewer range</t>
  </si>
  <si>
    <t>Exact reviewer TRL range strings</t>
  </si>
  <si>
    <t>Do not collapse ranges post hoc</t>
  </si>
  <si>
    <t>XT10</t>
  </si>
  <si>
    <t>Publication period × evidence maturity</t>
  </si>
  <si>
    <t>RQ1/RQ6/RQ7</t>
  </si>
  <si>
    <t>Four periods × applicable EM</t>
  </si>
  <si>
    <t>Stacked bar / heatmap</t>
  </si>
  <si>
    <t>Assess temporal pattern without causal claims</t>
  </si>
  <si>
    <t>Cross-Tabulation Templates — Populate After Final S4 Coding</t>
  </si>
  <si>
    <t>XT1 ED × RT</t>
  </si>
  <si>
    <t>Row</t>
  </si>
  <si>
    <t>RT1</t>
  </si>
  <si>
    <t>RT2</t>
  </si>
  <si>
    <t>RT3</t>
  </si>
  <si>
    <t>RT4</t>
  </si>
  <si>
    <t>RT5</t>
  </si>
  <si>
    <t>RT6</t>
  </si>
  <si>
    <t>ED1</t>
  </si>
  <si>
    <t>ED2</t>
  </si>
  <si>
    <t>ED3</t>
  </si>
  <si>
    <t>ED4</t>
  </si>
  <si>
    <t>XT3 ED × LC</t>
  </si>
  <si>
    <t>LC1</t>
  </si>
  <si>
    <t>LC2</t>
  </si>
  <si>
    <t>LC3</t>
  </si>
  <si>
    <t>LC4</t>
  </si>
  <si>
    <t>LC5</t>
  </si>
  <si>
    <t>LC6</t>
  </si>
  <si>
    <t>LC7</t>
  </si>
  <si>
    <t>LC8</t>
  </si>
  <si>
    <t>XT4 ED × EV</t>
  </si>
  <si>
    <t>EV0</t>
  </si>
  <si>
    <t>EV1</t>
  </si>
  <si>
    <t>EV2</t>
  </si>
  <si>
    <t>EV3</t>
  </si>
  <si>
    <t>EV4</t>
  </si>
  <si>
    <t>EV5</t>
  </si>
  <si>
    <t>EV6</t>
  </si>
  <si>
    <t>EV7</t>
  </si>
  <si>
    <t>EV8</t>
  </si>
  <si>
    <t>EV9</t>
  </si>
  <si>
    <t>EV10</t>
  </si>
  <si>
    <t>EV11</t>
  </si>
  <si>
    <t>XT5 ED × EM</t>
  </si>
  <si>
    <t>XT8 LC × EV</t>
  </si>
  <si>
    <t>XT10 Period × EM</t>
  </si>
  <si>
    <t>2016–2019</t>
  </si>
  <si>
    <t>2020–2022</t>
  </si>
  <si>
    <t>2023–2024</t>
  </si>
  <si>
    <t>2025–2026</t>
  </si>
  <si>
    <t>Visualization Specifications and Interpretation Rules</t>
  </si>
  <si>
    <t>Output ID</t>
  </si>
  <si>
    <t>Visualization</t>
  </si>
  <si>
    <t>Primary data</t>
  </si>
  <si>
    <t>Encoding</t>
  </si>
  <si>
    <t>Denominator / scale</t>
  </si>
  <si>
    <t>Required annotation</t>
  </si>
  <si>
    <t>Avoid</t>
  </si>
  <si>
    <t>Status</t>
  </si>
  <si>
    <t>Planned manuscript location</t>
  </si>
  <si>
    <t>V1</t>
  </si>
  <si>
    <t>PRISMA-style flow diagram</t>
  </si>
  <si>
    <t>Selection counts</t>
  </si>
  <si>
    <t>Flow boxes/arrows</t>
  </si>
  <si>
    <t>Record counts</t>
  </si>
  <si>
    <t>Transparent selection reporting</t>
  </si>
  <si>
    <t>Database counts, duplicates, exclusions, snowballing</t>
  </si>
  <si>
    <t>Mixing selection counts with synthesis outputs</t>
  </si>
  <si>
    <t>Methods/Results</t>
  </si>
  <si>
    <t>V2</t>
  </si>
  <si>
    <t>Annual publication line chart</t>
  </si>
  <si>
    <t>Year counts</t>
  </si>
  <si>
    <t>Year x; count y</t>
  </si>
  <si>
    <t>Show publication trend</t>
  </si>
  <si>
    <t>Final N and search date</t>
  </si>
  <si>
    <t>Interpreting growth as quality/maturity</t>
  </si>
  <si>
    <t>V3</t>
  </si>
  <si>
    <t>Horizontal bar chart</t>
  </si>
  <si>
    <t>Facet counts</t>
  </si>
  <si>
    <t>Category vs count</t>
  </si>
  <si>
    <t>Total included denominator</t>
  </si>
  <si>
    <t>Show distribution</t>
  </si>
  <si>
    <t>Multi-label note</t>
  </si>
  <si>
    <t>Forcing multi-label totals to 100%</t>
  </si>
  <si>
    <t>RQ1–RQ4</t>
  </si>
  <si>
    <t>V4</t>
  </si>
  <si>
    <t>Stacked bar chart</t>
  </si>
  <si>
    <t>Period × EM or domain × EM</t>
  </si>
  <si>
    <t>Raw or row-% stacks</t>
  </si>
  <si>
    <t>EM-applicable denominator</t>
  </si>
  <si>
    <t>Compare maturity composition</t>
  </si>
  <si>
    <t>Raw vs normalized stated</t>
  </si>
  <si>
    <t>Including EM-not-applicable studies</t>
  </si>
  <si>
    <t>V5</t>
  </si>
  <si>
    <t>Cross-tabs</t>
  </si>
  <si>
    <t>Cell color = study count</t>
  </si>
  <si>
    <t>Raw count</t>
  </si>
  <si>
    <t>Expose concentration/gaps</t>
  </si>
  <si>
    <t>Cell counts + sparsity caution</t>
  </si>
  <si>
    <t>Interpreting color as effect size</t>
  </si>
  <si>
    <t>V6</t>
  </si>
  <si>
    <t>Lifecycle coverage matrix</t>
  </si>
  <si>
    <t>ED × LC</t>
  </si>
  <si>
    <t>Cell count / optional %</t>
  </si>
  <si>
    <t>Clearly stated denominator</t>
  </si>
  <si>
    <t>Show lifecycle gaps</t>
  </si>
  <si>
    <t>Domain denominator if % used</t>
  </si>
  <si>
    <t>Coding incidental mentions</t>
  </si>
  <si>
    <t>V7</t>
  </si>
  <si>
    <t>ED × EM</t>
  </si>
  <si>
    <t>Cell count</t>
  </si>
  <si>
    <t>EM-applicable studies only</t>
  </si>
  <si>
    <t>Show maturity by domain</t>
  </si>
  <si>
    <t>EM analytical-instrument note</t>
  </si>
  <si>
    <t>Treating EM as external standard</t>
  </si>
  <si>
    <t>V8</t>
  </si>
  <si>
    <t>Bubble plot</t>
  </si>
  <si>
    <t>Two classification dimensions</t>
  </si>
  <si>
    <t>Bubble size = study count</t>
  </si>
  <si>
    <t>Show dense/sparse intersections</t>
  </si>
  <si>
    <t>Legend + count scale</t>
  </si>
  <si>
    <t>Overloading color/shape/size</t>
  </si>
  <si>
    <t>V9</t>
  </si>
  <si>
    <t>Co-authorship/collaboration network</t>
  </si>
  <si>
    <t>Authors/institutions/countries</t>
  </si>
  <si>
    <t>Nodes/edges</t>
  </si>
  <si>
    <t>Metadata-covered subset</t>
  </si>
  <si>
    <t>Contextual collaboration</t>
  </si>
  <si>
    <t>Coverage, threshold, counting method</t>
  </si>
  <si>
    <t>Treating centrality as quality</t>
  </si>
  <si>
    <t>V10</t>
  </si>
  <si>
    <t>Keyword co-occurrence map</t>
  </si>
  <si>
    <t>Occurrences/co-occurrence</t>
  </si>
  <si>
    <t>Topic context</t>
  </si>
  <si>
    <t>Normalization, threshold, synonym rules</t>
  </si>
  <si>
    <t>Treating frequency as maturity</t>
  </si>
  <si>
    <t>V11</t>
  </si>
  <si>
    <t>Thematic evolution diagram</t>
  </si>
  <si>
    <t>Themes + period</t>
  </si>
  <si>
    <t>Theme flows</t>
  </si>
  <si>
    <t>Unique-study counts</t>
  </si>
  <si>
    <t>Show recurring themes over time</t>
  </si>
  <si>
    <t>Period + codebook version</t>
  </si>
  <si>
    <t>Inferring causality from counts</t>
  </si>
  <si>
    <t>RQ8</t>
  </si>
  <si>
    <t>Bibliometric Metadata Staging Table</t>
  </si>
  <si>
    <t>Final include?</t>
  </si>
  <si>
    <t>Title</t>
  </si>
  <si>
    <t>DOI</t>
  </si>
  <si>
    <t>Authors (standardized)</t>
  </si>
  <si>
    <t>Institutions (standardized)</t>
  </si>
  <si>
    <t>Author keywords</t>
  </si>
  <si>
    <t>Index keywords</t>
  </si>
  <si>
    <t>Cited references / reference IDs</t>
  </si>
  <si>
    <t>Metadata completeness note</t>
  </si>
  <si>
    <t>BLOCKBENCH: A Framework for Analyzing Private Blockchains</t>
  </si>
  <si>
    <t>Hyperledger Fabric: A Distributed Operating System for Permissioned Blockchains</t>
  </si>
  <si>
    <t>FastFabric: Scaling Hyperledger Fabric to 20,000 Transactions per Second</t>
  </si>
  <si>
    <t>Reputation-Based Coalition Formation for Secure Self-Organized and Scalable Sharding in IoT Blockchains With Mobile-Edge Computing</t>
  </si>
  <si>
    <t>A Performance-Optimized Consensus Mechanism for Consortium Blockchains Consisting of Trust-Varying Nodes</t>
  </si>
  <si>
    <t>High-performance smart contracts concurrent execution for permissioned blockchain using SGX</t>
  </si>
  <si>
    <t>Blockchain Assisted Decentralized Federated Learning (BLADE-FL): Performance Analysis and Resource Allocation</t>
  </si>
  <si>
    <t>A Flexible Sharding Blockchain Protocol Based on Cross-Shard Byzantine Fault Tolerance</t>
  </si>
  <si>
    <t>HyperMaze: Towards Privacy-Preserving and Scalable Permissioned Blockchain</t>
  </si>
  <si>
    <t>A Vehicular Trust Blockchain Framework With Scalable Byzantine Consensus</t>
  </si>
  <si>
    <t>CHERUBIM: A Secure and Highly Parallel Cross-Shard Consensus Using Quadruple Pipelined Two-Phase Commit for Sharding Blockchains</t>
  </si>
  <si>
    <t>ICOE: A Lightweight Group-Consensus-Based Off-Chain Execution Model for Smart Contract-Based Industrial Applications</t>
  </si>
  <si>
    <t>Lightweight, geo-scalable deterministic blockchain design for 5G networks sliced applications with hierarchical CFT/BFT consensus groups, IPFS and novel hardware design</t>
  </si>
  <si>
    <t>Mobile Smart Contracts: Exploring Scalability Challenges and Consensus Mechanisms</t>
  </si>
  <si>
    <t>RaftOptima: An Optimised Raft With Enhanced Fault Tolerance, and Increased Scalability With Low Latency</t>
  </si>
  <si>
    <t>Scaling Byzantine Fault-Tolerant Consensus With Optimized Shading Scheme</t>
  </si>
  <si>
    <t>Secure and Scalable Cross-Domain Data Sharing in Zero-Trust Cloud-Edge-End Environment Based on Sharding Blockchain</t>
  </si>
  <si>
    <t>X-Shard: Optimistic Cross-Shard Transaction Processing for Sharding-Based Blockchains</t>
  </si>
  <si>
    <t>$\mathsf {JUMBO}$JUMBO: Fully Asynchronous BFT Consensus Made Truly Scalable</t>
  </si>
  <si>
    <t>A Robust Shard Inspection Framework With Efficient Throughput and Energy Consumption for Secure Geolocation-Based Sharded Blockchains</t>
  </si>
  <si>
    <t>EZchain: A Secure Scalable Blockchain Protocol via Passive Sharding</t>
  </si>
  <si>
    <t>LiteChain: A Lightweight Blockchain for Verifiable and Scalable Federated Learning in Massive Edge Networks</t>
  </si>
  <si>
    <t>Performance Modeling of Relay Chain</t>
  </si>
  <si>
    <t>Sparrow: Expediting Smart Contract Execution for Blockchain Sharding via Inter-Shard Caching</t>
  </si>
  <si>
    <t>A Novel Dual-Layer Multi-Shard Blockchain Architecture for Vehicle Data Sharing</t>
  </si>
  <si>
    <t>Atomic Cross-Chain Swaps</t>
  </si>
  <si>
    <t>HyperService: Interoperability and Programmability Across Heterogeneous Blockchains</t>
  </si>
  <si>
    <t>XCLAIM: Trustless, Interoperable, Cryptocurrency-Backed Assets</t>
  </si>
  <si>
    <t>Model-driven approach for the design of Multi-Chain Smart Contracts</t>
  </si>
  <si>
    <t>Towards cross-blockchain smart contracts</t>
  </si>
  <si>
    <t>Quantitative cooperation analysis among cross-chain smart contracts</t>
  </si>
  <si>
    <t>SynergyChain: A Multichain-Based Data-Sharing Framework With Hierarchical Access Control</t>
  </si>
  <si>
    <t>Fedidchain: An Innovative Blockchain-Enabled Framework for Cross-Border Interoperability and Trust Management in Identity Federation Systems</t>
  </si>
  <si>
    <t>Subscription-Based State Access for Cross-Chain Smart Contracts</t>
  </si>
  <si>
    <t>Automated Gateways: A Smart Contract-Powered Solution for Interoperability Across Blockchains</t>
  </si>
  <si>
    <t>Towards Efficient Consistency Auditing of Dynamic Data in Cross-Chain Interaction</t>
  </si>
  <si>
    <t>A Verifiable Privacy-Preserving Cross-Chain Protocol for Trusted Vehicle Edge Computing</t>
  </si>
  <si>
    <t>EquiLink Bridge: A Semi-Custodial Approach to Cross-Chain Transactions via TEE</t>
  </si>
  <si>
    <t>Hybrid Relay Architecture: A Decentralized and Semantically-Agnostic Interoperability Framework for Blockchain</t>
  </si>
  <si>
    <t>ShiftHub: Enabling Atomic, Unlinkable, and Practical m~1 Cross-Chain Transfer</t>
  </si>
  <si>
    <t>VeCroToken: An Efficient, Verifiable, and Privacy-Preserving Cross-Chain Model for Consortium Blockchains Based on zk-SNARKs</t>
  </si>
  <si>
    <t>Blockchain-oriented Software Engineering: Challenges and New Directions</t>
  </si>
  <si>
    <t>Understanding the Motivations, Challenges and Needs of Blockchain Software Developers: A Survey</t>
  </si>
  <si>
    <t>ABCDE—Agile Block Chain DApp Engineering</t>
  </si>
  <si>
    <t>ChainIDE 2.0: Facilitating Smart Contract Development for Consortium Blockchain</t>
  </si>
  <si>
    <t>The importance of testing in the early stages of smart contract development life cycle</t>
  </si>
  <si>
    <t>Blockchain-Based Software Architecture Development for Service Requirements With Smart Contracts</t>
  </si>
  <si>
    <t>Integrated model-driven engineering of blockchain applications for business processes and asset management</t>
  </si>
  <si>
    <t>What Do Programmers Discuss About Blockchain? A Case Study on the Use of Balanced LDA and the Reference Architecture of a Domain to Capture Online Discussions About Blockchain Platforms Across Stack Exchange Communities</t>
  </si>
  <si>
    <t>Solidity Code Generation From UML State Machines in Model-Driven Smart Contract Development</t>
  </si>
  <si>
    <t>A Reuse-Oriented Visual Smart Contract Code Generator for Efficient Development of Complex Multi-Party Interaction Scenarios</t>
  </si>
  <si>
    <t>A Smart Contracts Repository for Top Trending Contracts</t>
  </si>
  <si>
    <t>MDA-Based Approach for Blockchain Smart Contract Development</t>
  </si>
  <si>
    <t>TABS: Transforming automatically BPMN models into blockchain smart contracts</t>
  </si>
  <si>
    <t>A large-scale exploratory study on the proxy pattern in Ethereum</t>
  </si>
  <si>
    <t>Benchmarking Large Language Models for Ethereum Smart Contract Development</t>
  </si>
  <si>
    <t>Broken Agreement: The Evolution of Solidity Error Handling</t>
  </si>
  <si>
    <t>SCEditor: A Graphical Editor Prototype for Smart Contract Design and Development</t>
  </si>
  <si>
    <t>Characterizing Smart Contract Evolution</t>
  </si>
  <si>
    <t>Code Cloning in Solidity Smart Contracts: Prevalence, Evolution, and Impact on Development</t>
  </si>
  <si>
    <t>Emphasizing the Early Phases of the Software Development Process Before Deploying Smart Contracts</t>
  </si>
  <si>
    <t>EvoChain: A Framework for Tracking and Visualizing Smart Contract Evolution</t>
  </si>
  <si>
    <t>SmartUpdater: Enabling Transparent, Automated, and Secure Maintenance of Stateful Smart Contracts</t>
  </si>
  <si>
    <t>Model-Driven Full-Lifecycle Support Reference Framework for Blockchain-Based Application Development</t>
  </si>
  <si>
    <t>Making Smart Contracts Smarter</t>
  </si>
  <si>
    <t>Securify: Practical Security Analysis of Smart Contracts</t>
  </si>
  <si>
    <t>ZEUS: Analyzing Safety of Smart Contracts</t>
  </si>
  <si>
    <t>Formal verification of blockchain smart contract based on colored petri net models</t>
  </si>
  <si>
    <t>Clairvoyance: Cross-contract Static Analysis for Detecting Practical Reentrancy Vulnerabilities in Smart Contracts</t>
  </si>
  <si>
    <t>Smart Contracts Vulnerability Auditing With Multi-Semantics</t>
  </si>
  <si>
    <t>WANA: Symbolic Execution of Wasm Bytecode for Extensible Smart Contract Vulnerability Detection</t>
  </si>
  <si>
    <t>An Improved Vulnerability Detection System of Smart Contracts Based on Symbolic Execution</t>
  </si>
  <si>
    <t>CBGRU: A Detection Method of Smart Contract Vulnerability Based on a Hybrid Model</t>
  </si>
  <si>
    <t>Park: Accelerating smart contract vulnerability detection via parallel-fork symbolic execution</t>
  </si>
  <si>
    <t>Reentrancy Vulnerability Detection and Localization: A Deep Learning Based Two-phase Approach</t>
  </si>
  <si>
    <t>Smart contract vulnerability detection combined with multi-objective detection</t>
  </si>
  <si>
    <t>Smart Contract Vulnerability Detection Model Based on Siamese Network (SCVSN): A Case Study of Reentrancy Vulnerability</t>
  </si>
  <si>
    <t>AChecker: Statically Detecting Smart Contract Access Control Vulnerabilities</t>
  </si>
  <si>
    <t>An Efficient Smart Contract Vulnerability Detector Based on Semantic Contract Graphs Using Approximate Graph Matching</t>
  </si>
  <si>
    <t>Combine sliced joint graph with graph neural networks for smart contract vulnerability detection</t>
  </si>
  <si>
    <t>Contextual Language Model and Transfer Learning for Reentrancy Vulnerability Detection in Smart Contracts</t>
  </si>
  <si>
    <t>Correct-by-Design Interacting Smart Contracts and a Systematic Approach for Verifying ERC20 and ERC721 Contracts with VeriSolid</t>
  </si>
  <si>
    <t>Cross-Modality Mutual Learning for Enhancing Smart Contract Vulnerability Detection on Bytecode</t>
  </si>
  <si>
    <t>MANDO-HGT: Heterogeneous Graph Transformers for Smart Contract Vulnerability Detection</t>
  </si>
  <si>
    <t>PSCVFinder: A Prompt-Tuning Based Framework for Smart Contract Vulnerability Detection</t>
  </si>
  <si>
    <t>Smart Contract Vulnerability Detection Based on Hybrid Attention Mechanism Model</t>
  </si>
  <si>
    <t>Smart Contract Vulnerability Detection Techniques for Hyperledger Fabric</t>
  </si>
  <si>
    <t>Enhancing Oyente: four new vulnerability detections for improved smart contract security analysis</t>
  </si>
  <si>
    <t>SGDL: Smart contract vulnerability generation via deep learning</t>
  </si>
  <si>
    <t>Smart Contract Vulnerability Detection Based on AST-Augmented Heterogeneous Graphs</t>
  </si>
  <si>
    <t>Contractsentry: a static analysis tool for smart contract vulnerability detection</t>
  </si>
  <si>
    <t>CSAFuzzer: Fuzzing smart contracts combining with static analysis</t>
  </si>
  <si>
    <t>Vulseye: Detect Smart Contract Vulnerabilities via Stateful Directed Graybox Fuzzing</t>
  </si>
  <si>
    <t>Trace: Securing Smart Contract Repository Against Access Control Vulnerability</t>
  </si>
  <si>
    <t>Conditional Bibliometric Analysis Plan</t>
  </si>
  <si>
    <t>Analysis</t>
  </si>
  <si>
    <t>Required metadata</t>
  </si>
  <si>
    <t>Coverage check</t>
  </si>
  <si>
    <t>Counting method</t>
  </si>
  <si>
    <t>Threshold / parameter</t>
  </si>
  <si>
    <t>Normalization</t>
  </si>
  <si>
    <t>Primary output</t>
  </si>
  <si>
    <t>Interpretation limit</t>
  </si>
  <si>
    <t>Execute?</t>
  </si>
  <si>
    <t>Notes</t>
  </si>
  <si>
    <t>Hybrid Deductive–Inductive Thematic Synthesis: Seed Codebook</t>
  </si>
  <si>
    <t>Code</t>
  </si>
  <si>
    <t>Seed theme</t>
  </si>
  <si>
    <t>Definition</t>
  </si>
  <si>
    <t>Include</t>
  </si>
  <si>
    <t>Exclude</t>
  </si>
  <si>
    <t>Typical evidence</t>
  </si>
  <si>
    <t>Inductive extension rule</t>
  </si>
  <si>
    <t>TH1</t>
  </si>
  <si>
    <t>Scalability / performance barrier</t>
  </si>
  <si>
    <t>Limitations involving throughput, latency, capacity, resource use, storage, network overhead, or scaling.</t>
  </si>
  <si>
    <t>Explicit limitation/barrier/future need tied to performance or scale.</t>
  </si>
  <si>
    <t>Metric reported without a limitation.</t>
  </si>
  <si>
    <t>Bottlenecks, scale limits, resource constraints.</t>
  </si>
  <si>
    <t>Add subtheme only if recurrent and conceptually distinct.</t>
  </si>
  <si>
    <t>TH2</t>
  </si>
  <si>
    <t>Interoperability / integration barrier</t>
  </si>
  <si>
    <t>Limitations in cross-chain, cross-ledger, external-system, data/state/asset integration.</t>
  </si>
  <si>
    <t>Compatibility, bridge/relay, legacy integration issue.</t>
  </si>
  <si>
    <t>Mere use of multiple technologies.</t>
  </si>
  <si>
    <t>Cross-chain trust, semantic compatibility, gateway dependence.</t>
  </si>
  <si>
    <t>TH3</t>
  </si>
  <si>
    <t>Software-engineering / lifecycle gap</t>
  </si>
  <si>
    <t>Missing methods, tools, practices, automation, or support across lifecycle activities.</t>
  </si>
  <si>
    <t>Lifecycle/process/tooling deficiency.</t>
  </si>
  <si>
    <t>Generic “more research needed”.</t>
  </si>
  <si>
    <t>Requirements, testing, deployment, maintenance, DevOps gaps.</t>
  </si>
  <si>
    <t>TH4</t>
  </si>
  <si>
    <t>Smart-contract assurance gap</t>
  </si>
  <si>
    <t>Unresolved security, verification, testing, privacy, correctness, auditability, or usability limitation.</t>
  </si>
  <si>
    <t>Specific assurance weakness/property gap.</t>
  </si>
  <si>
    <t>Network security unrelated to contract assurance.</t>
  </si>
  <si>
    <t>False positives, unsupported vulnerabilities, oracle assumptions.</t>
  </si>
  <si>
    <t>TH5</t>
  </si>
  <si>
    <t>Evaluation / evidence weakness</t>
  </si>
  <si>
    <t>Limitations in design, scale, baselines, replication, datasets, metrics, external validity, or realism.</t>
  </si>
  <si>
    <t>Evidence insufficiency.</t>
  </si>
  <si>
    <t>Technology limitation with adequate evaluation.</t>
  </si>
  <si>
    <t>Small sample, synthetic workload, missing baseline, no replication.</t>
  </si>
  <si>
    <t>TH6</t>
  </si>
  <si>
    <t>Operational / deployment barrier</t>
  </si>
  <si>
    <t>Barrier to pilot, production integration, reliability, monitoring, organizational use, or sustained operation.</t>
  </si>
  <si>
    <t>Explicit obstacle to relevant/operational environment.</t>
  </si>
  <si>
    <t>Lab setup merely described as deployment.</t>
  </si>
  <si>
    <t>Legacy integration, production hardening, monitoring.</t>
  </si>
  <si>
    <t>TH7</t>
  </si>
  <si>
    <t>Organizational / governance / regulatory barrier</t>
  </si>
  <si>
    <t>Organizational, governance, policy, compliance, coordination, incentive, or regulatory obstacle.</t>
  </si>
  <si>
    <t>Stakeholder/governance/regulatory evidence.</t>
  </si>
  <si>
    <t>Pure technical consensus governance.</t>
  </si>
  <si>
    <t>Consortium governance, compliance, multi-party coordination.</t>
  </si>
  <si>
    <t>TH8</t>
  </si>
  <si>
    <t>Reproducibility / replication gap</t>
  </si>
  <si>
    <t>Missing artifacts, inaccessible data/configuration, lack of replication, or insufficient implementation detail.</t>
  </si>
  <si>
    <t>Reproducibility/replication issue.</t>
  </si>
  <si>
    <t>General weak reporting not specific to reproducibility.</t>
  </si>
  <si>
    <t>Unavailable code/data, no replicated benchmark.</t>
  </si>
  <si>
    <t>TH9</t>
  </si>
  <si>
    <t>Economic / resource barrier</t>
  </si>
  <si>
    <t>Cost, energy, infrastructure, transaction fees, staffing, or economic viability issue.</t>
  </si>
  <si>
    <t>Explicit cost/resource barrier.</t>
  </si>
  <si>
    <t>Resource metric with no deployment implication.</t>
  </si>
  <si>
    <t>Gas, cloud cost, energy, hardware requirement.</t>
  </si>
  <si>
    <t>TH10</t>
  </si>
  <si>
    <t>Human / usability / stakeholder barrier</t>
  </si>
  <si>
    <t>Developer/user usability, skills, acceptance, comprehension, training, or stakeholder interaction limitation.</t>
  </si>
  <si>
    <t>Human-centered barrier/future need.</t>
  </si>
  <si>
    <t>Pure technical feature.</t>
  </si>
  <si>
    <t>Developer difficulty, adoption, training.</t>
  </si>
  <si>
    <t>Thematic Coding — Reviewer 1</t>
  </si>
  <si>
    <t>Coding row</t>
  </si>
  <si>
    <t>Excerpt / paraphrased evidence</t>
  </si>
  <si>
    <t>Source page / section</t>
  </si>
  <si>
    <t>Evidence type</t>
  </si>
  <si>
    <t>Seed theme code(s)</t>
  </si>
  <si>
    <t>Emergent theme code / label</t>
  </si>
  <si>
    <t>Barrier type</t>
  </si>
  <si>
    <t>Engineering domain link</t>
  </si>
  <si>
    <t>Lifecycle link</t>
  </si>
  <si>
    <t>EM / readiness link</t>
  </si>
  <si>
    <t>Reviewer memo</t>
  </si>
  <si>
    <t>Thematic Coding — Reviewer 2</t>
  </si>
  <si>
    <t>Thematic Coding Reconciliation and Codebook Refinement</t>
  </si>
  <si>
    <t>Evidence unit / short label</t>
  </si>
  <si>
    <t>Reviewer 1 theme</t>
  </si>
  <si>
    <t>Reviewer 2 theme</t>
  </si>
  <si>
    <t>Agreement?</t>
  </si>
  <si>
    <t>Consensus theme</t>
  </si>
  <si>
    <t>New emergent theme?</t>
  </si>
  <si>
    <t>Definition / boundary change</t>
  </si>
  <si>
    <t>Recoding required?</t>
  </si>
  <si>
    <t>Resolution note</t>
  </si>
  <si>
    <t>Codebook version</t>
  </si>
  <si>
    <t>Evidence-Based Research Agenda Derivation</t>
  </si>
  <si>
    <t>Criterion</t>
  </si>
  <si>
    <t>Operational indicator</t>
  </si>
  <si>
    <t>Threshold / decision rule</t>
  </si>
  <si>
    <t>Justification</t>
  </si>
  <si>
    <t>Fixed before ranking?</t>
  </si>
  <si>
    <t>Version/date</t>
  </si>
  <si>
    <t>Agenda ID</t>
  </si>
  <si>
    <t>Candidate research priority</t>
  </si>
  <si>
    <t>Engineering domain(s)</t>
  </si>
  <si>
    <t>Lifecycle phase(s)</t>
  </si>
  <si>
    <t>Application / architecture context</t>
  </si>
  <si>
    <t>Supporting study count</t>
  </si>
  <si>
    <t>Coverage evidence</t>
  </si>
  <si>
    <t>Lifecycle evidence</t>
  </si>
  <si>
    <t>Maturity evidence</t>
  </si>
  <si>
    <t>Comparative / replication evidence</t>
  </si>
  <si>
    <t>Operational / longitudinal evidence</t>
  </si>
  <si>
    <t>Recurring limitation evidence</t>
  </si>
  <si>
    <t>C1</t>
  </si>
  <si>
    <t>C2</t>
  </si>
  <si>
    <t>C3</t>
  </si>
  <si>
    <t>C4</t>
  </si>
  <si>
    <t>C5</t>
  </si>
  <si>
    <t>C6</t>
  </si>
  <si>
    <t>Criteria met (0–6)</t>
  </si>
  <si>
    <t>Priority decision</t>
  </si>
  <si>
    <t>Rationale / supporting Study IDs</t>
  </si>
  <si>
    <t>Analysis Software and Reproducibility Log</t>
  </si>
  <si>
    <t>Analysis component</t>
  </si>
  <si>
    <t>Software / package</t>
  </si>
  <si>
    <t>Version</t>
  </si>
  <si>
    <t>Operating environment</t>
  </si>
  <si>
    <t>Execution date</t>
  </si>
  <si>
    <t>Key parameters / script location</t>
  </si>
  <si>
    <t>Reproducibility note</t>
  </si>
  <si>
    <t>Planned Tables, Figures, and Analysis Outputs</t>
  </si>
  <si>
    <t>Type</t>
  </si>
  <si>
    <t>Analysis class</t>
  </si>
  <si>
    <t>Output</t>
  </si>
  <si>
    <t>Primary RQ</t>
  </si>
  <si>
    <t>Mandatory / conditional</t>
  </si>
  <si>
    <t>Planned outputs</t>
  </si>
  <si>
    <t>S6 Reporting and Reproducibility Checklist</t>
  </si>
  <si>
    <t>Requirement</t>
  </si>
  <si>
    <t>Completion criterion</t>
  </si>
  <si>
    <t>Completed?</t>
  </si>
  <si>
    <t>Location / note</t>
  </si>
  <si>
    <t>S6 Data Provenance and Companion Files</t>
  </si>
  <si>
    <t>Input / source</t>
  </si>
  <si>
    <t>Used for</t>
  </si>
  <si>
    <t>Path / reference</t>
  </si>
  <si>
    <t>Important limitation</t>
  </si>
  <si>
    <t>Supplementary File S3</t>
  </si>
  <si>
    <t>Codes, EM0–EM7, TRL decision rules</t>
  </si>
  <si>
    <t>Supplementary_File_S3_Classification_Codebook_EM_TRL.xlsx</t>
  </si>
  <si>
    <t>S6 assumes S3 code labels are used exactly.</t>
  </si>
  <si>
    <t>Supplementary File S4</t>
  </si>
  <si>
    <t>Current register and future final consensus extraction</t>
  </si>
  <si>
    <t>Supplementary_File_S4_Standardized_Data_Extraction_Form.xlsx</t>
  </si>
  <si>
    <t>Current S4 workflow status is not final synthesis inclusion.</t>
  </si>
  <si>
    <t>Supplementary File S5</t>
  </si>
  <si>
    <t>Pilot coding / IRR evidence</t>
  </si>
  <si>
    <t>Supplementary_File_S5_Pilot_Coding_and_Inter_Rater_Reliability.xlsx</t>
  </si>
  <si>
    <t>Reliability results require genuine independent coding.</t>
  </si>
  <si>
    <t>Section 3.9 manuscript text</t>
  </si>
  <si>
    <t>Required synthesis and visualization analyses</t>
  </si>
  <si>
    <t>Research Methodology §3.9</t>
  </si>
  <si>
    <t>S6 operationalizes the stated plan without inventing results, software versions, bibliometric thresholds, or agenda cut-offs.</t>
  </si>
  <si>
    <t>This workbook is now a partially populated synthesis working file. Provisional descriptive/cross-dimensional counts, R1 thematic seed coding, bibliometric metadata staging and research-agenda candidates are populated. Final results remain pending the five unresolved records, independent R2 thematic coding, bibliometric execution, pre-specified agenda thresholds, and final figure generation.</t>
  </si>
  <si>
    <t>Current provisional quantitative population = 88 eligible primary studies. PS014 is excluded as secondary evidence. PS015, PS031, PS033, PS040 and PS064 remain pending and are not included in the provisional quantitative counts.</t>
  </si>
  <si>
    <t>Provisional Yes</t>
  </si>
  <si>
    <t>Executed provisionally</t>
  </si>
  <si>
    <t>Data prepared; figure pending</t>
  </si>
  <si>
    <t>Pending metadata / threshold</t>
  </si>
  <si>
    <t>Partial</t>
  </si>
  <si>
    <t>Not executable with current metadata</t>
  </si>
  <si>
    <t>Pending independent coding</t>
  </si>
  <si>
    <t>Provisional Yes — currently eligible</t>
  </si>
  <si>
    <t>General blockchain / distributed-ledger infrastructure</t>
  </si>
  <si>
    <t>Private</t>
  </si>
  <si>
    <t>BC2; BC5</t>
  </si>
  <si>
    <t>RT2; RT1</t>
  </si>
  <si>
    <t>CT9; CT3</t>
  </si>
  <si>
    <t>LC4; LC3</t>
  </si>
  <si>
    <t>EV5; EV4</t>
  </si>
  <si>
    <t>NR</t>
  </si>
  <si>
    <t>Not normalized in current bibliometric metadata</t>
  </si>
  <si>
    <t>Not reported in source metadata</t>
  </si>
  <si>
    <t>Not retrieved</t>
  </si>
  <si>
    <t>NA — citation count not retrieved</t>
  </si>
  <si>
    <t>Scope/version constraints and future re-evaluation are acknowledged.</t>
  </si>
  <si>
    <t>No explicit operational-deployment barrier stated in the supplied source.</t>
  </si>
  <si>
    <t>Evaluate the newer blockchain version in future benchmarking.</t>
  </si>
  <si>
    <t>Yes — comparative/baseline evaluation reported</t>
  </si>
  <si>
    <t>No independent replication identified; public/reproducible artifact support reported</t>
  </si>
  <si>
    <t>No operational deployment demonstrated</t>
  </si>
  <si>
    <t>No longitudinal operational evidence demonstrated</t>
  </si>
  <si>
    <t>Finalized context/S3/gap extraction available; synthesis inclusion remains provisional until the five unresolved records are adjudicated.</t>
  </si>
  <si>
    <t>Permissioned</t>
  </si>
  <si>
    <t>BC3; BC5</t>
  </si>
  <si>
    <t>CT4; CT3</t>
  </si>
  <si>
    <t>LC2; LC3; LC4</t>
  </si>
  <si>
    <t>EV4; EV5</t>
  </si>
  <si>
    <t>The paper acknowledges evaluation/configuration limitations and lists substantial future work.</t>
  </si>
  <si>
    <t>Reviewer synthesis from author-stated limitations/future work: limited validation/integration in a relevant or operational environment; scale/performance/resource constraints; security/privacy/assurance constraints.</t>
  </si>
  <si>
    <t>Extend Fabric evaluation and design work on benchmarks/optimizations, large-deployment scalability, richer consistency/data models, alternative resilience/consensus guarantees, and transaction/ledger privacy.</t>
  </si>
  <si>
    <t>Partial — some comparison/baseline evidence</t>
  </si>
  <si>
    <t>CT4; CT5</t>
  </si>
  <si>
    <t>46 Information and Computing Sciences; 3301 Architecture; 33 Built Environment and Design</t>
  </si>
  <si>
    <t>The evaluation discloses constraints such as testing valid non-conflicting transactions and identifies out-of-scope issues/future work.</t>
  </si>
  <si>
    <t>Reviewer synthesis from author-stated limitations/future work: scale/performance/resource constraints.</t>
  </si>
  <si>
    <t>Compare alternative transaction-pruning approaches under different workloads and further improve Fabric using efficient BFT, faster transaction-ID extraction, faster cryptography, greater channel parallelism and a scalable analytics layer.</t>
  </si>
  <si>
    <t>No independent replication identified; artifact/reproducibility support is partial</t>
  </si>
  <si>
    <t>Internet of Things / cyber-physical systems</t>
  </si>
  <si>
    <t>Not explicitly reported</t>
  </si>
  <si>
    <t>BC8; BC11; BC5</t>
  </si>
  <si>
    <t>CT5; CT1; CT4</t>
  </si>
  <si>
    <t>Blockchains; edge computing; game theory; Internet of Things (IoT); reputation management; security; self-organization; trust; Blockchain; Internet of Things; Throughput; Peer-to-peer computing; Task analysis; Games</t>
  </si>
  <si>
    <t>Model assumptions and security bounds are explicit.</t>
  </si>
  <si>
    <t>No explicit future-research recommendation identified in the supplied full text.</t>
  </si>
  <si>
    <t>Blockchain infrastructure / distributed systems</t>
  </si>
  <si>
    <t>Consortium</t>
  </si>
  <si>
    <t>CT6; CT5</t>
  </si>
  <si>
    <t>Blockchain; trust; node classification; consensus mechanism; Peer-to-peer computing; Security; Fault tolerant systems; Fault tolerance; Throughput; Delays</t>
  </si>
  <si>
    <t>Future work explicitly identifies untested scalability/vulnerability properties and additional blockchain-quality properties.</t>
  </si>
  <si>
    <t>Optimize the consensus method for use on actual industry blockchains and study its scalability, vulnerability, chain quality, common-prefix and chain-growth properties.</t>
  </si>
  <si>
    <t>BC2; BC13; BC5</t>
  </si>
  <si>
    <t>Concurrency; Permissioned blockchain; SGX; Smart contracts</t>
  </si>
  <si>
    <t>The paper discloses SGX EPC constraints and that experiments use SGX debug simulation mode.</t>
  </si>
  <si>
    <t>Reviewer synthesis from author-stated limitations/future work: cost or specialized resource/hardware overhead.</t>
  </si>
  <si>
    <t>BC9; BC5</t>
  </si>
  <si>
    <t>CT3; CT1; CT5</t>
  </si>
  <si>
    <t>EV3; EV5</t>
  </si>
  <si>
    <t>Federated learning; blockchain; lazy client; computing resource allocation; Blockchains; Training; Servers; Computational modeling; Upper bound; Resource management; Privacy</t>
  </si>
  <si>
    <t>The convexity assumption, lazy-client challenge and several unresolved issues are acknowledged in conclusion/future work.</t>
  </si>
  <si>
    <t>Reviewer synthesis from author-stated limitations/future work: scale/performance/resource constraints; cost or specialized resource/hardware overhead; human/coordination/adoption constraints.</t>
  </si>
  <si>
    <t>Design incentives that discourage lazy clients, detect plagiarism/laziness, study learning without the convexity assumption, and analyze optimization under limited energy.</t>
  </si>
  <si>
    <t>BC5</t>
  </si>
  <si>
    <t>Sharding blockchain; consensus; scalability; Byzantine fault tolerance; cross-shard transaction processing; Blockchains; Sharding; Protocols; Security; Parallel processing; Delays</t>
  </si>
  <si>
    <t>Adversary/network assumptions and protocol scope are explicit.</t>
  </si>
  <si>
    <t>CT4; CT6</t>
  </si>
  <si>
    <t>Blockchain; scalability; privacy; zero-knowledge proof; Blockchains; Throughput; Security; Zero knowledge proof; Systems architecture</t>
  </si>
  <si>
    <t>Configuration trade-offs and design constraints are discussed.</t>
  </si>
  <si>
    <t>Transportation / automotive</t>
  </si>
  <si>
    <t>BC8; BC13; BC5</t>
  </si>
  <si>
    <t>CT3; CT4; CT6</t>
  </si>
  <si>
    <t>Trust management; blockchain; multi-shard consensus; Byzantine fault-tolerance; TEE; Blockchains; Peer-to-peer computing; Scalability; Computational modeling; Consensus protocol; Throughput</t>
  </si>
  <si>
    <t>Vehicle mobility and sharding-configuration optimization as unresolved challenges.</t>
  </si>
  <si>
    <t>Address vehicle mobility and optimize sharding configuration for dynamic vehicular topologies while maintaining performance and security.</t>
  </si>
  <si>
    <t>Consensus; pipeline; two-phase commit; Byzantine fault tolerance; sharding blockchain; Blockchains; Sharding; Protocols; Throughput; Complexity theory; Scalability; Relays</t>
  </si>
  <si>
    <t>Protocol assumptions and scope limitations are stated, but empirical-validity and external-validity threats are not systematically discussed.</t>
  </si>
  <si>
    <t>Industrial / manufacturing</t>
  </si>
  <si>
    <t>BC6</t>
  </si>
  <si>
    <t>Blockchain; industrial applications; off-chain; smart contract (SC); transaction</t>
  </si>
  <si>
    <t>Strong coordinator assumptions and compromised-group behavior.</t>
  </si>
  <si>
    <t>Improve the system's access-control management.</t>
  </si>
  <si>
    <t>Telecommunications / networking</t>
  </si>
  <si>
    <t>BC13; BC5</t>
  </si>
  <si>
    <t>EV8; EV4</t>
  </si>
  <si>
    <t>Not reported in the attached/source metadata.</t>
  </si>
  <si>
    <t>Future development is identified.</t>
  </si>
  <si>
    <t>Reviewer synthesis from author-stated limitations/future work: limited validation/integration in a relevant or operational environment.</t>
  </si>
  <si>
    <t>Integrate NB-IoT/LTE-M devices into a larger IoT testbed and extend the 5G-oriented deployment environment.</t>
  </si>
  <si>
    <t>Relevant-environment pilot only; no operational deployment</t>
  </si>
  <si>
    <t>No — secondary study (EC5)</t>
  </si>
  <si>
    <t>Mobile blockchain / smart-contract scalability (secondary review)</t>
  </si>
  <si>
    <t>Not applicable as a single primary system; review covers multiple blockchain types</t>
  </si>
  <si>
    <t>Blockchain; distributed ledger technology; smart contract; scalability; consensus algorithm; proof-of-stake; proof-of-work; peer-to-peer computing; decentralization; Blockchains; Smart contracts; Consensus protocol; Bitcoin; Sharding; Reviews; Proof of Work; Mobile applications</t>
  </si>
  <si>
    <t>NA — excluded secondary study; not included in primary-study gap synthesis.</t>
  </si>
  <si>
    <t>NA — excluded secondary study.</t>
  </si>
  <si>
    <t>NA — excluded secondary study</t>
  </si>
  <si>
    <t>Excluded from primary-study synthesis as a secondary study (EC5).</t>
  </si>
  <si>
    <t>Pending — source/eligibility unresolved</t>
  </si>
  <si>
    <t>Distributed consensus / blockchain-adjacent infrastructure</t>
  </si>
  <si>
    <t>No blockchain/DLT permission model demonstrated in the evaluated system</t>
  </si>
  <si>
    <t>Raft consensus; aliveness; partial network partitions; scalability; proxy leaders; decreased latency; simulation; Blockchains; Consensus algorithm; Consensus protocol; Throughput; Voting; Clustering algorithms</t>
  </si>
  <si>
    <t>UNC — eligibility remains under adjudication; primary-study limitation synthesis is not locked.</t>
  </si>
  <si>
    <t>UNC — source/eligibility issue prevents reliable operational-barrier synthesis.</t>
  </si>
  <si>
    <t>UNC — eligibility remains under adjudication; gap/future-research synthesis is not locked.</t>
  </si>
  <si>
    <t>UNC — source/eligibility unresolved</t>
  </si>
  <si>
    <t>UNC — primary-study eligibility remains under adjudication. The supplied paper evaluates an optimized generic Raft implementation in a simulator/key-value setting, while blockchain is mainly a prospective application; final S3 classification is withheld until the IC4 eligibility decision.</t>
  </si>
  <si>
    <t>CT6; CT4; CT5</t>
  </si>
  <si>
    <t>Blockchain sharding optimization; concurrent Byzantine fault tolerance (BFT); multishard consensus; scalability; Sharding; Protocols; Security; Fault tolerant systems; Fault tolerance; Consensus protocol</t>
  </si>
  <si>
    <t>Assumptions and future industrial-platform integration are mentioned.</t>
  </si>
  <si>
    <t>Implement and integrate the scheme with existing industrial blockchain platforms.</t>
  </si>
  <si>
    <t>BC8; BC10; BC11; BC5</t>
  </si>
  <si>
    <t>CT6; CT4</t>
  </si>
  <si>
    <t>Data sharing; sharding blockchain; cloud-edge-end; zero-trust; access control; Blockchains; Cloud computing; Security; Computer architecture; Protocols; Scalability; Authentication</t>
  </si>
  <si>
    <t>Formal assumptions are explicit.</t>
  </si>
  <si>
    <t>Blockchain scalability; distributed system; optimistic concurrency control; sharding; Blockchains; Throughput; Logic gates; Protocols; Scalability; Resource management</t>
  </si>
  <si>
    <t>Protocol assumptions and future combinations/extensions are discussed.</t>
  </si>
  <si>
    <t>Explore combining PolyShard-style coded computing with X-shard's optimistic processing and develop more specific migration protocols.</t>
  </si>
  <si>
    <t>CT6</t>
  </si>
  <si>
    <t>Blockchain consensus; byzantine fault tolerance; asynchronous byzantine agreement; Scalability; Throughput; Consensus protocol; Electronic mail; Complexity theory; Costs; Bandwidth; Software; Local area networks; Censorship</t>
  </si>
  <si>
    <t>Remaining O(n^3) behavior and malicious-attack performance degradation as unresolved limitations/future research.</t>
  </si>
  <si>
    <t>Reviewer synthesis from author-stated limitations/future work: scale/performance/resource constraints; security/privacy/assurance constraints; cost or specialized resource/hardware overhead.</t>
  </si>
  <si>
    <t>Reduce FIN-NG's cubic communication cost and improve JUMBO's performance under malicious attacks.</t>
  </si>
  <si>
    <t>Energy / smart grid</t>
  </si>
  <si>
    <t>Blockchain; Internet of Things (IoT); optimization; resource management; security; sharding; Inspection; Blockchains; Internet of Things; Delays; Peer-to-peer computing; Throughput; Geology; Energy consumption</t>
  </si>
  <si>
    <t>Several threat models and attacks are analyzed.</t>
  </si>
  <si>
    <t>Reviewer synthesis from author-stated limitations/future work: security/privacy/assurance constraints.</t>
  </si>
  <si>
    <t>EV4; EV3</t>
  </si>
  <si>
    <t>Blockchain; distributed systems; distributed consensus; secure transactions; Sharding; Protocols; Security; Blockchains; Costs; Scalability; Bitcoin; Bandwidth; Voting; Throughput</t>
  </si>
  <si>
    <t>Equipment-related limits on larger parameter settings and discuss protocol trade-offs and boundaries.</t>
  </si>
  <si>
    <t>Evaluate larger parameter settings when hardware permits and further investigate the protocol's practical trade-offs and operating boundaries.</t>
  </si>
  <si>
    <t>BC9; BC11; BC5</t>
  </si>
  <si>
    <t>CT4; CT1; CT6</t>
  </si>
  <si>
    <t>Edge computing; blockchain; federated learning; privacy preservation; Blockchains; Training; Computational modeling; Servers; Scalability; Mobile computing; Consensus protocol; Standards; Optimization</t>
  </si>
  <si>
    <t>Model-privacy leakage from full-model verification and discusses differential-privacy/homomorphic-encryption trade-offs for future work.</t>
  </si>
  <si>
    <t>Develop lightweight verification mechanisms that preserve model privacy and are robust to inference attacks, including privacy-enhancing alternatives.</t>
  </si>
  <si>
    <t>Cross-chain infrastructure / interoperability</t>
  </si>
  <si>
    <t>Cross-chain / multi-chain</t>
  </si>
  <si>
    <t>BC7; BC5</t>
  </si>
  <si>
    <t>CT1; CT8</t>
  </si>
  <si>
    <t>LC1; LC4</t>
  </si>
  <si>
    <t>Blockchain; performance analysis; relay chain; cross-chain transactions; batch arrival and bulk service; modeling; Relays; Blockchains; Fabrics; Bitcoin; Analytical models; Delays; Protocols; Packaging; Mathematical models</t>
  </si>
  <si>
    <t>The conclusion explicitly bounds the current analysis to relay-chain performance and identifies full ecosystem/multi-chain/sharding extensions as future work.</t>
  </si>
  <si>
    <t>Reviewer synthesis from author-stated limitations/future work: scale/performance/resource constraints; heterogeneous-platform/interoperability constraints.</t>
  </si>
  <si>
    <t>Extend relay-chain analysis to the wider cross-chain ecosystem, including multiple chains and sharding configurations.</t>
  </si>
  <si>
    <t>Metrics justified; explicit comparative baseline not clearly identified</t>
  </si>
  <si>
    <t>CT5; CT4</t>
  </si>
  <si>
    <t>Blockchain; caching; sharding; smart contracts</t>
  </si>
  <si>
    <t>The benchmark's abstractions and security assumptions are discussed.</t>
  </si>
  <si>
    <t>BC8; BC5</t>
  </si>
  <si>
    <t>Internet of Vehicles (IoV); blockchain; data sharing; evolutionary game theory; incentive mechanism; Blockchains; Vehicle dynamics; Scalability; Sharding; Security; Computer architecture; Games; Costs; Consensus protocol; Complexity theory</t>
  </si>
  <si>
    <t>The current 20–80 vehicle scale and lists 500+ vehicles, privacy, cross-shard communication, long-term incentives and real deployment as future work.</t>
  </si>
  <si>
    <t>Reviewer synthesis from author-stated limitations/future work: limited validation/integration in a relevant or operational environment; security/privacy/assurance constraints; human/coordination/adoption constraints.</t>
  </si>
  <si>
    <t>Evaluate 500+ vehicle scenarios and real deployment; strengthen privacy protection, cross-shard coordination and long-term incentive stability.</t>
  </si>
  <si>
    <t>BC7</t>
  </si>
  <si>
    <t>The concluding remarks explicitly discuss denial-of-service exposure, common-knowledge assumptions and multiple open problems/extensions.</t>
  </si>
  <si>
    <t>Reviewer synthesis from author-stated limitations/future work: heterogeneous-platform/interoperability constraints.</t>
  </si>
  <si>
    <t>Develop mechanisms for dynamically constructing/propagating common knowledge and address open problems in atomic cross-chain transactions, including DoS exposure.</t>
  </si>
  <si>
    <t>NA — comparative evaluation not applicable to study design</t>
  </si>
  <si>
    <t>NA — replication artifact criterion not applicable</t>
  </si>
  <si>
    <t>Blockchain Interoperability; Cross-chain dApps; Smart Contract</t>
  </si>
  <si>
    <t>Privacy and platform-dependency limitations/future extensions are discussed, but empirical validity is not organized in a dedicated threats section.</t>
  </si>
  <si>
    <t>Reviewer synthesis from author-stated limitations/future work: security/privacy/assurance constraints; heterogeneous-platform/interoperability constraints.</t>
  </si>
  <si>
    <t>Add support for privacy-preserving blockchains and continue scaling/validating HyperService across more heterogeneous chains.</t>
  </si>
  <si>
    <t>Public / Ethereum-EVM ecosystem; Cross-chain / multi-chain</t>
  </si>
  <si>
    <t>BC7; BC1</t>
  </si>
  <si>
    <t>CT6; CT1</t>
  </si>
  <si>
    <t>blockchain; interoperability; CBA; Bitcoin; Ethereum</t>
  </si>
  <si>
    <t>The security/practicality analysis discusses relay-chain assumptions, confirmation security, DoS/extortion, hard-fork and TEE-related limitations and future extensions.</t>
  </si>
  <si>
    <t>Study alternative cryptocurrency-backed assets, including asymmetric and non-fungible forms, and extend practicality/security analysis.</t>
  </si>
  <si>
    <t>Blockchain software engineering / developer tooling</t>
  </si>
  <si>
    <t>ED2; ED3</t>
  </si>
  <si>
    <t>CT2; CT3</t>
  </si>
  <si>
    <t>LC2; LC3</t>
  </si>
  <si>
    <t>formal verification; model-driven engineering; multichain; smart contract</t>
  </si>
  <si>
    <t>That code generation is not finished and positions the current contribution as partial tooling/semantics support.</t>
  </si>
  <si>
    <t>Complete the unfinished code-generation capability and move the current semantics/tooling toward a fuller executable development workflow.</t>
  </si>
  <si>
    <t>Blockchain; Interoperability; Smart Contracts</t>
  </si>
  <si>
    <t>Security discussion covers dishonest validators/intermediaries, Sybil concerns, selection assumptions and further cost/voting/blockchain-support limitations.</t>
  </si>
  <si>
    <t>Reviewer synthesis from author-stated limitations/future work: heterogeneous-platform/interoperability constraints; cost or specialized resource/hardware overhead.</t>
  </si>
  <si>
    <t>Reduce cross-chain call costs and strengthen validator/intermediary selection, voting and broader blockchain support.</t>
  </si>
  <si>
    <t>All-trigger; Cross-chain cooperation; Dynamic-trigger; Quantitative condition-trigger model</t>
  </si>
  <si>
    <t>UNC — supplied source is a TechRxiv preprint rather than the peer-reviewed Version of Record; limitation coding is not locked.</t>
  </si>
  <si>
    <t>UNC — supplied source is a preprint rather than the peer-reviewed Version of Record; future-research coding is not locked.</t>
  </si>
  <si>
    <t>UNC — the supplied PS031 file is the TechRxiv preprint, whereas the study register represents the later peer-reviewed version. Final classification, evidence maturity and TRL must be locked against the Version of Record.</t>
  </si>
  <si>
    <t>Smart-contract security / software assurance</t>
  </si>
  <si>
    <t>ED2; ED4</t>
  </si>
  <si>
    <t>No explicit author-stated study limitation or threats-to-validity discussion identified in the supplied full text.</t>
  </si>
  <si>
    <t>Digital identity</t>
  </si>
  <si>
    <t>Attribute aggregation; Blockchain; Identity federation; Interoperability; Smart contract trustworthiness</t>
  </si>
  <si>
    <t>UNC — only the first page/abstract is available; author-stated limitations cannot be assessed from the incomplete source.</t>
  </si>
  <si>
    <t>UNC — complete full text is unavailable; future-research recommendations cannot be assessed reliably.</t>
  </si>
  <si>
    <t>UNC — only the first page/abstract is available. Full-text evidence is insufficient to verify contribution, lifecycle, evaluation method, evidence maturity or reviewer TRL.</t>
  </si>
  <si>
    <t>Permissioned; Public / Ethereum-EVM ecosystem; Cross-chain / multi-chain</t>
  </si>
  <si>
    <t>BC7; BC1; BC3</t>
  </si>
  <si>
    <t>CT2; CT4; CT6</t>
  </si>
  <si>
    <t>blockchain; Cross-Chain; Oracle gateway; smart contract; subscribe</t>
  </si>
  <si>
    <t>Cross-chain state verification and Oracle-gateway trust dependency as future improvement areas.</t>
  </si>
  <si>
    <t>Optimize cross-chain state verification and reduce trust dependency on the Oracle gateway.</t>
  </si>
  <si>
    <t>Permissioned; Cross-chain / multi-chain</t>
  </si>
  <si>
    <t>BC7; BC3</t>
  </si>
  <si>
    <t>CT3; CT6; CT7</t>
  </si>
  <si>
    <t>Extend the gateway solution with atomic swaps and token transfers across multiple blockchains.</t>
  </si>
  <si>
    <t>CT2; CT1; CT6</t>
  </si>
  <si>
    <t>Cross-chain; data consistency auditing; data dynamism; advanced gamma multi-signature scheme; Blockchains; Security; Public key; Interoperability; Data models; Connectors; Aerodynamics; Business; Memory; Logistics</t>
  </si>
  <si>
    <t>The conclusion identifies deployment on public blockchains such as Ethereum as future work.</t>
  </si>
  <si>
    <t>Reviewer synthesis from author-stated limitations/future work: limited validation/integration in a relevant or operational environment; scale/performance/resource constraints.</t>
  </si>
  <si>
    <t>Deploy EDCA on a public blockchain such as Ethereum to assess efficiency and scalability in that environment.</t>
  </si>
  <si>
    <t>BC7; BC3; BC8; BC11; BC13</t>
  </si>
  <si>
    <t>Threshold homomorphic encryption; edge network; blockchain; Protocols; Protection; Blockchains; Security; Privacy; Edge computing; Data privacy; Relays; Scalability; Reliability</t>
  </si>
  <si>
    <t>BC7; BC13</t>
  </si>
  <si>
    <t>CT4; CT6; CT7</t>
  </si>
  <si>
    <t>Blockchain; cross-chain bridge; hash time-lock contract; semi-custodial model; trusted execution environment; Bridges; Modeling; Security; Contracts; Protocols; Design methodology; Costing; Costs; TV; Timing</t>
  </si>
  <si>
    <t>Lack of transaction privacy and limited current support for heterogeneous/non-EVM chains and L2 systems.</t>
  </si>
  <si>
    <t>Improve transaction privacy and extend EquiLink to heterogeneous non-EVM chains and Layer-2 rollups.</t>
  </si>
  <si>
    <t>CT4; CT3; CT6</t>
  </si>
  <si>
    <t>Blockchain interoperability; cross-chain communication; verifiable computation; relay system; Modeling; Relays; Security; Routing; Architecture; Computer architecture; Loading; Educational institutions; Probability; Protocols</t>
  </si>
  <si>
    <t>Not available — actual PS040 full text missing</t>
  </si>
  <si>
    <t>$m \sim 1$ cross-chain transfer; atomicity; unlinkability; transaction aggregability; non-collateralization; Blockchains; Receivers; Protocols; Computer science; Synchronization; Artificial intelligence; Security; Observers; Authentication; Asset management</t>
  </si>
  <si>
    <t>UNC — actual PS040 (ShiftHub) full text is missing.</t>
  </si>
  <si>
    <t>UNC — the actual PS040 (ShiftHub) full text is missing. The file previously named PS040.pdf contains PS039 (Celestial), so no PS040 coding is inferred from that file.</t>
  </si>
  <si>
    <t>Permissioned; Consortium; Cross-chain / multi-chain</t>
  </si>
  <si>
    <t>CT1; CT6</t>
  </si>
  <si>
    <t>Consortium blockchain; privacy preservation; verifiability; cross-chain; zero-knowledge proof; Privacy; Blockchains; Cryptography; Relays; Protocols; Circuits; Data privacy; Law; Fabrics; Distributed ledger</t>
  </si>
  <si>
    <t>Homogeneous-chain scope, trusted setup/key rotation, auditability and richer privacy as deployment limitations/extensions.</t>
  </si>
  <si>
    <t>Reviewer synthesis from author-stated limitations/future work: limited validation/integration in a relevant or operational environment; security/privacy/assurance constraints; heterogeneous-platform/interoperability constraints; human/coordination/adoption constraints.</t>
  </si>
  <si>
    <t>Support heterogeneous cross-chain scenarios and develop privacy-preserving regulatory-audit mechanisms with stronger auditability.</t>
  </si>
  <si>
    <t>CT12; CT10</t>
  </si>
  <si>
    <t>LC1; LC2; LC3; LC4</t>
  </si>
  <si>
    <t>blockchain; software engineering; smart contracts; cryptocurrencies</t>
  </si>
  <si>
    <t>Reviewer synthesis from author-stated limitations/future work: human/coordination/adoption constraints.</t>
  </si>
  <si>
    <t>Strengthen blockchain-oriented software development through better testing, large-team collaboration and smart-contract development support.</t>
  </si>
  <si>
    <t>NA — EM not applicable</t>
  </si>
  <si>
    <t>CT12</t>
  </si>
  <si>
    <t>LC1; LC3</t>
  </si>
  <si>
    <t>Blockchain; Cryptocurrency; Survey; Bitcoin; Ethereum; Motivation; Challenges</t>
  </si>
  <si>
    <t>Survey validity is limited by participant selection, an approximately 13% response rate and possible non-response bias; respondents mainly represent leading blockchain projects, so smaller-project challenges may differ.</t>
  </si>
  <si>
    <t>Develop fuzzers for additional blockchain systems and automate documentation generation to reduce newcomer/developer barriers.</t>
  </si>
  <si>
    <t>Public / Ethereum-EVM ecosystem</t>
  </si>
  <si>
    <t>BC1</t>
  </si>
  <si>
    <t>RT3; RT1</t>
  </si>
  <si>
    <t>CT10; CT2</t>
  </si>
  <si>
    <t>LC1; LC2; LC3; LC4; LC5</t>
  </si>
  <si>
    <t>EV8; EV7; EV6</t>
  </si>
  <si>
    <t>Blockchain; Smart contracts; Blockchain-oriented software engineering; UML; DApp design</t>
  </si>
  <si>
    <t>Evidence is based on 14 developers and is scoped primarily to Ethereum/Solidity, limiting broader generalization.</t>
  </si>
  <si>
    <t>Broaden empirical validation beyond the small Ethereum/Solidity developer sample and assess software-engineering practices across more blockchain projects/platforms.</t>
  </si>
  <si>
    <t>BC3</t>
  </si>
  <si>
    <t>CT7; CT3</t>
  </si>
  <si>
    <t>LC3; LC5</t>
  </si>
  <si>
    <t>Expand ChainIDE to additional public/consortium blockchain systems and investigate cloud IDE support for consortium-oriented financial/banking applications.</t>
  </si>
  <si>
    <t>Yes — EM6; EV9 operational deployment</t>
  </si>
  <si>
    <t>ED3; ED4</t>
  </si>
  <si>
    <t>CT2</t>
  </si>
  <si>
    <t>LC4; LC2; LC3</t>
  </si>
  <si>
    <t>Blockchain; Early testing; Model-based software development; Smart contract</t>
  </si>
  <si>
    <t>The work is explicitly preliminary; model-based testing/tool constraints remain, and industrial validation has not yet been established.</t>
  </si>
  <si>
    <t>Extend smart-contract testing with model-based testing and validate the proposed approach in industrial settings.</t>
  </si>
  <si>
    <t>CT4</t>
  </si>
  <si>
    <t>LC2; LC3; LC5</t>
  </si>
  <si>
    <t>Reviewer synthesis from author-stated limitations/future work: scale/performance/resource constraints; human/coordination/adoption constraints.</t>
  </si>
  <si>
    <t>Develop contract-oriented architectures that can support large-scale, complex service applications and coordination across multiple development teams.</t>
  </si>
  <si>
    <t>CT2; CT7</t>
  </si>
  <si>
    <t>LC2; LC3; LC4; LC5</t>
  </si>
  <si>
    <t>EV6; EV4</t>
  </si>
  <si>
    <t>The conclusion explicitly cautions that the large-scale gas comparison cannot support definitive absolute conclusions and identifies further work.</t>
  </si>
  <si>
    <t>Reviewer synthesis from author-stated limitations/future work: scale/performance/resource constraints; cost or specialized resource/hardware overhead.</t>
  </si>
  <si>
    <t>Extend the MDE approach to support more comprehensive access-control policies across generated smart contracts.</t>
  </si>
  <si>
    <t>CT12; CT1</t>
  </si>
  <si>
    <t>Empirical study; reference architecture; blockchain; stack overflow; stack exchange; Peer-to-peer computing; Computer architecture; Smart contracts; Programming; Bitcoin</t>
  </si>
  <si>
    <t>Threats include dataset-selection bias, subjective interpretation of topic-model outputs and possible errors when mapping architectural information.</t>
  </si>
  <si>
    <t>Further characterize blockchain-community contributors, including contributor evolution, participation patterns and participation motivations.</t>
  </si>
  <si>
    <t>LC3; LC2; LC5</t>
  </si>
  <si>
    <t>EV4; EV2</t>
  </si>
  <si>
    <t>Blockchain; model driven architecture; model-driven development; smart contracts; solidity; state machine; unified modeling language</t>
  </si>
  <si>
    <t>The conclusion identifies remaining methodology-development and broader-platform work.</t>
  </si>
  <si>
    <t>Develop a more expressive formal system and an extensible curated library of reusable specified Solidity code samples.</t>
  </si>
  <si>
    <t>CT7; CT2</t>
  </si>
  <si>
    <t>automatic generation; blockchain; multi-party interaction; smart contract</t>
  </si>
  <si>
    <t>The conclusion identifies continued domain-library expansion, execution monitoring and correctness verification as ongoing work.</t>
  </si>
  <si>
    <t>Expand the domain library and strengthen execution monitoring and correctness verification.</t>
  </si>
  <si>
    <t>CT9; CT12</t>
  </si>
  <si>
    <t>Blockchain; Categorization; Ethereum; Smart Contract; Smart Contract Trends; Smart Contracts Categories</t>
  </si>
  <si>
    <t>The authors explicitly acknowledge poor coverage for 2015–2016 and uneven representation of later years, but provide no formal threats-to-validity analysis.</t>
  </si>
  <si>
    <t>Collect additional design-pattern samples for poorly represented years, especially 2015–2016.</t>
  </si>
  <si>
    <t>BC3; BC1</t>
  </si>
  <si>
    <t>code generation; MDA; model transformation; smart contract; UML</t>
  </si>
  <si>
    <t>Single-case evaluation, usability-study needs, cross-language static-analysis limitations and incomplete lifecycle automation.</t>
  </si>
  <si>
    <t>Conduct broader usability studies, improve cross-language static analysis and automate more of the blockchain application lifecycle.</t>
  </si>
  <si>
    <t>LC3; LC2; LC5; LC6</t>
  </si>
  <si>
    <t>EV2; EV6</t>
  </si>
  <si>
    <t>Blockchain; Business processes modeling notation (BPMN); Discrete event (DE) modeling; Finite state machine (FSM); Hierarchical state machines (HSM); Off-chain computation; Privacy; Smart contract; Smart contract interoperability</t>
  </si>
  <si>
    <t>Unsupported BPMN elements, open long-running transaction semantics, PoC status and scalability/global-clock concerns.</t>
  </si>
  <si>
    <t>Resolve unsupported BPMN elements and long-running-transaction semantics; improve scalability/global-clock handling and the treatment of off-chain storage/documentation.</t>
  </si>
  <si>
    <t>RT3; RT2</t>
  </si>
  <si>
    <t>CT12; CT2; CT11</t>
  </si>
  <si>
    <t>LC7; LC4</t>
  </si>
  <si>
    <t>EV5; EV6</t>
  </si>
  <si>
    <t>Proxy pattern; Proxy; Maintenance; Smart contracts; Ethereum; Blockchain</t>
  </si>
  <si>
    <t>Threats concern vulnerability detection, dataset construction, labelling validity and generalizability beyond the evaluated data.</t>
  </si>
  <si>
    <t>Use the ground-truth dataset for further detector evaluation and pursue additional research opportunities identified from the empirical findings.</t>
  </si>
  <si>
    <t>BC1; BC9</t>
  </si>
  <si>
    <t>CT9; CT7</t>
  </si>
  <si>
    <t>LC3; LC4</t>
  </si>
  <si>
    <t>Benchmark; Dataset; Ethereum; Generative AI; LLM; Smart contracts; Solidity</t>
  </si>
  <si>
    <t>Future work explicitly identifies the need for more use cases, unit tests, static analyzers, fuzzing, formal verification, prompting methods and larger models.</t>
  </si>
  <si>
    <t>Expand use cases and tests and combine LLM synthesis with static analysis, fuzzing, formal verification, improved prompting and larger models.</t>
  </si>
  <si>
    <t>error handling; smart contracts; software evolution; Solidity</t>
  </si>
  <si>
    <t>The heuristics may produce false positives/false negatives; revert-related cases are excluded and the findings may not generalize to all contracts.</t>
  </si>
  <si>
    <t>Reviewer synthesis from author-stated limitations/future work: security/privacy/assurance constraints; human/coordination/adoption constraints.</t>
  </si>
  <si>
    <t>Improve detection of cases where implicit error handling is adequate and conduct additional empirical/human studies to inform Solidity framework design.</t>
  </si>
  <si>
    <t>Blockchain; Metamodel; Model-driven Engineering (MDE); SC Programming; Smart Contract (SC)</t>
  </si>
  <si>
    <t>Overcrowded behavioral diagrams, unsupported statements, absent testing/exception-handling features and need for further validation.</t>
  </si>
  <si>
    <t>Add currently unsupported statements, testing and exception-handling features and conduct further validation/usability evaluation of the abstraction.</t>
  </si>
  <si>
    <t>CT12; CT5; CT7</t>
  </si>
  <si>
    <t>EV5; EV7; EV6</t>
  </si>
  <si>
    <t>Smart Contract; Software Evolution; Code Clone</t>
  </si>
  <si>
    <t>Threats include possible evolution-chain misclassification, code homogeneity, incomplete detection-tool coverage and dataset-dependent conclusions.</t>
  </si>
  <si>
    <t>Use evolution information to support better contract development and improve analysis of harder logic-related vulnerabilities.</t>
  </si>
  <si>
    <t>Blockchain; Clone Evolution; Code Cloning; Solidity Smart Contracts</t>
  </si>
  <si>
    <t>Threats include sensitivity to NiCad configuration, qualitative-coding bias and external-validity limits.</t>
  </si>
  <si>
    <t>BC1; BC13</t>
  </si>
  <si>
    <t>LC1; LC5; LC7</t>
  </si>
  <si>
    <t>Blockchain; smart contract; software-development; upgrading</t>
  </si>
  <si>
    <t>The study explicitly excludes consensus changes, blockchain attacks, inter-microservice security and tunneling from its scope.</t>
  </si>
  <si>
    <t>Investigate excluded software-development concerns such as consensus changes, blockchain attacks, inter-microservice security and tunneling, and address the broader future research questions identified by the study.</t>
  </si>
  <si>
    <t>CT7; CT9</t>
  </si>
  <si>
    <t>LC7; LC6</t>
  </si>
  <si>
    <t>Data completeness, proxy-pattern scope, cross-platform coverage and scalability challenges, with planned enhancements.</t>
  </si>
  <si>
    <t>Improve data completeness, support additional proxy patterns/platforms and strengthen EvoChain scalability and cross-platform coverage.</t>
  </si>
  <si>
    <t>No — no formal comparative baseline</t>
  </si>
  <si>
    <t>LC7; LC3; LC5</t>
  </si>
  <si>
    <t>Participant bias, unsupported contract situations and further integration/automation needs.</t>
  </si>
  <si>
    <t>Recruit a larger and more diverse developer sample, improve study-process recording, add participation incentives and further automate/integrate SmartUpdater.</t>
  </si>
  <si>
    <t>Provisional (preprint): the authors include a 'Known Limitations and Improvements' discussion, but the limitation coding is not locked until the peer-reviewed Version of Record is supplied.</t>
  </si>
  <si>
    <t>Provisional (preprint): enhance automation with NLP, improve cross-stage consistency and extend support to more blockchain platforms.</t>
  </si>
  <si>
    <t>UNC — the supplied PS064 file is explicitly an unreviewed preprint, while the study register represents the peer-reviewed 2026 Version of Record. Final S3 classification, EM and reviewer TRL are withheld until the Version of Record is supplied.</t>
  </si>
  <si>
    <t>The paper discusses false positives, bounded path exploration and detector limitations.</t>
  </si>
  <si>
    <t>Use deeper analyses to resolve difficult cases and evolve Oyente toward a more interactive debugging workflow.</t>
  </si>
  <si>
    <t>RT3; RT2; RT1</t>
  </si>
  <si>
    <t>EV9; EV5</t>
  </si>
  <si>
    <t>Smart contracts; Security analysis; Stratified Datalog</t>
  </si>
  <si>
    <t>Limitations of Securify and of its compliance/violation pattern approach, including unsupported numerical properties and incompleteness tradeoffs.</t>
  </si>
  <si>
    <t>Add numerical analysis to improve Securify precision and support numerical properties.</t>
  </si>
  <si>
    <t>Permissioned; Public / Ethereum-EVM ecosystem</t>
  </si>
  <si>
    <t>Blockchain; Smart Contracts; Model Checking</t>
  </si>
  <si>
    <t>Unsupported Solidity constructs, runtime parameters, virtual functions, assembly and unsupported liveness/trace properties.</t>
  </si>
  <si>
    <t>Extend ZEUS to more Solidity constructs/runtime conditions and to trace/hyper-properties.</t>
  </si>
  <si>
    <t>CT2; CT1</t>
  </si>
  <si>
    <t>EV1; EV6</t>
  </si>
  <si>
    <t>CPN; Formal verification; Index Terms—blockchain; Smart contract</t>
  </si>
  <si>
    <t>Extend verification beyond logical correctness to model malicious user behavior and identify additional potential smart-contract vulnerabilities.</t>
  </si>
  <si>
    <t>Threats include the loop-unrolling threshold and representativeness of the evaluated dataset.</t>
  </si>
  <si>
    <t>Investigate incremental/compositional reentrancy analysis and combine static analysis with dynamic techniques to cover more vulnerability types.</t>
  </si>
  <si>
    <t>Threats include baseline reimplementation differences and dataset/labelling validity.</t>
  </si>
  <si>
    <t>Incomplete library modelling, manually summarized vulnerability patterns and immature Solidity-to-Wasm support.</t>
  </si>
  <si>
    <t>Extend WANA to additional Wasm-targeting applications and broaden vulnerability-pattern/library support.</t>
  </si>
  <si>
    <t>Machine Learning; Smart Contract; Symbolic Execution; Vulnerability</t>
  </si>
  <si>
    <t>The conclusion identifies future extensions and supported-vulnerability limitations.</t>
  </si>
  <si>
    <t>Broaden vulnerability-type coverage and design additional detection algorithms.</t>
  </si>
  <si>
    <t>CT1</t>
  </si>
  <si>
    <t>Limitations including contract-level rather than location-level output, varying vulnerability performance and limited dataset scale.</t>
  </si>
  <si>
    <t>Reviewer synthesis from author-stated limitations/future work: scale/performance/resource constraints; security/privacy/assurance constraints.</t>
  </si>
  <si>
    <t>Improve localization from contract-level to vulnerability-location output, expand datasets and improve performance across vulnerability classes.</t>
  </si>
  <si>
    <t>Blockchain; Smart Contract; Symbolic Execution</t>
  </si>
  <si>
    <t>A dedicated discussion lists limitations involving parameter sensitivity, SMT timeout randomness and OS-fork scheduling overhead, with planned improvements.</t>
  </si>
  <si>
    <t>Reduce sensitivity to tuning parameters, SMT timeout randomness and OS-level fork/scheduling overhead.</t>
  </si>
  <si>
    <t>CT1; CT5</t>
  </si>
  <si>
    <t>fault localization; reentrancy vulnerability; Smart contract; vulnerability detection</t>
  </si>
  <si>
    <t>Threats cover implementation choices, external generalization and construct/measurement validity.</t>
  </si>
  <si>
    <t>Explore more interpretable machine learning and extend ReVulDL to additional vulnerability types.</t>
  </si>
  <si>
    <t>Blockchain; Machine learning; Multi-objective; Smart contract; Vulnerability detection</t>
  </si>
  <si>
    <t>Limitations of opcode-only representations and insufficient use of raw contextual, syntactic and semantic information.</t>
  </si>
  <si>
    <t>Use richer raw contextual, syntactic and semantic information beyond opcode-only representations.</t>
  </si>
  <si>
    <t>deep learning; siamese network; smart contract</t>
  </si>
  <si>
    <t>Limitations in supported vulnerability types and plans expansion to timestamp, integer-overflow and multi-vulnerability cases.</t>
  </si>
  <si>
    <t>Extend detection to timestamp dependency, integer-overflow and multi-vulnerability cases.</t>
  </si>
  <si>
    <t>access control; data-flow analysis; security; Smart contract</t>
  </si>
  <si>
    <t>The tool has three stated technical limitations; external/internal validity is further constrained by dataset size and manual-inspection bias.</t>
  </si>
  <si>
    <t>Address the three stated tool limitations and extend AChecker support, including tx.origin-related cases.</t>
  </si>
  <si>
    <t>CT1; CT7</t>
  </si>
  <si>
    <t>Approximate graph matching; semantic contract graph; smart blockchain; smart contracts; vulnerability</t>
  </si>
  <si>
    <t>Benchmark-labeling errors, bypass risk and plans to improve SCGraph quality, normalization and vulnerability coverage.</t>
  </si>
  <si>
    <t>Improve semantic-contract-graph quality, add normalization and broaden vulnerability coverage.</t>
  </si>
  <si>
    <t>Code representation; Graph neural network; Smart contract; Vulnerability detection</t>
  </si>
  <si>
    <t>Threats include dataset subjectivity/injection bias, limited vulnerability classes, class imbalance, hyperparameter sensitivity and manually defined slice criteria.</t>
  </si>
  <si>
    <t>Evaluate additional graph representations, vulnerability types and imbalance/hyperparameter settings while reducing manual slice-criteria bias.</t>
  </si>
  <si>
    <t>Blockchain; Deep learning; Language model; Reentrancy vulnerability; Smart contract</t>
  </si>
  <si>
    <t>The conclusion acknowledges that evaluation is limited to reentrancy and proposes extension to other vulnerability types.</t>
  </si>
  <si>
    <t>Develop a multimodal model combining DistilBERT with graph representations and evaluate additional vulnerability classes.</t>
  </si>
  <si>
    <t>ED4; ED3</t>
  </si>
  <si>
    <t>CT2; CT7; CT10</t>
  </si>
  <si>
    <t>EIP; ERC20; ERC721; ethereum; Smart contracts; solidity; verification</t>
  </si>
  <si>
    <t>The conclusion acknowledges that VeriSolid is presently limited to Solidity/EVM-compatible blockchains and identifies unsupported languages/hyper-properties as future extensions.</t>
  </si>
  <si>
    <t>Extend automated model checking to other smart-contract languages and support additional properties/hyper-properties beyond the current Solidity/EVM scope.</t>
  </si>
  <si>
    <t>Bug detection; Cross modality; Mutual learning; Smart contract</t>
  </si>
  <si>
    <t>Explore applying the cross-modality mutual-learning approach to other programs that have paired source-code and bytecode modalities.</t>
  </si>
  <si>
    <t>bytecode; graph transformer; heterogeneous graph learning; smart contracts; source code; vulnerability detection</t>
  </si>
  <si>
    <t>Graph-representation limits, compiler/tool failures, label subjectivity, unlabelled data and the need to map bytecode detections back to source lines.</t>
  </si>
  <si>
    <t>Enrich heterogeneous contract graphs with more dependency/call relations, improve learning under few-shot/inconsistent labels and map detections back to source lines.</t>
  </si>
  <si>
    <t>CT3; CT7</t>
  </si>
  <si>
    <t>Threats include hyperparameter uncertainty and limited external validity because only two vulnerability types are evaluated.</t>
  </si>
  <si>
    <t>Evaluate PSCVFinder under additional settings and vulnerability types to test generalizability.</t>
  </si>
  <si>
    <t>CT7</t>
  </si>
  <si>
    <t>Hyperledger Fabric; Node.js chaincode; Node.js vulnerability; Smart contract security analysis</t>
  </si>
  <si>
    <t>Investigate additional Hyperledger Fabric vulnerabilities and additional chaincode languages.</t>
  </si>
  <si>
    <t>Attacks; Ethereum; Oyente; Smart contract; Vulnerability</t>
  </si>
  <si>
    <t>Integrate dynamic-analysis techniques to complement the current static-analysis approach.</t>
  </si>
  <si>
    <t>deep learning; generative adversarial network; smart contract; vulnerability injection</t>
  </si>
  <si>
    <t>Threats include restricted extensibility, subjective data construction and other internal/external validity concerns.</t>
  </si>
  <si>
    <t>Expand data-construction rules and datasets to cover more vulnerability types.</t>
  </si>
  <si>
    <t>Heterogeneous graph attention networks; Heterogeneous graphs; Smart contracts; Vulnerability detection</t>
  </si>
  <si>
    <t>Extendibility and limitations, including graph scale, data imbalance and representation limitations, and proposes concrete future improvements.</t>
  </si>
  <si>
    <t>Add richer graph edge types and improve robustness to graph scale, data imbalance and representation limitations.</t>
  </si>
  <si>
    <t>Composite rules; Ethereum; Intermediate representation; Smart contracts; Static analysis; Vulnerability detection</t>
  </si>
  <si>
    <t>False-positive/false-negative causes and acknowledges static-analysis limitations for runtime state and cross-contract invocations.</t>
  </si>
  <si>
    <t>Combine ContractSentry with dynamic analysis to detect cross-contract/runtime vulnerabilities more comprehensively.</t>
  </si>
  <si>
    <t>Blockchain; Ethereum; Fuzzing; Smart contracts; Vulnerability detection</t>
  </si>
  <si>
    <t>Limitations of test oracles and shows concrete false-positive scenarios caused by business logic and blockchain state semantics.</t>
  </si>
  <si>
    <t>Integrate realistic business logic and execution-state semantics to improve fuzzing/oracle effectiveness and reduce false positives.</t>
  </si>
  <si>
    <t>Fuzz testing; smart contract; static analysis</t>
  </si>
  <si>
    <t>A threats-to-validity section and separate discussion explicitly address seed sensitivity, manual vulnerability typing, symbolic-address/state limitations and oracle limitations.</t>
  </si>
  <si>
    <t>Improve symbolic-address handling with pointer analysis and strengthen state/oracle handling and seed robustness.</t>
  </si>
  <si>
    <t>Limitations include LLM time/computation cost, extensibility constraints, hallucination risk and possible data leakage; mitigation is discussed but these risks remain relevant.</t>
  </si>
  <si>
    <t>Reviewer synthesis from author-stated limitations/future work: security/privacy/assurance constraints; cost or specialized resource/hardware overhead.</t>
  </si>
  <si>
    <t>Provisional N=88. 2023=17; 2024=15; 2025=15; 2022=9; 2021=8; 2020=6; 2026=6; 2019=5; 2018=4; 2017=2; 2016=1</t>
  </si>
  <si>
    <t>Provisional N=88; 67 unique venues. Top: IEEE Transactions on Dependable and Secure Computing=6; IEEE Internet of Things Journal=3; IEEE Transactions on Information Forensics and Security=3; IEEE Transactions on Mobile Computing=3; IEEE Transactions on Parallel and Distributed Systems=3</t>
  </si>
  <si>
    <t>Provisional N=88; 10 primary sectors. Smart-contract security / software assurance=32; Blockchain software engineering / developer tooling=21; Blockchain infrastructure / distributed systems=13; Cross-chain infrastructure / interoperability=11; General blockchain / distributed-ledger infrastructure=4; Transportation / automotive=3; Energy / smart grid=1; Industrial / manufacturing=1; Internet of Things / cyber-physical systems=1; Telecommunications / networking=1</t>
  </si>
  <si>
    <t>Multi-label BC counts on provisional N=88: BC1=50; BC5=22; BC9=16; BC7=14; BC3=13; BC13=7; BC8=5; BC11=4; BC2=3; BC10=1; BC6=1</t>
  </si>
  <si>
    <t>Multi-label ED counts on provisional N=88: ED4=34; ED3=24; ED1=23; ED2=13</t>
  </si>
  <si>
    <t>Multi-label RT counts on provisional N=88: RT1=77; RT2=75; RT3=12; RT5=1</t>
  </si>
  <si>
    <t>Multi-label CT counts on provisional N=88: CT7=31; CT2=30; CT6=26; CT1=23; CT4=21; CT5=21; CT3=12; CT12=9; CT10=5; CT9=4; CT11=1; CT8=1</t>
  </si>
  <si>
    <t>Multi-label LC counts on provisional N=88: LC4=74; LC3=52; LC2=45; LC5=10; LC7=7; LC1=6; LC6=2</t>
  </si>
  <si>
    <t>Multi-label EV counts on provisional N=88: EV4=61; EV5=57; EV6=14; EV3=7; EV2=6; EV1=3; EV7=3; EV0=2; EV8=2; EV9=2</t>
  </si>
  <si>
    <t>EM-applicable N=81; Not applicable=7. EM4=57; EM2=6; EM3=6; EM1=5; EM0=3; EM5=2; EM6=2</t>
  </si>
  <si>
    <t>Author-reported TRL prevalence: 0/88; all currently eligible studies are NR for explicit author-reported TRL.</t>
  </si>
  <si>
    <t>Reviewer-TRL-applicable N=81. Exact ranges: 4–5=57; 2–3=11; 3–4=6; 1–2=3; 5–6=2; 7–8=2</t>
  </si>
  <si>
    <t>Citation counts not retrieved; descriptive citation statistics are not currently calculable.</t>
  </si>
  <si>
    <t>XT2 ED × CT</t>
  </si>
  <si>
    <t>CT3</t>
  </si>
  <si>
    <t>CT5</t>
  </si>
  <si>
    <t>CT8</t>
  </si>
  <si>
    <t>CT9</t>
  </si>
  <si>
    <t>CT10</t>
  </si>
  <si>
    <t>CT11</t>
  </si>
  <si>
    <t>XT6 BC architecture/context × EM</t>
  </si>
  <si>
    <t>BC2</t>
  </si>
  <si>
    <t>BC4</t>
  </si>
  <si>
    <t>XT7 Application sector × reviewer TRL range</t>
  </si>
  <si>
    <t>1–2</t>
  </si>
  <si>
    <t>2–3</t>
  </si>
  <si>
    <t>3–4</t>
  </si>
  <si>
    <t>4–5</t>
  </si>
  <si>
    <t>5–6</t>
  </si>
  <si>
    <t>7–8</t>
  </si>
  <si>
    <t>XT9 Contribution type × reviewer TRL range</t>
  </si>
  <si>
    <t>Completed as supplied; snowballing-pathway reconciliation note remains</t>
  </si>
  <si>
    <t>Data prepared; chart pending</t>
  </si>
  <si>
    <t>Data prepared; chart/table pending</t>
  </si>
  <si>
    <t>Cross-tab counts prepared; heatmap pending</t>
  </si>
  <si>
    <t>Cross-tab counts prepared; matrix pending</t>
  </si>
  <si>
    <t>Conditional — not executed</t>
  </si>
  <si>
    <t>Pending metadata normalization / threshold</t>
  </si>
  <si>
    <t>Pending keyword normalization / threshold</t>
  </si>
  <si>
    <t>R1 thematic data prepared; independent R2 pending</t>
  </si>
  <si>
    <t>10.1145/3035918.3064033</t>
  </si>
  <si>
    <t>NR — author/index keywords not reported in current metadata</t>
  </si>
  <si>
    <t>Not separately distinguished from combined keyword metadata</t>
  </si>
  <si>
    <t>Not staged — cited-reference/reference-list extraction required</t>
  </si>
  <si>
    <t>DOI/authors/keywords staged; institution/country/reference-list/citation metadata require bibliometric normalization/retrieval.</t>
  </si>
  <si>
    <t>10.1145/3190508.3190538</t>
  </si>
  <si>
    <t>10.1109/bloc.2019.8751452</t>
  </si>
  <si>
    <t>10.1109/jiot.2020.3002969</t>
  </si>
  <si>
    <t>10.1109/tnse.2021.3079415</t>
  </si>
  <si>
    <t>10.1109/icde51399.2021.00175</t>
  </si>
  <si>
    <t>10.1109/tpds.2021.3138848</t>
  </si>
  <si>
    <t>10.1109/tifs.2023.3266628</t>
  </si>
  <si>
    <t>10.1109/tdsc.2021.3133840</t>
  </si>
  <si>
    <t>10.1109/tmc.2023.3294968</t>
  </si>
  <si>
    <t>10.1109/tifs.2024.3358990</t>
  </si>
  <si>
    <t>10.1109/tii.2023.3282319</t>
  </si>
  <si>
    <t>10.1016/j.iot.2024.101077</t>
  </si>
  <si>
    <t>10.1109/access.2024.3371901</t>
  </si>
  <si>
    <t>Excluded secondary study; bibliometric staging retained for audit only.</t>
  </si>
  <si>
    <t>10.1109/access.2024.3435978</t>
  </si>
  <si>
    <t>Source/eligibility unresolved; bibliometric staging is provisional.</t>
  </si>
  <si>
    <t>10.1109/tii.2023.3303990</t>
  </si>
  <si>
    <t>10.1109/tdsc.2023.3313799</t>
  </si>
  <si>
    <t>10.1109/tpds.2024.3361180</t>
  </si>
  <si>
    <t>10.1109/tdsc.2025.3569608</t>
  </si>
  <si>
    <t>10.1109/jiot.2025.3608201</t>
  </si>
  <si>
    <t>10.1109/tdsc.2024.3522342</t>
  </si>
  <si>
    <t>10.1109/tmc.2024.3488746</t>
  </si>
  <si>
    <t>10.1109/tnet.2024.3487935</t>
  </si>
  <si>
    <t>10.1109/tpds.2024.3522016</t>
  </si>
  <si>
    <t>10.1109/tmc.2026.3656500</t>
  </si>
  <si>
    <t>10.1145/3212734.3212736</t>
  </si>
  <si>
    <t>10.1145/3319535.3355503</t>
  </si>
  <si>
    <t>10.1109/sp.2019.00085</t>
  </si>
  <si>
    <t>10.1109/brains52497.2021.9569809</t>
  </si>
  <si>
    <t>10.1109/dapps52256.2021.00015</t>
  </si>
  <si>
    <t>10.1007/s00521-022-06970-7</t>
  </si>
  <si>
    <t>10.1109/jiot.2021.3061687</t>
  </si>
  <si>
    <t>10.1007/s10922-023-09731-6</t>
  </si>
  <si>
    <t>10.1109/icpads60453.2023.00375</t>
  </si>
  <si>
    <t>10.1109/blockchain62396.2024.00090</t>
  </si>
  <si>
    <t>10.1109/tdsc.2025.3532320</t>
  </si>
  <si>
    <t>10.1109/tvt.2025.3625439</t>
  </si>
  <si>
    <t>10.1109/tsc.2026.3691985</t>
  </si>
  <si>
    <t>10.1109/tc.2026.3699633</t>
  </si>
  <si>
    <t>10.1109/tifs.2026.3670535</t>
  </si>
  <si>
    <t>10.1109/tnsm.2025.3636014</t>
  </si>
  <si>
    <t>10.1109/icse-c.2017.142</t>
  </si>
  <si>
    <t>10.1007/s10664-019-09708-7</t>
  </si>
  <si>
    <t>10.1016/j.bcra.2020.100002</t>
  </si>
  <si>
    <t>10.1109/infocomwkshps50562.2020.9163051</t>
  </si>
  <si>
    <t>10.13052/jwe1540-9589.1925</t>
  </si>
  <si>
    <t>10.1109/mc.2021.3091379</t>
  </si>
  <si>
    <t>10.1002/spe.2931</t>
  </si>
  <si>
    <t>10.1109/tse.2019.2921343</t>
  </si>
  <si>
    <t>10.1109/access.2022.3162227</t>
  </si>
  <si>
    <t>10.3390/app13148094</t>
  </si>
  <si>
    <t>10.1145/3528226.3528374</t>
  </si>
  <si>
    <t>10.3390/app13010487</t>
  </si>
  <si>
    <t>10.1016/j.bcra.2022.100115</t>
  </si>
  <si>
    <t>10.1007/s10664-024-10485-1</t>
  </si>
  <si>
    <t>10.1109/brains63024.2024.10732686</t>
  </si>
  <si>
    <t>10.1145/3674805.3686686</t>
  </si>
  <si>
    <t>10.14569/ijacsa.2024.01503118</t>
  </si>
  <si>
    <t>10.1145/3719004</t>
  </si>
  <si>
    <t>10.1109/icse55347.2025.00123</t>
  </si>
  <si>
    <t>10.1109/access.2025.3530269</t>
  </si>
  <si>
    <t>10.1109/msr66628.2025.00076</t>
  </si>
  <si>
    <t>10.1109/tse.2025.3548730</t>
  </si>
  <si>
    <t>10.1002/smr.70111</t>
  </si>
  <si>
    <t>10.1145/2976749.2978309</t>
  </si>
  <si>
    <t>10.1145/3243734.3243780</t>
  </si>
  <si>
    <t>10.14722/ndss.2018.23082</t>
  </si>
  <si>
    <t>10.1109/compsac.2019.10265</t>
  </si>
  <si>
    <t>10.1145/3377812.3390908</t>
  </si>
  <si>
    <t>10.1109/compsac48688.2020.0-153</t>
  </si>
  <si>
    <t>10.1109/qrs54544.2021.00102</t>
  </si>
  <si>
    <t>10.1109/bigdata55660.2022.10020730</t>
  </si>
  <si>
    <t>10.3390/s22093577</t>
  </si>
  <si>
    <t>10.1145/3533767.3534395</t>
  </si>
  <si>
    <t>10.1145/3551349.3560428</t>
  </si>
  <si>
    <t>10.1016/j.comnet.2022.109289</t>
  </si>
  <si>
    <t>10.3390/en15249642</t>
  </si>
  <si>
    <t>10.1109/icse48619.2023.00087</t>
  </si>
  <si>
    <t>10.1109/jiot.2023.3294496</t>
  </si>
  <si>
    <t>10.1016/j.jss.2022.111550</t>
  </si>
  <si>
    <t>10.1145/3628797.3628945</t>
  </si>
  <si>
    <t>10.1109/tdsc.2022.3200840</t>
  </si>
  <si>
    <t>10.1145/3543507.3583367</t>
  </si>
  <si>
    <t>10.1109/msr59073.2023.00052</t>
  </si>
  <si>
    <t>10.1109/issre59848.2023.00030</t>
  </si>
  <si>
    <t>10.3390/app13020770</t>
  </si>
  <si>
    <t>10.1109/i2ct57861.2023.10126362</t>
  </si>
  <si>
    <t>10.1007/s41870-024-01909-8</t>
  </si>
  <si>
    <t>10.1002/smr.2712</t>
  </si>
  <si>
    <t>10.1109/ipccc59868.2024.10850061</t>
  </si>
  <si>
    <t>10.1007/s10515-024-00471-8</t>
  </si>
  <si>
    <t>10.1007/s10664-025-10623-3</t>
  </si>
  <si>
    <t>10.1109/tifs.2025.3537827</t>
  </si>
  <si>
    <t>10.1109/tse.2026.3660900</t>
  </si>
  <si>
    <t>Co-authorship</t>
  </si>
  <si>
    <t>Standardized authors</t>
  </si>
  <si>
    <t>88/88 provisional studies have nonblank author fields; author-name normalization/disambiguation still requires review</t>
  </si>
  <si>
    <t>Full counting proposed; must be fixed before network execution</t>
  </si>
  <si>
    <t>Not pre-specified — set before execution</t>
  </si>
  <si>
    <t>Author-name normalization/disambiguation pending</t>
  </si>
  <si>
    <t>Author network</t>
  </si>
  <si>
    <t>Centrality ≠ quality/maturity</t>
  </si>
  <si>
    <t>Conditional — metadata cleaning required</t>
  </si>
  <si>
    <t>Do not treat abbreviated/et al. author strings as fully standardized.</t>
  </si>
  <si>
    <t>Institutional collaboration</t>
  </si>
  <si>
    <t>Standardized institutions</t>
  </si>
  <si>
    <t>0/88 normalized institutional records currently staged</t>
  </si>
  <si>
    <t>Institution-name normalization pending</t>
  </si>
  <si>
    <t>Institution network</t>
  </si>
  <si>
    <t>Affiliation normalization affects result</t>
  </si>
  <si>
    <t>No — metadata incomplete</t>
  </si>
  <si>
    <t>Extract/normalize affiliations before execution.</t>
  </si>
  <si>
    <t>Country collaboration</t>
  </si>
  <si>
    <t>0/88 normalized author-country records currently staged</t>
  </si>
  <si>
    <t>Country normalization pending</t>
  </si>
  <si>
    <t>Country network/map</t>
  </si>
  <si>
    <t>Publication country ≠ deployment location</t>
  </si>
  <si>
    <t>Do not substitute application/deployment geography for author affiliation country.</t>
  </si>
  <si>
    <t>Bibliographic coupling</t>
  </si>
  <si>
    <t>Reference lists</t>
  </si>
  <si>
    <t>0/88 cited-reference lists staged in S6</t>
  </si>
  <si>
    <t>Similarity normalization pending</t>
  </si>
  <si>
    <t>Coupling network</t>
  </si>
  <si>
    <t>Requires consistent reference metadata</t>
  </si>
  <si>
    <t>No — cited-reference metadata absent</t>
  </si>
  <si>
    <t>Reference-list extraction is required first.</t>
  </si>
  <si>
    <t>Co-citation</t>
  </si>
  <si>
    <t>Cited references</t>
  </si>
  <si>
    <t>Normalization pending</t>
  </si>
  <si>
    <t>Co-citation network</t>
  </si>
  <si>
    <t>Do not run with incomplete cited-reference metadata</t>
  </si>
  <si>
    <t>Reference-list/citation-link metadata are not available in the current S6 input.</t>
  </si>
  <si>
    <t>Keyword co-occurrence</t>
  </si>
  <si>
    <t>Author/index keywords</t>
  </si>
  <si>
    <t>69/88 provisional studies have usable combined keyword metadata</t>
  </si>
  <si>
    <t>Full counting proposed; must be fixed before execution</t>
  </si>
  <si>
    <t>Synonym/lemmatization rules pending</t>
  </si>
  <si>
    <t>Keyword map</t>
  </si>
  <si>
    <t>Frequency is contextual, not maturity</t>
  </si>
  <si>
    <t>Conditional — threshold/normalization pending</t>
  </si>
  <si>
    <t>Current source metadata often combines author/index/source keywords rather than separating them.</t>
  </si>
  <si>
    <t>Thematic development</t>
  </si>
  <si>
    <t>Keywords/themes + year</t>
  </si>
  <si>
    <t>88/88 have year; R1 seed-theme coding staged for currently eligible studies</t>
  </si>
  <si>
    <t>Unique-study theme counts</t>
  </si>
  <si>
    <t>Default four publication periods retained</t>
  </si>
  <si>
    <t>Use unique-study counts; no causal interpretation</t>
  </si>
  <si>
    <t>Thematic evolution</t>
  </si>
  <si>
    <t>Counts do not establish causality</t>
  </si>
  <si>
    <t>Partial — R1 themes available; independent R2 pending</t>
  </si>
  <si>
    <t>Keyword-based thematic development remains conditional on keyword cleaning.</t>
  </si>
  <si>
    <t>Reviewer-1 thematic seed coding is populated from the completed Gaps_Limitations extraction. Rows 1–94 correspond to PS001–PS094; theme prevalence must count unique studies rather than excerpts.</t>
  </si>
  <si>
    <t>Limitations: Scope/version constraints and future re-evaluation are acknowledged. | Barriers: No explicit operational-deployment barrier stated in the supplied source. | Future: Evaluate the newer blockchain version in future benchmarking.</t>
  </si>
  <si>
    <t>QA7 evidence: pp. 9, 13, Results/Conclusion</t>
  </si>
  <si>
    <t>Limitations / deployment barriers / future research</t>
  </si>
  <si>
    <t>None identified</t>
  </si>
  <si>
    <t>Evidence/evaluation</t>
  </si>
  <si>
    <t>No explicit lifecycle-phase gap; the author-stated limitation is primarily evidential/methodological.</t>
  </si>
  <si>
    <t>Applicable / EM4 / reviewer TRL 4–5</t>
  </si>
  <si>
    <t>R1 seed coding derived from completed Gaps_Limitations; prevalence must count unique studies.</t>
  </si>
  <si>
    <t>Limitations: The paper acknowledges evaluation/configuration limitations and lists substantial future work. | Barriers: Reviewer synthesis from author-stated limitations/future work: limited validation/integration in a relevant or operational environment; scale/performance/resource constraints; security/privacy/assurance constraints. | Future: Extend Fabric evaluation and design work on benchmarks/optimizations, large-deployment scalability, richer consistency/data models, alternative resilience/consensus guarantees, and transaction/ledger privacy.</t>
  </si>
  <si>
    <t>QA7 evidence: pp. 10, 14–15, Evaluation/Conclusion; Limitations: PDF p. 4</t>
  </si>
  <si>
    <t>TH1; TH5; TH6</t>
  </si>
  <si>
    <t>Performance/scalability; Evidence/evaluation; Operational/deployment</t>
  </si>
  <si>
    <t>Source-derived future/limitation needs touch: LC2 Architecture/design; LC5 Deployment/transition.</t>
  </si>
  <si>
    <t>Limitations: The evaluation discloses constraints such as testing valid non-conflicting transactions and identifies out-of-scope issues/future work. | Barriers: Reviewer synthesis from author-stated limitations/future work: scale/performance/resource constraints. | Future: Compare alternative transaction-pruning approaches under different workloads and further improve Fabric using efficient BFT, faster transaction-ID extraction, faster cryptography, greater channel parallelism and a scalable analytics layer.</t>
  </si>
  <si>
    <t>QA7 evidence: pp. 5, 8, Evaluation/Conclusion</t>
  </si>
  <si>
    <t>TH1; TH3; TH5</t>
  </si>
  <si>
    <t>Performance/scalability; Lifecycle/software engineering; Evidence/evaluation</t>
  </si>
  <si>
    <t>Source-derived future/limitation needs touch: LC4 Testing/verification.</t>
  </si>
  <si>
    <t>Limitations: Model assumptions and security bounds are explicit. | Barriers: No explicit operational-deployment barrier stated in the supplied source. | Future: No explicit future-research recommendation identified in the supplied full text.</t>
  </si>
  <si>
    <t>QA7 evidence: pp. 4–15, Model/Analysis</t>
  </si>
  <si>
    <t>No coded barrier</t>
  </si>
  <si>
    <t>Source-derived future/limitation needs touch: LC2 Architecture/design.</t>
  </si>
  <si>
    <t>Applicable / EM2 / reviewer TRL 2–3</t>
  </si>
  <si>
    <t>No seed-theme gap was identified from the source-grounded gap extraction.</t>
  </si>
  <si>
    <t>Limitations: Future work explicitly identifies untested scalability/vulnerability properties and additional blockchain-quality properties. | Barriers: Reviewer synthesis from author-stated limitations/future work: limited validation/integration in a relevant or operational environment; scale/performance/resource constraints; security/privacy/assurance constraints. | Future: Optimize the consensus method for use on actual industry blockchains and study its scalability, vulnerability, chain quality, common-prefix and chain-growth properties.</t>
  </si>
  <si>
    <t>QA7 evidence: p. 11, Conclusion/Future Work; Future Work: PDF p. 11; Conclusion/Future Work: PDF p. 11</t>
  </si>
  <si>
    <t>TH1; TH6</t>
  </si>
  <si>
    <t>Performance/scalability; Operational/deployment</t>
  </si>
  <si>
    <t>Source-derived future/limitation needs touch: LC4 Testing/verification; LC5 Deployment/transition.</t>
  </si>
  <si>
    <t>Applicable / EM3 / reviewer TRL 3–4</t>
  </si>
  <si>
    <t>Limitations: The paper discloses SGX EPC constraints and that experiments use SGX debug simulation mode. | Barriers: Reviewer synthesis from author-stated limitations/future work: cost or specialized resource/hardware overhead. | Future: No explicit future-research recommendation identified in the supplied full text.</t>
  </si>
  <si>
    <t>QA7 evidence: pp. 1, 5</t>
  </si>
  <si>
    <t>TH5; TH9</t>
  </si>
  <si>
    <t>Evidence/evaluation; Economic/resource</t>
  </si>
  <si>
    <t>Limitations: The convexity assumption, lazy-client challenge and several unresolved issues are acknowledged in conclusion/future work. | Barriers: Reviewer synthesis from author-stated limitations/future work: scale/performance/resource constraints; cost or specialized resource/hardware overhead; human/coordination/adoption constraints. | Future: Design incentives that discourage lazy clients, detect plagiarism/laziness, study learning without the convexity assumption, and analyze optimization under limited energy.</t>
  </si>
  <si>
    <t>QA7 evidence: p. 12, Section 9</t>
  </si>
  <si>
    <t>TH1; TH7; TH9</t>
  </si>
  <si>
    <t>Performance/scalability; Organizational/governance/regulatory; Economic/resource</t>
  </si>
  <si>
    <t>Source-derived future/limitation needs touch: LC2 Architecture/design; LC8 Governance/retirement.</t>
  </si>
  <si>
    <t>Limitations: Adversary/network assumptions and protocol scope are explicit. | Barriers: No explicit operational-deployment barrier stated in the supplied source. | Future: No explicit future-research recommendation identified in the supplied full text.</t>
  </si>
  <si>
    <t>QA7 evidence: pp. 2–14</t>
  </si>
  <si>
    <t>Limitations: Configuration trade-offs and design constraints are discussed. | Barriers: No explicit operational-deployment barrier stated in the supplied source. | Future: No explicit future-research recommendation identified in the supplied full text.</t>
  </si>
  <si>
    <t>QA7 evidence: pp. 15–16, Section 6.2.5/Discussion</t>
  </si>
  <si>
    <t>Limitations: Vehicle mobility and sharding-configuration optimization as unresolved challenges. | Barriers: Reviewer synthesis from author-stated limitations/future work: scale/performance/resource constraints. | Future: Address vehicle mobility and optimize sharding configuration for dynamic vehicular topologies while maintaining performance and security.</t>
  </si>
  <si>
    <t>QA7 evidence: p. 12, Section VIII</t>
  </si>
  <si>
    <t>Performance/scalability</t>
  </si>
  <si>
    <t>No explicit lifecycle gap identified in the author-stated limitations/future work.</t>
  </si>
  <si>
    <t>Limitations: Protocol assumptions and scope limitations are stated, but empirical-validity and external-validity threats are not systematically discussed. | Barriers: No explicit operational-deployment barrier stated in the supplied source. | Future: No explicit future-research recommendation identified in the supplied full text.</t>
  </si>
  <si>
    <t>QA7 evidence: pp. 3–13</t>
  </si>
  <si>
    <t>Limitations: Strong coordinator assumptions and compromised-group behavior. | Barriers: No explicit operational-deployment barrier stated in the supplied source. | Future: Improve the system's access-control management.</t>
  </si>
  <si>
    <t>QA7 evidence: p. 10, Security discussion</t>
  </si>
  <si>
    <t>Limitations: Future development is identified. | Barriers: Reviewer synthesis from author-stated limitations/future work: limited validation/integration in a relevant or operational environment. | Future: Integrate NB-IoT/LTE-M devices into a larger IoT testbed and extend the 5G-oriented deployment environment.</t>
  </si>
  <si>
    <t>QA7 evidence: p. 26, Section 7</t>
  </si>
  <si>
    <t>TH3; TH6</t>
  </si>
  <si>
    <t>Lifecycle/software engineering; Operational/deployment</t>
  </si>
  <si>
    <t>Source-derived future/limitation needs touch: LC5 Deployment/transition.</t>
  </si>
  <si>
    <t>Applicable / EM5 / reviewer TRL 5–6</t>
  </si>
  <si>
    <t>Limitations: NA — excluded secondary study; not included in primary-study gap synthesis. | Barriers: NA — excluded secondary study. | Future: NA — excluded secondary study; not included in primary-study gap synthesis.</t>
  </si>
  <si>
    <t>pp. 1–3, Abstract/Introduction; secondary-study design (excluded from primary-study synthesis)</t>
  </si>
  <si>
    <t>Not applicable / NA / reviewer TRL NA</t>
  </si>
  <si>
    <t>Excluded secondary study; no primary-study thematic coding.</t>
  </si>
  <si>
    <t>Limitations: UNC — eligibility remains under adjudication; primary-study limitation synthesis is not locked. | Barriers: UNC — source/eligibility issue prevents reliable operational-barrier synthesis. | Future: UNC — eligibility remains under adjudication; gap/future-research synthesis is not locked.</t>
  </si>
  <si>
    <t>Full supplied text; eligibility adjudication required before primary-study gap synthesis</t>
  </si>
  <si>
    <t>UNC — source/eligibility issue prevents locked lifecycle-gap synthesis.</t>
  </si>
  <si>
    <t>UNC / UNC / reviewer TRL UNC</t>
  </si>
  <si>
    <t>Source/eligibility unresolved; thematic code not locked.</t>
  </si>
  <si>
    <t>Limitations: Assumptions and future industrial-platform integration are mentioned. | Barriers: Reviewer synthesis from author-stated limitations/future work: limited validation/integration in a relevant or operational environment. | Future: Implement and integrate the scheme with existing industrial blockchain platforms.</t>
  </si>
  <si>
    <t>QA7 evidence: p. 12, conclusion/future work</t>
  </si>
  <si>
    <t>Operational/deployment</t>
  </si>
  <si>
    <t>Source-derived future/limitation needs touch: LC3 Implementation; LC5 Deployment/transition.</t>
  </si>
  <si>
    <t>Limitations: Formal assumptions are explicit. | Barriers: No explicit operational-deployment barrier stated in the supplied source. | Future: No explicit future-research recommendation identified in the supplied full text.</t>
  </si>
  <si>
    <t>QA7 evidence: pp. 5–13</t>
  </si>
  <si>
    <t>Limitations: Protocol assumptions and future combinations/extensions are discussed. | Barriers: No explicit operational-deployment barrier stated in the supplied source. | Future: Explore combining PolyShard-style coded computing with X-shard's optimistic processing and develop more specific migration protocols.</t>
  </si>
  <si>
    <t>QA7 evidence: pp. 7–11</t>
  </si>
  <si>
    <t>Limitations: Remaining O(n^3) behavior and malicious-attack performance degradation as unresolved limitations/future research. | Barriers: Reviewer synthesis from author-stated limitations/future work: scale/performance/resource constraints; security/privacy/assurance constraints; cost or specialized resource/hardware overhead. | Future: Reduce FIN-NG's cubic communication cost and improve JUMBO's performance under malicious attacks.</t>
  </si>
  <si>
    <t>QA7 evidence: p. 17, Conclusion</t>
  </si>
  <si>
    <t>TH1; TH9</t>
  </si>
  <si>
    <t>Performance/scalability; Economic/resource</t>
  </si>
  <si>
    <t>Limitations: Several threat models and attacks are analyzed. | Barriers: Reviewer synthesis from author-stated limitations/future work: security/privacy/assurance constraints. | Future: No explicit future-research recommendation identified in the supplied full text.</t>
  </si>
  <si>
    <t>QA7 evidence: pp. 7–16</t>
  </si>
  <si>
    <t>Limitations: Equipment-related limits on larger parameter settings and discuss protocol trade-offs and boundaries. | Barriers: Reviewer synthesis from author-stated limitations/future work: cost or specialized resource/hardware overhead. | Future: Evaluate larger parameter settings when hardware permits and further investigate the protocol's practical trade-offs and operating boundaries.</t>
  </si>
  <si>
    <t>QA7 evidence: pp. 13–16</t>
  </si>
  <si>
    <t>Economic/resource</t>
  </si>
  <si>
    <t>Limitations: Model-privacy leakage from full-model verification and discusses differential-privacy/homomorphic-encryption trade-offs for future work. | Barriers: Reviewer synthesis from author-stated limitations/future work: security/privacy/assurance constraints. | Future: Develop lightweight verification mechanisms that preserve model privacy and are robust to inference attacks, including privacy-enhancing alternatives.</t>
  </si>
  <si>
    <t>QA7 evidence: p. 15, Conclusion</t>
  </si>
  <si>
    <t>Source-derived future/limitation needs touch: LC2 Architecture/design; LC4 Testing/verification.</t>
  </si>
  <si>
    <t>Limitations: The conclusion explicitly bounds the current analysis to relay-chain performance and identifies full ecosystem/multi-chain/sharding extensions as future work. | Barriers: Reviewer synthesis from author-stated limitations/future work: scale/performance/resource constraints; heterogeneous-platform/interoperability constraints. | Future: Extend relay-chain analysis to the wider cross-chain ecosystem, including multiple chains and sharding configurations.</t>
  </si>
  <si>
    <t>QA7 evidence: p. 15, Conclusion; Future Work: PDF p. 15; Conclusion/Future Work: PDF p. 15</t>
  </si>
  <si>
    <t>TH1; TH2</t>
  </si>
  <si>
    <t>Performance/scalability; Interoperability/integration</t>
  </si>
  <si>
    <t>Limitations: The benchmark's abstractions and security assumptions are discussed. | Barriers: No explicit operational-deployment barrier stated in the supplied source. | Future: No explicit future-research recommendation identified in the supplied full text.</t>
  </si>
  <si>
    <t>QA7 evidence: pp. 10–13</t>
  </si>
  <si>
    <t>Limitations: The current 20–80 vehicle scale and lists 500+ vehicles, privacy, cross-shard communication, long-term incentives and real deployment as future work. | Barriers: Reviewer synthesis from author-stated limitations/future work: limited validation/integration in a relevant or operational environment; security/privacy/assurance constraints; human/coordination/adoption constraints. | Future: Evaluate 500+ vehicle scenarios and real deployment; strengthen privacy protection, cross-shard coordination and long-term incentive stability.</t>
  </si>
  <si>
    <t>TH6; TH7</t>
  </si>
  <si>
    <t>Operational/deployment; Organizational/governance/regulatory</t>
  </si>
  <si>
    <t>Source-derived future/limitation needs touch: LC5 Deployment/transition; LC6 Operation/monitoring; LC8 Governance/retirement.</t>
  </si>
  <si>
    <t>Limitations: The concluding remarks explicitly discuss denial-of-service exposure, common-knowledge assumptions and multiple open problems/extensions. | Barriers: Reviewer synthesis from author-stated limitations/future work: heterogeneous-platform/interoperability constraints. | Future: Develop mechanisms for dynamically constructing/propagating common knowledge and address open problems in atomic cross-chain transactions, including DoS exposure.</t>
  </si>
  <si>
    <t>QA7 evidence: pp. 9–10</t>
  </si>
  <si>
    <t>Interoperability/integration</t>
  </si>
  <si>
    <t>Applicable / EM0 / reviewer TRL 1–2</t>
  </si>
  <si>
    <t>Limitations: Privacy and platform-dependency limitations/future extensions are discussed, but empirical validity is not organized in a dedicated threats section. | Barriers: Reviewer synthesis from author-stated limitations/future work: security/privacy/assurance constraints; heterogeneous-platform/interoperability constraints. | Future: Add support for privacy-preserving blockchains and continue scaling/validating HyperService across more heterogeneous chains.</t>
  </si>
  <si>
    <t>TH2; TH5</t>
  </si>
  <si>
    <t>Interoperability/integration; Evidence/evaluation</t>
  </si>
  <si>
    <t>Limitations: The security/practicality analysis discusses relay-chain assumptions, confirmation security, DoS/extortion, hard-fork and TEE-related limitations and future extensions. | Barriers: No explicit operational-deployment barrier stated in the supplied source. | Future: Study alternative cryptocurrency-backed assets, including asymmetric and non-fungible forms, and extend practicality/security analysis.</t>
  </si>
  <si>
    <t>QA7 evidence: security/discussion sections; Limitations: PDF p. 4</t>
  </si>
  <si>
    <t>Limitations: That code generation is not finished and positions the current contribution as partial tooling/semantics support. | Barriers: No explicit operational-deployment barrier stated in the supplied source. | Future: Complete the unfinished code-generation capability and move the current semantics/tooling toward a fuller executable development workflow.</t>
  </si>
  <si>
    <t>QA7 evidence: p. 3, Conclusion</t>
  </si>
  <si>
    <t>Lifecycle/software engineering</t>
  </si>
  <si>
    <t>Source-derived future/limitation needs touch: LC3 Implementation.</t>
  </si>
  <si>
    <t>Limitations: Security discussion covers dishonest validators/intermediaries, Sybil concerns, selection assumptions and further cost/voting/blockchain-support limitations. | Barriers: Reviewer synthesis from author-stated limitations/future work: heterogeneous-platform/interoperability constraints; cost or specialized resource/hardware overhead. | Future: Reduce cross-chain call costs and strengthen validator/intermediary selection, voting and broader blockchain support.</t>
  </si>
  <si>
    <t>QA7 evidence: pp. 8–11</t>
  </si>
  <si>
    <t>TH2; TH9</t>
  </si>
  <si>
    <t>Interoperability/integration; Economic/resource</t>
  </si>
  <si>
    <t>Limitations: UNC — supplied source is a TechRxiv preprint rather than the peer-reviewed Version of Record; limitation coding is not locked. | Barriers: UNC — source/eligibility issue prevents reliable operational-barrier synthesis. | Future: UNC — supplied source is a preprint rather than the peer-reviewed Version of Record; future-research coding is not locked.</t>
  </si>
  <si>
    <t>Supplied TechRxiv preprint; peer-reviewed Version of Record required</t>
  </si>
  <si>
    <t>Limitations: No explicit author-stated study limitation or threats-to-validity discussion identified in the supplied full text. | Barriers: No explicit operational-deployment barrier stated in the supplied source. | Future: No explicit future-research recommendation identified in the supplied full text.</t>
  </si>
  <si>
    <t>Full text; Conclusion: PDF p. 11</t>
  </si>
  <si>
    <t>Limitations: UNC — only the first page/abstract is available; author-stated limitations cannot be assessed from the incomplete source. | Barriers: UNC — source/eligibility issue prevents reliable operational-barrier synthesis. | Future: UNC — complete full text is unavailable; future-research recommendations cannot be assessed reliably.</t>
  </si>
  <si>
    <t>p. 1/abstract only; complete full text required</t>
  </si>
  <si>
    <t>Limitations: Cross-chain state verification and Oracle-gateway trust dependency as future improvement areas. | Barriers: Reviewer synthesis from author-stated limitations/future work: security/privacy/assurance constraints; heterogeneous-platform/interoperability constraints. | Future: Optimize cross-chain state verification and reduce trust dependency on the Oracle gateway.</t>
  </si>
  <si>
    <t>QA7 evidence: p. 4, Conclusion</t>
  </si>
  <si>
    <t>Limitations: No explicit author-stated study limitation or threats-to-validity discussion identified in the supplied full text. | Barriers: Reviewer synthesis from author-stated limitations/future work: heterogeneous-platform/interoperability constraints. | Future: Extend the gateway solution with atomic swaps and token transfers across multiple blockchains.</t>
  </si>
  <si>
    <t>Full text; Conclusion: PDF p. 2</t>
  </si>
  <si>
    <t>Limitations: The conclusion identifies deployment on public blockchains such as Ethereum as future work. | Barriers: Reviewer synthesis from author-stated limitations/future work: limited validation/integration in a relevant or operational environment; scale/performance/resource constraints. | Future: Deploy EDCA on a public blockchain such as Ethereum to assess efficiency and scalability in that environment.</t>
  </si>
  <si>
    <t>QA7 evidence: p. 12, Conclusion</t>
  </si>
  <si>
    <t>Full text; Conclusion: PDF p. 14</t>
  </si>
  <si>
    <t>Limitations: Lack of transaction privacy and limited current support for heterogeneous/non-EVM chains and L2 systems. | Barriers: Reviewer synthesis from author-stated limitations/future work: security/privacy/assurance constraints; heterogeneous-platform/interoperability constraints. | Future: Improve transaction privacy and extend EquiLink to heterogeneous non-EVM chains and Layer-2 rollups.</t>
  </si>
  <si>
    <t>QA7 evidence: p. 13, Section VIII-A; Limitations: PDF p. 13; Future Work: PDF p. 13</t>
  </si>
  <si>
    <t>Full text; Conclusion: PDF p. 12</t>
  </si>
  <si>
    <t>Limitations: UNC — actual PS040 (ShiftHub) full text is missing. | Barriers: UNC — source/eligibility issue prevents reliable operational-barrier synthesis. | Future: UNC — actual PS040 (ShiftHub) full text is missing.</t>
  </si>
  <si>
    <t>Actual PS040 (ShiftHub) full text missing; supplied PS040-named file corresponds to PS039</t>
  </si>
  <si>
    <t>Limitations: Homogeneous-chain scope, trusted setup/key rotation, auditability and richer privacy as deployment limitations/extensions. | Barriers: Reviewer synthesis from author-stated limitations/future work: limited validation/integration in a relevant or operational environment; security/privacy/assurance constraints; heterogeneous-platform/interoperability constraints; human/coordination/adoption constraints. | Future: Support heterogeneous cross-chain scenarios and develop privacy-preserving regulatory-audit mechanisms with stronger auditability.</t>
  </si>
  <si>
    <t>QA7 evidence: p. 14 onward, Section VI</t>
  </si>
  <si>
    <t>TH2; TH6; TH7</t>
  </si>
  <si>
    <t>Interoperability/integration; Operational/deployment; Organizational/governance/regulatory</t>
  </si>
  <si>
    <t>Source-derived future/limitation needs touch: LC4 Testing/verification; LC5 Deployment/transition; LC8 Governance/retirement.</t>
  </si>
  <si>
    <t>Limitations: No explicit author-stated study limitation or threats-to-validity discussion identified in the supplied full text. | Barriers: Reviewer synthesis from author-stated limitations/future work: human/coordination/adoption constraints. | Future: Strengthen blockchain-oriented software development through better testing, large-team collaboration and smart-contract development support.</t>
  </si>
  <si>
    <t>Full text; Conclusion: PDF p. 1</t>
  </si>
  <si>
    <t>TH3; TH10</t>
  </si>
  <si>
    <t>Lifecycle/software engineering; Human/usability/stakeholder</t>
  </si>
  <si>
    <t>Limitations: Survey validity is limited by participant selection, an approximately 13% response rate and possible non-response bias; respondents mainly represent leading blockchain projects, so smaller-project challenges may differ. | Barriers: Reviewer synthesis from author-stated limitations/future work: human/coordination/adoption constraints. | Future: Develop fuzzers for additional blockchain systems and automate documentation generation to reduce newcomer/developer barriers.</t>
  </si>
  <si>
    <t>QA7 evidence: Threats to Validity section; Threats to Validity: PDF p. 29</t>
  </si>
  <si>
    <t>TH3; TH5; TH10</t>
  </si>
  <si>
    <t>Lifecycle/software engineering; Evidence/evaluation; Human/usability/stakeholder</t>
  </si>
  <si>
    <t>Limitations: Evidence is based on 14 developers and is scoped primarily to Ethereum/Solidity, limiting broader generalization. | Barriers: Reviewer synthesis from author-stated limitations/future work: human/coordination/adoption constraints. | Future: Broaden empirical validation beyond the small Ethereum/Solidity developer sample and assess software-engineering practices across more blockchain projects/platforms.</t>
  </si>
  <si>
    <t>QA7 evidence: p. 15–16, Threats to Validity</t>
  </si>
  <si>
    <t>TH5; TH10</t>
  </si>
  <si>
    <t>Evidence/evaluation; Human/usability/stakeholder</t>
  </si>
  <si>
    <t>Limitations: No explicit author-stated study limitation or threats-to-validity discussion identified in the supplied full text. | Barriers: No explicit operational-deployment barrier stated in the supplied source. | Future: Expand ChainIDE to additional public/consortium blockchain systems and investigate cloud IDE support for consortium-oriented financial/banking applications.</t>
  </si>
  <si>
    <t>Applicable / EM6 / reviewer TRL 7–8</t>
  </si>
  <si>
    <t>Limitations: The work is explicitly preliminary; model-based testing/tool constraints remain, and industrial validation has not yet been established. | Barriers: Reviewer synthesis from author-stated limitations/future work: limited validation/integration in a relevant or operational environment. | Future: Extend smart-contract testing with model-based testing and validate the proposed approach in industrial settings.</t>
  </si>
  <si>
    <t>QA7 evidence: pp. 18–20; Future Work: PDF p. 18</t>
  </si>
  <si>
    <t>Source-derived future/limitation needs touch: LC2 Architecture/design; LC3 Implementation; LC4 Testing/verification; LC5 Deployment/transition.</t>
  </si>
  <si>
    <t>Limitations: No explicit author-stated study limitation or threats-to-validity discussion identified in the supplied full text. | Barriers: Reviewer synthesis from author-stated limitations/future work: scale/performance/resource constraints; human/coordination/adoption constraints. | Future: Develop contract-oriented architectures that can support large-scale, complex service applications and coordination across multiple development teams.</t>
  </si>
  <si>
    <t>Full text</t>
  </si>
  <si>
    <t>TH1; TH3; TH7</t>
  </si>
  <si>
    <t>Performance/scalability; Lifecycle/software engineering; Organizational/governance/regulatory</t>
  </si>
  <si>
    <t>Applicable / EM1 / reviewer TRL 2–3</t>
  </si>
  <si>
    <t>Limitations: The conclusion explicitly cautions that the large-scale gas comparison cannot support definitive absolute conclusions and identifies further work. | Barriers: Reviewer synthesis from author-stated limitations/future work: scale/performance/resource constraints; cost or specialized resource/hardware overhead. | Future: Extend the MDE approach to support more comprehensive access-control policies across generated smart contracts.</t>
  </si>
  <si>
    <t>QA7 evidence: p. 24; Future Work: PDF p. 23; Conclusion/Future Work: PDF p. 23</t>
  </si>
  <si>
    <t>Limitations: Threats include dataset-selection bias, subjective interpretation of topic-model outputs and possible errors when mapping architectural information. | Barriers: No explicit operational-deployment barrier stated in the supplied source. | Future: Further characterize blockchain-community contributors, including contributor evolution, participation patterns and participation motivations.</t>
  </si>
  <si>
    <t>QA7 evidence: p. 15; Threats to Validity: PDF p. 15</t>
  </si>
  <si>
    <t>TH3; TH5</t>
  </si>
  <si>
    <t>Lifecycle/software engineering; Evidence/evaluation</t>
  </si>
  <si>
    <t>Source-derived future/limitation needs touch: LC2 Architecture/design; LC7 Maintenance/evolution.</t>
  </si>
  <si>
    <t>Limitations: The conclusion identifies remaining methodology-development and broader-platform work. | Barriers: No explicit operational-deployment barrier stated in the supplied source. | Future: Develop a more expressive formal system and an extensible curated library of reusable specified Solidity code samples.</t>
  </si>
  <si>
    <t>QA7 evidence: p. 16</t>
  </si>
  <si>
    <t>Limitations: The conclusion identifies continued domain-library expansion, execution monitoring and correctness verification as ongoing work. | Barriers: Reviewer synthesis from author-stated limitations/future work: security/privacy/assurance constraints. | Future: Expand the domain library and strengthen execution monitoring and correctness verification.</t>
  </si>
  <si>
    <t>QA7 evidence: p. 15</t>
  </si>
  <si>
    <t>Source-derived future/limitation needs touch: LC3 Implementation; LC4 Testing/verification; LC6 Operation/monitoring.</t>
  </si>
  <si>
    <t>Limitations: The authors explicitly acknowledge poor coverage for 2015–2016 and uneven representation of later years, but provide no formal threats-to-validity analysis. | Barriers: No explicit operational-deployment barrier stated in the supplied source. | Future: Collect additional design-pattern samples for poorly represented years, especially 2015–2016.</t>
  </si>
  <si>
    <t>QA7 evidence: pp. 2 and 4; Future Work: PDF p. 4; Conclusion/Future Work: PDF p. 4</t>
  </si>
  <si>
    <t>Source-derived future/limitation needs touch: LC2 Architecture/design; LC3 Implementation.</t>
  </si>
  <si>
    <t>Limitations: Single-case evaluation, usability-study needs, cross-language static-analysis limitations and incomplete lifecycle automation. | Barriers: Reviewer synthesis from author-stated limitations/future work: human/coordination/adoption constraints. | Future: Conduct broader usability studies, improve cross-language static analysis and automate more of the blockchain application lifecycle.</t>
  </si>
  <si>
    <t>QA7 evidence: pp. 25–26</t>
  </si>
  <si>
    <t>Limitations: Unsupported BPMN elements, open long-running transaction semantics, PoC status and scalability/global-clock concerns. | Barriers: Reviewer synthesis from author-stated limitations/future work: scale/performance/resource constraints. | Future: Resolve unsupported BPMN elements and long-running-transaction semantics; improve scalability/global-clock handling and the treatment of off-chain storage/documentation.</t>
  </si>
  <si>
    <t>QA7 evidence: pp. 24–25</t>
  </si>
  <si>
    <t>TH1; TH3</t>
  </si>
  <si>
    <t>Performance/scalability; Lifecycle/software engineering</t>
  </si>
  <si>
    <t>Limitations: Threats concern vulnerability detection, dataset construction, labelling validity and generalizability beyond the evaluated data. | Barriers: Reviewer synthesis from author-stated limitations/future work: security/privacy/assurance constraints. | Future: Use the ground-truth dataset for further detector evaluation and pursue additional research opportunities identified from the empirical findings.</t>
  </si>
  <si>
    <t>QA7 evidence: p. 35 onward; Threats to Validity: PDF p. 35</t>
  </si>
  <si>
    <t>Limitations: Future work explicitly identifies the need for more use cases, unit tests, static analyzers, fuzzing, formal verification, prompting methods and larger models. | Barriers: Reviewer synthesis from author-stated limitations/future work: security/privacy/assurance constraints. | Future: Expand use cases and tests and combine LLM synthesis with static analysis, fuzzing, formal verification, improved prompting and larger models.</t>
  </si>
  <si>
    <t>QA7 evidence: p. 4; Future Work: PDF p. 4</t>
  </si>
  <si>
    <t>Limitations: The heuristics may produce false positives/false negatives; revert-related cases are excluded and the findings may not generalize to all contracts. | Barriers: Reviewer synthesis from author-stated limitations/future work: security/privacy/assurance constraints; human/coordination/adoption constraints. | Future: Improve detection of cases where implicit error handling is adequate and conduct additional empirical/human studies to inform Solidity framework design.</t>
  </si>
  <si>
    <t>QA7 evidence: p. 10; Threats to Validity: PDF p. 10</t>
  </si>
  <si>
    <t>TH4; TH5; TH10</t>
  </si>
  <si>
    <t>Assurance/security; Evidence/evaluation; Human/usability/stakeholder</t>
  </si>
  <si>
    <t>Limitations: Overcrowded behavioral diagrams, unsupported statements, absent testing/exception-handling features and need for further validation. | Barriers: Reviewer synthesis from author-stated limitations/future work: human/coordination/adoption constraints. | Future: Add currently unsupported statements, testing and exception-handling features and conduct further validation/usability evaluation of the abstraction.</t>
  </si>
  <si>
    <t>QA7 evidence: p. 9</t>
  </si>
  <si>
    <t>Limitations: Threats include possible evolution-chain misclassification, code homogeneity, incomplete detection-tool coverage and dataset-dependent conclusions. | Barriers: Reviewer synthesis from author-stated limitations/future work: security/privacy/assurance constraints. | Future: Use evolution information to support better contract development and improve analysis of harder logic-related vulnerabilities.</t>
  </si>
  <si>
    <t>QA7 evidence: pp. 18–19; Threats to Validity: PDF p. 18</t>
  </si>
  <si>
    <t>Source-derived future/limitation needs touch: LC3 Implementation; LC4 Testing/verification; LC7 Maintenance/evolution.</t>
  </si>
  <si>
    <t>Limitations: Threats include sensitivity to NiCad configuration, qualitative-coding bias and external-validity limits. | Barriers: No explicit operational-deployment barrier stated in the supplied source. | Future: No explicit future-research recommendation identified in the supplied full text.</t>
  </si>
  <si>
    <t>QA7 evidence: p. 11; Threats to Validity: PDF p. 11</t>
  </si>
  <si>
    <t>Limitations: The study explicitly excludes consensus changes, blockchain attacks, inter-microservice security and tunneling from its scope. | Barriers: Reviewer synthesis from author-stated limitations/future work: security/privacy/assurance constraints. | Future: Investigate excluded software-development concerns such as consensus changes, blockchain attacks, inter-microservice security and tunneling, and address the broader future research questions identified by the study.</t>
  </si>
  <si>
    <t>QA7 evidence: Sec. VII-A; Delimitation: PDF p. 13</t>
  </si>
  <si>
    <t>Limitations: Data completeness, proxy-pattern scope, cross-platform coverage and scalability challenges, with planned enhancements. | Barriers: Reviewer synthesis from author-stated limitations/future work: scale/performance/resource constraints; heterogeneous-platform/interoperability constraints. | Future: Improve data completeness, support additional proxy patterns/platforms and strengthen EvoChain scalability and cross-platform coverage.</t>
  </si>
  <si>
    <t>QA7 evidence: limitations/future-enhancement discussion; Limitations: PDF p. 3; Future Work: PDF p. 3</t>
  </si>
  <si>
    <t>Limitations: Participant bias, unsupported contract situations and further integration/automation needs. | Barriers: Reviewer synthesis from author-stated limitations/future work: human/coordination/adoption constraints. | Future: Recruit a larger and more diverse developer sample, improve study-process recording, add participation incentives and further automate/integrate SmartUpdater.</t>
  </si>
  <si>
    <t>QA7 evidence: Limitations And Future Directions; Limitations: PDF p. 16</t>
  </si>
  <si>
    <t>TH3; TH5; TH7; TH10</t>
  </si>
  <si>
    <t>Lifecycle/software engineering; Evidence/evaluation; Organizational/governance/regulatory; Human/usability/stakeholder</t>
  </si>
  <si>
    <t>Source-derived future/limitation needs touch: LC3 Implementation; LC7 Maintenance/evolution; LC8 Governance/retirement.</t>
  </si>
  <si>
    <t>Limitations: Provisional (preprint): the authors include a 'Known Limitations and Improvements' discussion, but the limitation coding is not locked until the peer-reviewed Version of Record is supplied. | Barriers: No explicit operational-deployment barrier stated in the supplied source. | Future: Provisional (preprint): enhance automation with NLP, improve cross-stage consistency and extend support to more blockchain platforms.</t>
  </si>
  <si>
    <t>QA7 evidence: Sec. 5.2; Limitations: PDF p. 20; Known Limitations and Improvements: Sec. 5.2 (supplied preprint; provisional)</t>
  </si>
  <si>
    <t>Limitations: The paper discusses false positives, bounded path exploration and detector limitations. | Barriers: Reviewer synthesis from author-stated limitations/future work: security/privacy/assurance constraints. | Future: Use deeper analyses to resolve difficult cases and evolve Oyente toward a more interactive debugging workflow.</t>
  </si>
  <si>
    <t>QA7 evidence: Secs. 5–7</t>
  </si>
  <si>
    <t>TH3; TH4</t>
  </si>
  <si>
    <t>Lifecycle/software engineering; Assurance/security</t>
  </si>
  <si>
    <t>Limitations: Limitations of Securify and of its compliance/violation pattern approach, including unsupported numerical properties and incompleteness tradeoffs. | Barriers: Reviewer synthesis from author-stated limitations/future work: human/coordination/adoption constraints. | Future: Add numerical analysis to improve Securify precision and support numerical properties.</t>
  </si>
  <si>
    <t>QA7 evidence: Limitations subsections; Limitations: PDF p. 11</t>
  </si>
  <si>
    <t>TH4; TH7</t>
  </si>
  <si>
    <t>Assurance/security; Organizational/governance/regulatory</t>
  </si>
  <si>
    <t>Source-derived future/limitation needs touch: LC8 Governance/retirement.</t>
  </si>
  <si>
    <t>Limitations: Unsupported Solidity constructs, runtime parameters, virtual functions, assembly and unsupported liveness/trace properties. | Barriers: No explicit operational-deployment barrier stated in the supplied source. | Future: Extend ZEUS to more Solidity constructs/runtime conditions and to trace/hyper-properties.</t>
  </si>
  <si>
    <t>QA7 evidence: Limitations subsection; Limitations: PDF p. 10</t>
  </si>
  <si>
    <t>Assurance/security</t>
  </si>
  <si>
    <t>Source-derived future/limitation needs touch: LC6 Operation/monitoring.</t>
  </si>
  <si>
    <t>Limitations: No explicit author-stated study limitation or threats-to-validity discussion identified in the supplied full text. | Barriers: Reviewer synthesis from author-stated limitations/future work: security/privacy/assurance constraints; human/coordination/adoption constraints. | Future: Extend verification beyond logical correctness to model malicious user behavior and identify additional potential smart-contract vulnerabilities.</t>
  </si>
  <si>
    <t>TH4; TH10</t>
  </si>
  <si>
    <t>Assurance/security; Human/usability/stakeholder</t>
  </si>
  <si>
    <t>Limitations: Threats include the loop-unrolling threshold and representativeness of the evaluated dataset. | Barriers: Reviewer synthesis from author-stated limitations/future work: security/privacy/assurance constraints. | Future: Investigate incremental/compositional reentrancy analysis and combine static analysis with dynamic techniques to cover more vulnerability types.</t>
  </si>
  <si>
    <t>QA7 evidence: Secs. 6.6.2–6.6.3; Limitations: PDF p. 2; Threats to Validity: PDF p. 11</t>
  </si>
  <si>
    <t>TH4; TH5</t>
  </si>
  <si>
    <t>Assurance/security; Evidence/evaluation</t>
  </si>
  <si>
    <t>Limitations: Threats include baseline reimplementation differences and dataset/labelling validity. | Barriers: No explicit operational-deployment barrier stated in the supplied source. | Future: No explicit future-research recommendation identified in the supplied full text.</t>
  </si>
  <si>
    <t>QA7 evidence: Sec. V; Threats to Validity: PDF p. 9</t>
  </si>
  <si>
    <t>Source-derived future/limitation needs touch: LC3 Implementation; LC4 Testing/verification.</t>
  </si>
  <si>
    <t>Limitations: Incomplete library modelling, manually summarized vulnerability patterns and immature Solidity-to-Wasm support. | Barriers: Reviewer synthesis from author-stated limitations/future work: security/privacy/assurance constraints. | Future: Extend WANA to additional Wasm-targeting applications and broaden vulnerability-pattern/library support.</t>
  </si>
  <si>
    <t>QA7 evidence: Sec. IV-E; Threats to Validity: PDF p. 8; Future Work: PDF p. 11; Conclusion/Future Work: PDF p. 11</t>
  </si>
  <si>
    <t>Source-derived future/limitation needs touch: LC2 Architecture/design; LC3 Implementation; LC4 Testing/verification.</t>
  </si>
  <si>
    <t>Limitations: The conclusion identifies future extensions and supported-vulnerability limitations. | Barriers: Reviewer synthesis from author-stated limitations/future work: security/privacy/assurance constraints. | Future: Broaden vulnerability-type coverage and design additional detection algorithms.</t>
  </si>
  <si>
    <t>QA7 evidence: Sec. V; Future Work: PDF p. 9; Conclusion/Future Work: PDF p. 9</t>
  </si>
  <si>
    <t>Limitations: Limitations including contract-level rather than location-level output, varying vulnerability performance and limited dataset scale. | Barriers: Reviewer synthesis from author-stated limitations/future work: scale/performance/resource constraints; security/privacy/assurance constraints. | Future: Improve localization from contract-level to vulnerability-location output, expand datasets and improve performance across vulnerability classes.</t>
  </si>
  <si>
    <t>QA7 evidence: end of Sec. 4 / Sec. 5</t>
  </si>
  <si>
    <t>TH1; TH4; TH5</t>
  </si>
  <si>
    <t>Performance/scalability; Assurance/security; Evidence/evaluation</t>
  </si>
  <si>
    <t>Limitations: A dedicated discussion lists limitations involving parameter sensitivity, SMT timeout randomness and OS-fork scheduling overhead, with planned improvements. | Barriers: Reviewer synthesis from author-stated limitations/future work: scale/performance/resource constraints. | Future: Reduce sensitivity to tuning parameters, SMT timeout randomness and OS-level fork/scheduling overhead.</t>
  </si>
  <si>
    <t>QA7 evidence: Sec. 8</t>
  </si>
  <si>
    <t>Limitations: Threats cover implementation choices, external generalization and construct/measurement validity. | Barriers: Reviewer synthesis from author-stated limitations/future work: security/privacy/assurance constraints. | Future: Explore more interpretable machine learning and extend ReVulDL to additional vulnerability types.</t>
  </si>
  <si>
    <t>QA7 evidence: Sec. 6; Threats to Validity: PDF p. 11; Future Work: PDF p. 11; Conclusion/Future Work: PDF p. 11</t>
  </si>
  <si>
    <t>Limitations: Limitations of opcode-only representations and insufficient use of raw contextual, syntactic and semantic information. | Barriers: No explicit operational-deployment barrier stated in the supplied source. | Future: Use richer raw contextual, syntactic and semantic information beyond opcode-only representations.</t>
  </si>
  <si>
    <t>QA7 evidence: Sec. 7</t>
  </si>
  <si>
    <t>Limitations: Limitations in supported vulnerability types and plans expansion to timestamp, integer-overflow and multi-vulnerability cases. | Barriers: Reviewer synthesis from author-stated limitations/future work: security/privacy/assurance constraints. | Future: Extend detection to timestamp dependency, integer-overflow and multi-vulnerability cases.</t>
  </si>
  <si>
    <t>QA7 evidence: Sec. 5</t>
  </si>
  <si>
    <t>Limitations: The tool has three stated technical limitations; external/internal validity is further constrained by dataset size and manual-inspection bias. | Barriers: No explicit operational-deployment barrier stated in the supplied source. | Future: Address the three stated tool limitations and extend AChecker support, including tx.origin-related cases.</t>
  </si>
  <si>
    <t>QA7 evidence: Secs. V-B–V-C; Limitations: PDF p. 11; Threats to Validity: PDF p. 11</t>
  </si>
  <si>
    <t>Limitations: Benchmark-labeling errors, bypass risk and plans to improve SCGraph quality, normalization and vulnerability coverage. | Barriers: Reviewer synthesis from author-stated limitations/future work: security/privacy/assurance constraints. | Future: Improve semantic-contract-graph quality, add normalization and broaden vulnerability coverage.</t>
  </si>
  <si>
    <t>QA7 evidence: Sec. VI; Future Work: PDF p. 10; Conclusion/Future Work: PDF p. 10</t>
  </si>
  <si>
    <t>Limitations: Threats include dataset subjectivity/injection bias, limited vulnerability classes, class imbalance, hyperparameter sensitivity and manually defined slice criteria. | Barriers: Reviewer synthesis from author-stated limitations/future work: security/privacy/assurance constraints. | Future: Evaluate additional graph representations, vulnerability types and imbalance/hyperparameter settings while reducing manual slice-criteria bias.</t>
  </si>
  <si>
    <t>QA7 evidence: Sec. 7; Threats to Validity: PDF p. 2</t>
  </si>
  <si>
    <t>Limitations: The conclusion acknowledges that evaluation is limited to reentrancy and proposes extension to other vulnerability types. | Barriers: Reviewer synthesis from author-stated limitations/future work: security/privacy/assurance constraints. | Future: Develop a multimodal model combining DistilBERT with graph representations and evaluate additional vulnerability classes.</t>
  </si>
  <si>
    <t>Limitations: The conclusion acknowledges that VeriSolid is presently limited to Solidity/EVM-compatible blockchains and identifies unsupported languages/hyper-properties as future extensions. | Barriers: No explicit operational-deployment barrier stated in the supplied source. | Future: Extend automated model checking to other smart-contract languages and support additional properties/hyper-properties beyond the current Solidity/EVM scope.</t>
  </si>
  <si>
    <t>QA7 evidence: PDF p. 17</t>
  </si>
  <si>
    <t>Limitations: No explicit author-stated study limitation or threats-to-validity discussion identified in the supplied full text. | Barriers: No explicit operational-deployment barrier stated in the supplied source. | Future: Explore applying the cross-modality mutual-learning approach to other programs that have paired source-code and bytecode modalities.</t>
  </si>
  <si>
    <t>QA7 evidence: Full text; conclusion on PDF p. 8</t>
  </si>
  <si>
    <t>Limitations: Graph-representation limits, compiler/tool failures, label subjectivity, unlabelled data and the need to map bytecode detections back to source lines. | Barriers: No explicit operational-deployment barrier stated in the supplied source. | Future: Enrich heterogeneous contract graphs with more dependency/call relations, improve learning under few-shot/inconsistent labels and map detections back to source lines.</t>
  </si>
  <si>
    <t>QA7 evidence: PDF p. 11; Limitations: PDF p. 10; Future Work: PDF p. 11</t>
  </si>
  <si>
    <t>Limitations: Threats include hyperparameter uncertainty and limited external validity because only two vulnerability types are evaluated. | Barriers: Reviewer synthesis from author-stated limitations/future work: security/privacy/assurance constraints. | Future: Evaluate PSCVFinder under additional settings and vulnerability types to test generalizability.</t>
  </si>
  <si>
    <t>QA7 evidence: PDF p. 10; Threats to Validity: PDF p. 10</t>
  </si>
  <si>
    <t>QA7 evidence: Full text</t>
  </si>
  <si>
    <t>Limitations: No explicit author-stated study limitation or threats-to-validity discussion identified in the supplied full text. | Barriers: Reviewer synthesis from author-stated limitations/future work: security/privacy/assurance constraints. | Future: Investigate additional Hyperledger Fabric vulnerabilities and additional chaincode languages.</t>
  </si>
  <si>
    <t>QA7 evidence: PDF p. 7</t>
  </si>
  <si>
    <t>Limitations: No explicit author-stated study limitation or threats-to-validity discussion identified in the supplied full text. | Barriers: No explicit operational-deployment barrier stated in the supplied source. | Future: Integrate dynamic-analysis techniques to complement the current static-analysis approach.</t>
  </si>
  <si>
    <t>Limitations: Threats include restricted extensibility, subjective data construction and other internal/external validity concerns. | Barriers: Reviewer synthesis from author-stated limitations/future work: security/privacy/assurance constraints. | Future: Expand data-construction rules and datasets to cover more vulnerability types.</t>
  </si>
  <si>
    <t>QA7 evidence: PDF pp. 19–20; Future Work: PDF p. 21; Conclusion/Future Work: PDF p. 21</t>
  </si>
  <si>
    <t>Limitations: Extendibility and limitations, including graph scale, data imbalance and representation limitations, and proposes concrete future improvements. | Barriers: Reviewer synthesis from author-stated limitations/future work: scale/performance/resource constraints. | Future: Add richer graph edge types and improve robustness to graph scale, data imbalance and representation limitations.</t>
  </si>
  <si>
    <t>QA7 evidence: PDF p. 9; Future Work: PDF p. 9</t>
  </si>
  <si>
    <t>TH1; TH5</t>
  </si>
  <si>
    <t>Performance/scalability; Evidence/evaluation</t>
  </si>
  <si>
    <t>Limitations: False-positive/false-negative causes and acknowledges static-analysis limitations for runtime state and cross-contract invocations. | Barriers: Reviewer synthesis from author-stated limitations/future work: security/privacy/assurance constraints. | Future: Combine ContractSentry with dynamic analysis to detect cross-contract/runtime vulnerabilities more comprehensively.</t>
  </si>
  <si>
    <t>QA7 evidence: PDF pp. 25–29</t>
  </si>
  <si>
    <t>Source-derived future/limitation needs touch: LC4 Testing/verification; LC6 Operation/monitoring.</t>
  </si>
  <si>
    <t>Limitations: Limitations of test oracles and shows concrete false-positive scenarios caused by business logic and blockchain state semantics. | Barriers: Reviewer synthesis from author-stated limitations/future work: security/privacy/assurance constraints. | Future: Integrate realistic business logic and execution-state semantics to improve fuzzing/oracle effectiveness and reduce false positives.</t>
  </si>
  <si>
    <t>QA7 evidence: PDF pp. 21–22; Limitations: PDF p. 21</t>
  </si>
  <si>
    <t>Limitations: A threats-to-validity section and separate discussion explicitly address seed sensitivity, manual vulnerability typing, symbolic-address/state limitations and oracle limitations. | Barriers: Reviewer synthesis from author-stated limitations/future work: security/privacy/assurance constraints. | Future: Improve symbolic-address handling with pointer analysis and strengthen state/oracle handling and seed robustness.</t>
  </si>
  <si>
    <t>QA7 evidence: PDF pp. 12–13; Limitations: PDF p. 3; Threats to Validity: PDF p. 12</t>
  </si>
  <si>
    <t>Limitations: Limitations include LLM time/computation cost, extensibility constraints, hallucination risk and possible data leakage; mitigation is discussed but these risks remain relevant. | Barriers: Reviewer synthesis from author-stated limitations/future work: security/privacy/assurance constraints; cost or specialized resource/hardware overhead. | Future: No explicit future-research recommendation identified in the supplied full text.</t>
  </si>
  <si>
    <t>QA7 evidence: PDF p. 12; Threats to Validity: PDF p. 12</t>
  </si>
  <si>
    <t>TH4; TH9</t>
  </si>
  <si>
    <t>Assurance/security; Economic/resource</t>
  </si>
  <si>
    <t>Reserved</t>
  </si>
  <si>
    <t>Rows 95–300 are reserved for additional evidence units if a study requires multiple thematic excerpts.</t>
  </si>
  <si>
    <t>Unused capacity</t>
  </si>
  <si>
    <t>Pending independent Reviewer-2 thematic coding</t>
  </si>
  <si>
    <t>R1 evidence is staged for reference only; Reviewer 2 must code independently before reconciliation.</t>
  </si>
  <si>
    <t>Rows 95–300 are reserved for additional independently coded evidence units.</t>
  </si>
  <si>
    <t>STATUS</t>
  </si>
  <si>
    <t>R1 seed coding staged for PS001–PS094</t>
  </si>
  <si>
    <t>R1 codes available</t>
  </si>
  <si>
    <t>Pending independent human R2</t>
  </si>
  <si>
    <t>Not formally evaluable</t>
  </si>
  <si>
    <t>No codebook change asserted</t>
  </si>
  <si>
    <t>Reconciliation cannot begin until independent Reviewer-2 thematic coding is completed.</t>
  </si>
  <si>
    <t>S6 seed codebook v1</t>
  </si>
  <si>
    <t>C1 Low research coverage</t>
  </si>
  <si>
    <t>Study count or % for topic/domain/lifecycle intersection</t>
  </si>
  <si>
    <t>Not pre-specified in protocol — must be fixed before ranking</t>
  </si>
  <si>
    <t>Avoids post-hoc definition of under-coverage after observing the results</t>
  </si>
  <si>
    <t>Pending protocol decision</t>
  </si>
  <si>
    <t>C2 Weak lifecycle support</t>
  </si>
  <si>
    <t>Coverage of relevant LC phases</t>
  </si>
  <si>
    <t>A priori lifecycle threshold is required before assigning a gap flag</t>
  </si>
  <si>
    <t>C3 Low evidence maturity</t>
  </si>
  <si>
    <t>Distribution/median/concentration of EM levels</t>
  </si>
  <si>
    <t>EM threshold must be justified before using maturity to prioritize topics</t>
  </si>
  <si>
    <t>C4 Limited comparative/replicated evaluation</t>
  </si>
  <si>
    <t>Meaningful baselines, independent comparisons, or replication</t>
  </si>
  <si>
    <t>Prevents post-hoc classification of comparative evidence as insufficient</t>
  </si>
  <si>
    <t>C5 Insufficient operational/longitudinal evidence</t>
  </si>
  <si>
    <t>EM6/EM7, EV9/EV10, or explicit operational/longitudinal evidence</t>
  </si>
  <si>
    <t>Operational-evidence threshold must be fixed before final agenda ranking</t>
  </si>
  <si>
    <t>C6 Recurring limitation</t>
  </si>
  <si>
    <t>Unique studies independently reporting same limitation/barrier</t>
  </si>
  <si>
    <t>Minimum unique-study support not pre-specified — must be fixed before ranking</t>
  </si>
  <si>
    <t>A recurrence threshold is required before converting a theme frequency into a priority flag</t>
  </si>
  <si>
    <t>RA01</t>
  </si>
  <si>
    <t>Improve scalability/performance under realistic enterprise workloads and resource constraints</t>
  </si>
  <si>
    <t>ED1; ED3; ED4; ED2</t>
  </si>
  <si>
    <t>LC4; LC2; LC3; LC5; LC6; LC1; LC7</t>
  </si>
  <si>
    <t>Blockchain software engineering / developer tooling; Blockchain infrastructure / distributed systems; Smart-contract security / software assurance; General blockchain / distributed-ledger infrastructure</t>
  </si>
  <si>
    <t>Current unique-study support=15 on provisional N=88; final low-coverage determination requires pre-specified C1 threshold.</t>
  </si>
  <si>
    <t>Supporting lifecycle codes: LC4=12; LC2=10; LC3=10; LC5=3; LC6=2; LC1=1; LC7=1</t>
  </si>
  <si>
    <t>EM distribution among supporting applicable studies: EM4=11; EM1=2; EM2=1; EM3=1</t>
  </si>
  <si>
    <t>Comparative evaluation identified in 10/15 supporting studies; independent replication generally not reported.</t>
  </si>
  <si>
    <t>Operational deployment evidence in 0/15; longitudinal evidence in 0/15.</t>
  </si>
  <si>
    <t>Recurring limitation theme TH1 is supported by 15 unique studies: PS002, PS003, PS005, PS007, PS010, PS019, PS023, PS036, PS047, PS048, PS054, PS062, PS073, PS074, PS090</t>
  </si>
  <si>
    <t>Pending threshold</t>
  </si>
  <si>
    <t>Not ranked — agenda thresholds are not pre-specified</t>
  </si>
  <si>
    <t>Supporting Study IDs: PS002, PS003, PS005, PS007, PS010, PS019, PS023, PS036, PS047, PS048, PS054, PS062, PS073, PS074, PS090</t>
  </si>
  <si>
    <t>RA02</t>
  </si>
  <si>
    <t>Strengthen heterogeneous blockchain interoperability and integration assurance</t>
  </si>
  <si>
    <t>ED2; ED1; ED3</t>
  </si>
  <si>
    <t>LC4; LC2; LC3; LC1; LC7; LC6</t>
  </si>
  <si>
    <t>Cross-chain infrastructure / interoperability; Blockchain software engineering / developer tooling</t>
  </si>
  <si>
    <t>Current unique-study support=9 on provisional N=88; final low-coverage determination requires pre-specified C1 threshold.</t>
  </si>
  <si>
    <t>Supporting lifecycle codes: LC4=8; LC2=7; LC3=7; LC1=1; LC6=1; LC7=1</t>
  </si>
  <si>
    <t>EM distribution among supporting applicable studies: EM4=7; EM0=1; EM1=1</t>
  </si>
  <si>
    <t>Comparative evaluation identified in 5/9 supporting studies; independent replication generally not reported.</t>
  </si>
  <si>
    <t>Operational deployment evidence in 0/9; longitudinal evidence in 0/9.</t>
  </si>
  <si>
    <t>Recurring limitation theme TH2 is supported by 9 unique studies: PS023, PS026, PS027, PS030, PS034, PS035, PS038, PS041, PS062</t>
  </si>
  <si>
    <t>Supporting Study IDs: PS023, PS026, PS027, PS030, PS034, PS035, PS038, PS041, PS062</t>
  </si>
  <si>
    <t>RA03</t>
  </si>
  <si>
    <t>Extend lifecycle engineering methods, tooling, automation, deployment and maintenance support</t>
  </si>
  <si>
    <t>ED3; ED4; ED1; ED2</t>
  </si>
  <si>
    <t>LC3; LC2; LC4; LC5; LC1; LC7; LC6</t>
  </si>
  <si>
    <t>Blockchain software engineering / developer tooling; Smart-contract security / software assurance; General blockchain / distributed-ledger infrastructure; Telecommunications / networking</t>
  </si>
  <si>
    <t>Current unique-study support=22 on provisional N=88; final low-coverage determination requires pre-specified C1 threshold.</t>
  </si>
  <si>
    <t>Supporting lifecycle codes: LC3=15; LC2=11; LC4=9; LC5=8; LC1=4; LC7=3; LC6=1</t>
  </si>
  <si>
    <t>EM distribution among supporting applicable studies: EM4=8; EM3=3; EM0=2; EM1=2; EM5=1; EM6=1</t>
  </si>
  <si>
    <t>Comparative evaluation identified in 11/22 supporting studies; independent replication generally not reported.</t>
  </si>
  <si>
    <t>Operational deployment evidence in 1/22; longitudinal evidence in 0/22.</t>
  </si>
  <si>
    <t>Recurring limitation theme TH3 is supported by 22 unique studies: PS003, PS013, PS029, PS042, PS043, PS045, PS046, PS047, PS049, PS050, PS051, PS052, PS053, PS054, PS058, PS059, PS061, PS063, PS065, PS071, PS078, PS084</t>
  </si>
  <si>
    <t>Supporting Study IDs: PS003, PS013, PS029, PS042, PS043, PS045, PS046, PS047, PS049, PS050, PS051, PS052, PS053, PS054, PS058, PS059, PS061, PS063, PS065, PS071, PS078, PS084</t>
  </si>
  <si>
    <t>RA04</t>
  </si>
  <si>
    <t>Broaden smart-contract assurance for security, correctness, privacy and usability</t>
  </si>
  <si>
    <t>LC4; LC7; LC3</t>
  </si>
  <si>
    <t>Smart-contract security / software assurance; Blockchain software engineering / developer tooling</t>
  </si>
  <si>
    <t>Current unique-study support=21 on provisional N=88; final low-coverage determination requires pre-specified C1 threshold.</t>
  </si>
  <si>
    <t>Supporting lifecycle codes: LC4=21; LC3=1; LC7=1</t>
  </si>
  <si>
    <t>EM distribution among supporting applicable studies: EM4=17; EM1=2; EM6=1</t>
  </si>
  <si>
    <t>Comparative evaluation identified in 17/21 supporting studies; independent replication generally not reported.</t>
  </si>
  <si>
    <t>Operational deployment evidence in 1/21; longitudinal evidence in 0/21.</t>
  </si>
  <si>
    <t>Recurring limitation theme TH4 is supported by 21 unique studies: PS057, PS065, PS066, PS067, PS068, PS069, PS071, PS072, PS073, PS075, PS077, PS079, PS080, PS081, PS085, PS087, PS089, PS091, PS092, PS093, PS094</t>
  </si>
  <si>
    <t>Supporting Study IDs: PS057, PS065, PS066, PS067, PS068, PS069, PS071, PS072, PS073, PS075, PS077, PS079, PS080, PS081, PS085, PS087, PS089, PS091, PS092, PS093, PS094</t>
  </si>
  <si>
    <t>RA05</t>
  </si>
  <si>
    <t>Raise evaluation rigor, realism, comparability and evidence quality</t>
  </si>
  <si>
    <t>ED4; ED3; ED1; ED2</t>
  </si>
  <si>
    <t>LC4; LC3; LC2; LC7; LC5; LC1</t>
  </si>
  <si>
    <t>Smart-contract security / software assurance; Blockchain software engineering / developer tooling; General blockchain / distributed-ledger infrastructure; Blockchain infrastructure / distributed systems</t>
  </si>
  <si>
    <t>Current unique-study support=31 on provisional N=88; final low-coverage determination requires pre-specified C1 threshold.</t>
  </si>
  <si>
    <t>Supporting lifecycle codes: LC4=24; LC3=14; LC2=10; LC7=5; LC5=4; LC1=3</t>
  </si>
  <si>
    <t>EM distribution among supporting applicable studies: EM4=21; EM3=2; EM1=1; EM2=1; EM5=1</t>
  </si>
  <si>
    <t>Comparative evaluation identified in 22/31 supporting studies; independent replication generally not reported.</t>
  </si>
  <si>
    <t>Operational deployment evidence in 0/31; longitudinal evidence in 0/31.</t>
  </si>
  <si>
    <t>Recurring limitation theme TH5 is supported by 31 unique studies: PS001, PS002, PS003, PS006, PS011, PS024, PS027, PS043, PS044, PS049, PS050, PS052, PS053, PS055, PS057, PS058, PS059, PS060, PS063, PS069, PS070, PS073, PS075, PS078, PS079, PS080, PS081, PS085, PS089, PS090, PS093</t>
  </si>
  <si>
    <t>Supporting Study IDs: PS001, PS002, PS003, PS006, PS011, PS024, PS027, PS043, PS044, PS049, PS050, PS052, PS053, PS055, PS057, PS058, PS059, PS060, PS063, PS069, PS070, PS073, PS075, PS078, PS079, PS080, PS081, PS085, PS089, PS090, PS093</t>
  </si>
  <si>
    <t>RA06</t>
  </si>
  <si>
    <t>Advance production deployment, monitoring, reliability and sustained operational validation</t>
  </si>
  <si>
    <t>ED1; ED2; ED3; ED4</t>
  </si>
  <si>
    <t>Blockchain infrastructure / distributed systems; Cross-chain infrastructure / interoperability; General blockchain / distributed-ledger infrastructure; Telecommunications / networking</t>
  </si>
  <si>
    <t>Current unique-study support=8 on provisional N=88; final low-coverage determination requires pre-specified C1 threshold.</t>
  </si>
  <si>
    <t>Supporting lifecycle codes: LC2=8; LC3=8; LC4=8</t>
  </si>
  <si>
    <t>EM distribution among supporting applicable studies: EM4=4; EM0=1; EM2=1; EM3=1; EM5=1</t>
  </si>
  <si>
    <t>Comparative evaluation identified in 6/8 supporting studies; independent replication generally not reported.</t>
  </si>
  <si>
    <t>Operational deployment evidence in 0/8; longitudinal evidence in 0/8.</t>
  </si>
  <si>
    <t>Recurring limitation theme TH6 is supported by 8 unique studies: PS002, PS005, PS013, PS016, PS025, PS036, PS041, PS046</t>
  </si>
  <si>
    <t>Supporting Study IDs: PS002, PS005, PS013, PS016, PS025, PS036, PS041, PS046</t>
  </si>
  <si>
    <t>RA07</t>
  </si>
  <si>
    <t>Address governance, organizational coordination, incentives, compliance and regulation</t>
  </si>
  <si>
    <t>LC3; LC2; LC4; LC5; LC7</t>
  </si>
  <si>
    <t>Blockchain software engineering / developer tooling; Blockchain infrastructure / distributed systems; Transportation / automotive; Cross-chain infrastructure / interoperability</t>
  </si>
  <si>
    <t>Current unique-study support=6 on provisional N=88; final low-coverage determination requires pre-specified C1 threshold.</t>
  </si>
  <si>
    <t>Supporting lifecycle codes: LC3=5; LC2=4; LC4=4; LC5=2; LC7=1</t>
  </si>
  <si>
    <t>EM distribution among supporting applicable studies: EM2=2; EM4=2; EM1=1; EM6=1</t>
  </si>
  <si>
    <t>Comparative evaluation identified in 5/6 supporting studies; independent replication generally not reported.</t>
  </si>
  <si>
    <t>Operational deployment evidence in 1/6; longitudinal evidence in 0/6.</t>
  </si>
  <si>
    <t>Recurring limitation theme TH7 is supported by 6 unique studies: PS007, PS025, PS041, PS047, PS063, PS066</t>
  </si>
  <si>
    <t>Supporting Study IDs: PS007, PS025, PS041, PS047, PS063, PS066</t>
  </si>
  <si>
    <t>RA08</t>
  </si>
  <si>
    <t>Improve reproducibility, public artifacts, replicated benchmarks and independent validation</t>
  </si>
  <si>
    <t>Current unique-study support=0 on provisional N=88; final low-coverage determination requires pre-specified C1 threshold.</t>
  </si>
  <si>
    <t>No coded lifecycle support.</t>
  </si>
  <si>
    <t>No EM-applicable supporting studies.</t>
  </si>
  <si>
    <t>Comparative evaluation identified in 0/0 supporting studies; independent replication generally not reported.</t>
  </si>
  <si>
    <t>Operational deployment evidence in 0/0; longitudinal evidence in 0/0.</t>
  </si>
  <si>
    <t>Recurring limitation theme TH8 is supported by 0 unique studies:</t>
  </si>
  <si>
    <t>Supporting Study IDs:</t>
  </si>
  <si>
    <t>RA09</t>
  </si>
  <si>
    <t>Reduce economic, infrastructure, energy and specialized-resource barriers</t>
  </si>
  <si>
    <t>LC3; LC4; LC2; LC5</t>
  </si>
  <si>
    <t>Blockchain infrastructure / distributed systems; Cross-chain infrastructure / interoperability; Blockchain software engineering / developer tooling; Smart-contract security / software assurance</t>
  </si>
  <si>
    <t>Current unique-study support=7 on provisional N=88; final low-coverage determination requires pre-specified C1 threshold.</t>
  </si>
  <si>
    <t>Supporting lifecycle codes: LC3=7; LC4=7; LC2=6; LC5=1</t>
  </si>
  <si>
    <t>EM distribution among supporting applicable studies: EM4=5; EM2=1; EM3=1</t>
  </si>
  <si>
    <t>Comparative evaluation identified in 7/7 supporting studies; independent replication generally not reported.</t>
  </si>
  <si>
    <t>Operational deployment evidence in 0/7; longitudinal evidence in 0/7.</t>
  </si>
  <si>
    <t>Recurring limitation theme TH9 is supported by 7 unique studies: PS006, PS007, PS019, PS021, PS030, PS048, PS094</t>
  </si>
  <si>
    <t>Supporting Study IDs: PS006, PS007, PS019, PS021, PS030, PS048, PS094</t>
  </si>
  <si>
    <t>RA10</t>
  </si>
  <si>
    <t>Improve developer/user usability, skills, acceptance and stakeholder-centered engineering</t>
  </si>
  <si>
    <t>LC3; LC2; LC4; LC1; LC5; LC7</t>
  </si>
  <si>
    <t>Blockchain software engineering / developer tooling; Smart-contract security / software assurance</t>
  </si>
  <si>
    <t>Supporting lifecycle codes: LC3=6; LC2=4; LC4=4; LC1=3; LC5=3; LC7=2</t>
  </si>
  <si>
    <t>EM distribution among supporting applicable studies: EM1=2; EM3=1; EM4=1; EM5=1</t>
  </si>
  <si>
    <t>Comparative evaluation identified in 2/8 supporting studies; independent replication generally not reported.</t>
  </si>
  <si>
    <t>Recurring limitation theme TH10 is supported by 8 unique studies: PS042, PS043, PS044, PS053, PS057, PS058, PS063, PS068</t>
  </si>
  <si>
    <t>Supporting Study IDs: PS042, PS043, PS044, PS053, PS057, PS058, PS063, PS068</t>
  </si>
  <si>
    <t>RA11</t>
  </si>
  <si>
    <t>Unused placeholder — no additional candidate defined</t>
  </si>
  <si>
    <t>Not used</t>
  </si>
  <si>
    <t>Reserved capacity; no additional source-grounded candidate defined.</t>
  </si>
  <si>
    <t>RA12</t>
  </si>
  <si>
    <t>RA13</t>
  </si>
  <si>
    <t>RA14</t>
  </si>
  <si>
    <t>RA15</t>
  </si>
  <si>
    <t>RA16</t>
  </si>
  <si>
    <t>RA17</t>
  </si>
  <si>
    <t>RA18</t>
  </si>
  <si>
    <t>RA19</t>
  </si>
  <si>
    <t>RA20</t>
  </si>
  <si>
    <t>RA21</t>
  </si>
  <si>
    <t>RA22</t>
  </si>
  <si>
    <t>RA23</t>
  </si>
  <si>
    <t>RA24</t>
  </si>
  <si>
    <t>RA25</t>
  </si>
  <si>
    <t>RA26</t>
  </si>
  <si>
    <t>RA27</t>
  </si>
  <si>
    <t>RA28</t>
  </si>
  <si>
    <t>RA29</t>
  </si>
  <si>
    <t>RA30</t>
  </si>
  <si>
    <t>RA31</t>
  </si>
  <si>
    <t>RA32</t>
  </si>
  <si>
    <t>RA33</t>
  </si>
  <si>
    <t>RA34</t>
  </si>
  <si>
    <t>RA35</t>
  </si>
  <si>
    <t>RA36</t>
  </si>
  <si>
    <t>RA37</t>
  </si>
  <si>
    <t>RA38</t>
  </si>
  <si>
    <t>RA39</t>
  </si>
  <si>
    <t>RA40</t>
  </si>
  <si>
    <t>RA41</t>
  </si>
  <si>
    <t>RA42</t>
  </si>
  <si>
    <t>RA43</t>
  </si>
  <si>
    <t>RA44</t>
  </si>
  <si>
    <t>RA45</t>
  </si>
  <si>
    <t>RA46</t>
  </si>
  <si>
    <t>RA47</t>
  </si>
  <si>
    <t>RA48</t>
  </si>
  <si>
    <t>RA49</t>
  </si>
  <si>
    <t>RA50</t>
  </si>
  <si>
    <t>RA51</t>
  </si>
  <si>
    <t>RA52</t>
  </si>
  <si>
    <t>RA53</t>
  </si>
  <si>
    <t>RA54</t>
  </si>
  <si>
    <t>RA55</t>
  </si>
  <si>
    <t>RA56</t>
  </si>
  <si>
    <t>RA57</t>
  </si>
  <si>
    <t>RA58</t>
  </si>
  <si>
    <t>RA59</t>
  </si>
  <si>
    <t>RA60</t>
  </si>
  <si>
    <t>RA61</t>
  </si>
  <si>
    <t>RA62</t>
  </si>
  <si>
    <t>RA63</t>
  </si>
  <si>
    <t>RA64</t>
  </si>
  <si>
    <t>RA65</t>
  </si>
  <si>
    <t>RA66</t>
  </si>
  <si>
    <t>RA67</t>
  </si>
  <si>
    <t>RA68</t>
  </si>
  <si>
    <t>RA69</t>
  </si>
  <si>
    <t>RA70</t>
  </si>
  <si>
    <t>RA71</t>
  </si>
  <si>
    <t>RA72</t>
  </si>
  <si>
    <t>RA73</t>
  </si>
  <si>
    <t>RA74</t>
  </si>
  <si>
    <t>RA75</t>
  </si>
  <si>
    <t>RA76</t>
  </si>
  <si>
    <t>RA77</t>
  </si>
  <si>
    <t>RA78</t>
  </si>
  <si>
    <t>RA79</t>
  </si>
  <si>
    <t>RA80</t>
  </si>
  <si>
    <t>RA81</t>
  </si>
  <si>
    <t>RA82</t>
  </si>
  <si>
    <t>RA83</t>
  </si>
  <si>
    <t>RA84</t>
  </si>
  <si>
    <t>RA85</t>
  </si>
  <si>
    <t>RA86</t>
  </si>
  <si>
    <t>RA87</t>
  </si>
  <si>
    <t>RA88</t>
  </si>
  <si>
    <t>RA89</t>
  </si>
  <si>
    <t>RA90</t>
  </si>
  <si>
    <t>RA91</t>
  </si>
  <si>
    <t>RA92</t>
  </si>
  <si>
    <t>RA93</t>
  </si>
  <si>
    <t>RA94</t>
  </si>
  <si>
    <t>RA95</t>
  </si>
  <si>
    <t>RA96</t>
  </si>
  <si>
    <t>RA97</t>
  </si>
  <si>
    <t>RA98</t>
  </si>
  <si>
    <t>RA99</t>
  </si>
  <si>
    <t>RA100</t>
  </si>
  <si>
    <t>Descriptive statistics / cross-tabs</t>
  </si>
  <si>
    <t>Python + artifact_tool</t>
  </si>
  <si>
    <t>Python 3.13.5; artifact_tool version not recorded</t>
  </si>
  <si>
    <t>ChatGPT sandbox / Linux</t>
  </si>
  <si>
    <t>2026-08-10</t>
  </si>
  <si>
    <t>Provisional N=88; EM-applicable N=81; multi-label unique-study counting; results staged in Synthesis_Input/CrossTab_Templates</t>
  </si>
  <si>
    <t>Refresh after final inclusion lock; workbook retains underlying counts.</t>
  </si>
  <si>
    <t>Charts / heatmaps / bubble plots</t>
  </si>
  <si>
    <t>Underlying count matrices are prepared; figure-generation parameters not yet fixed</t>
  </si>
  <si>
    <t>Do not record a software/version until figures are actually generated.</t>
  </si>
  <si>
    <t>Co-authorship / collaboration</t>
  </si>
  <si>
    <t>Pending bibliometric software</t>
  </si>
  <si>
    <t>Author/institution/country normalization and thresholds required first</t>
  </si>
  <si>
    <t>Author field exists; institution/country normalization is incomplete.</t>
  </si>
  <si>
    <t>Bibliographic coupling / co-citation</t>
  </si>
  <si>
    <t>Reference-list/cited-reference extraction required before execution</t>
  </si>
  <si>
    <t>No cited-reference network results are claimed.</t>
  </si>
  <si>
    <t>Keyword co-occurrence / thematic development</t>
  </si>
  <si>
    <t>Keyword coverage currently 69/88; normalization and minimum-occurrence threshold pending</t>
  </si>
  <si>
    <t>R1 seed themes are available separately from keyword bibliometrics.</t>
  </si>
  <si>
    <t>Qualitative thematic coding</t>
  </si>
  <si>
    <t>R1 seed coding staged from Gaps_Limitations; unique-study theme counting; independent R2 not performed</t>
  </si>
  <si>
    <t>Do not report thematic inter-rater agreement until independent R2 coding/reconciliation.</t>
  </si>
  <si>
    <t>Final figure preparation</t>
  </si>
  <si>
    <t>Final visual styling/export after population lock</t>
  </si>
  <si>
    <t>No final manuscript figure software/version asserted yet.</t>
  </si>
  <si>
    <t>O01</t>
  </si>
  <si>
    <t>Figure</t>
  </si>
  <si>
    <t>Selection</t>
  </si>
  <si>
    <t>Methods</t>
  </si>
  <si>
    <t>Mandatory</t>
  </si>
  <si>
    <t>Completed as supplied</t>
  </si>
  <si>
    <t>PRISMA flow artifact exists; snowballing pathway/count structure still requires final reconciliation.</t>
  </si>
  <si>
    <t>O02</t>
  </si>
  <si>
    <t>Descriptive</t>
  </si>
  <si>
    <t>Annual publication trend</t>
  </si>
  <si>
    <t>Provisional year counts are staged for N=88.</t>
  </si>
  <si>
    <t>O03</t>
  </si>
  <si>
    <t>Publication/venue/sector/architecture/facet summary</t>
  </si>
  <si>
    <t>RQ1–RQ6</t>
  </si>
  <si>
    <t>Data prepared; final refresh pending</t>
  </si>
  <si>
    <t>Descriptive_Plan contains provisional values; multi-label denominator note retained.</t>
  </si>
  <si>
    <t>Cross-dimensional</t>
  </si>
  <si>
    <t>O04</t>
  </si>
  <si>
    <t>ED × lifecycle heatmap</t>
  </si>
  <si>
    <t>Counts prepared; figure pending</t>
  </si>
  <si>
    <t>XT3 populated in CrossTab_Templates.</t>
  </si>
  <si>
    <t>Bibliometric</t>
  </si>
  <si>
    <t>O05</t>
  </si>
  <si>
    <t>ED × evaluation heatmap</t>
  </si>
  <si>
    <t>XT4 populated in CrossTab_Templates.</t>
  </si>
  <si>
    <t>Qualitative</t>
  </si>
  <si>
    <t>O06</t>
  </si>
  <si>
    <t>ED × evidence-maturity matrix</t>
  </si>
  <si>
    <t>XT5 uses EM-applicable provisional studies only.</t>
  </si>
  <si>
    <t>O07</t>
  </si>
  <si>
    <t>Full cross-tabulation summary</t>
  </si>
  <si>
    <t>Provisional tables populated</t>
  </si>
  <si>
    <t>XT1/XT2/XT3/XT4/XT5/XT6/XT7/XT8/XT9/XT10 are staged.</t>
  </si>
  <si>
    <t>O08</t>
  </si>
  <si>
    <t>Bubble plot of selected mapping intersection</t>
  </si>
  <si>
    <t>Conditional</t>
  </si>
  <si>
    <t>Use only after selecting a non-redundant intersection.</t>
  </si>
  <si>
    <t>O09</t>
  </si>
  <si>
    <t>Pending metadata normalization</t>
  </si>
  <si>
    <t>Author-name cleaning and institutional/country metadata are incomplete.</t>
  </si>
  <si>
    <t>O10</t>
  </si>
  <si>
    <t>Pending threshold/normalization</t>
  </si>
  <si>
    <t>Current keyword coverage 69/88 provisional studies.</t>
  </si>
  <si>
    <t>O11</t>
  </si>
  <si>
    <t>Recurring limitations / deployment barriers / future research themes</t>
  </si>
  <si>
    <t>R1 thematic data prepared; R2 pending</t>
  </si>
  <si>
    <t>Unique-study theme evidence is staged in Thematic_R1; independent R2/reconciliation pending.</t>
  </si>
  <si>
    <t>O12</t>
  </si>
  <si>
    <t>Evidence-based research agenda matrix</t>
  </si>
  <si>
    <t>Candidate matrix staged; ranking pending</t>
  </si>
  <si>
    <t>RA01–RA10 are source-grounded theme candidates; no final priority ranking until thresholds are fixed.</t>
  </si>
  <si>
    <t>Final synthesis population</t>
  </si>
  <si>
    <t>All unresolved eligibility/source issues resolved; final included N fixed before synthesis.</t>
  </si>
  <si>
    <t>Current provisional N=88; PS015/PS031/PS033/PS040/PS064 unresolved and PS014 excluded.</t>
  </si>
  <si>
    <t>Multi-label denominator statement</t>
  </si>
  <si>
    <t>Manuscript states facet percentages may exceed 100%.</t>
  </si>
  <si>
    <t>S6_ReadMe; Denominator_Rules; Synthesis_Input note.</t>
  </si>
  <si>
    <t>Missing-data reporting</t>
  </si>
  <si>
    <t>NR/NA/UNC and analysis-specific denominators reported.</t>
  </si>
  <si>
    <t>S6_ReadMe; Denominator_Rules; Synthesis_Input/Bibliometric_Metadata status values.</t>
  </si>
  <si>
    <t>Author vs reviewer TRL</t>
  </si>
  <si>
    <t>Author-reported and reviewer-inferred values presented separately.</t>
  </si>
  <si>
    <t>Synthesis_Input; Denominator_Rules; Descriptive_Plan.</t>
  </si>
  <si>
    <t>EM applicability</t>
  </si>
  <si>
    <t>Not-applicable studies reported separately from EM0–EM7.</t>
  </si>
  <si>
    <t>Synthesis_Input and Descriptive_Plan; provisional EM-applicable N=81.</t>
  </si>
  <si>
    <t>All planned RQ7 relationships produced with raw counts and denominator notes.</t>
  </si>
  <si>
    <t>All ten planned relationships are staged provisionally in CrossTab_Templates; refresh after final inclusion lock.</t>
  </si>
  <si>
    <t>Visualization reproducibility</t>
  </si>
  <si>
    <t>Underlying counts/matrices retained for every figure.</t>
  </si>
  <si>
    <t>Underlying descriptive and cross-tab counts are retained; final figures are not yet generated.</t>
  </si>
  <si>
    <t>Bibliometric metadata coverage</t>
  </si>
  <si>
    <t>Coverage n/N, thresholds, counting method, normalization, source, retrieval date, software/version reported.</t>
  </si>
  <si>
    <t>Coverage staged in Bibliometric_Metadata/Bibliometric_Plan; citations/references/institutions/countries and thresholds remain pending. Keywords 69/88.</t>
  </si>
  <si>
    <t>Citation interpretation</t>
  </si>
  <si>
    <t>Citation counts treated as contextual, not quality/readiness.</t>
  </si>
  <si>
    <t>Bibliometric_Plan and Denominator_Rules; citation counts are not yet retrieved.</t>
  </si>
  <si>
    <t>Keyword interpretation</t>
  </si>
  <si>
    <t>Keyword frequency treated as contextual, not maturity.</t>
  </si>
  <si>
    <t>Bibliometric_Plan and Visualization_Plan.</t>
  </si>
  <si>
    <t>Thematic pilot</t>
  </si>
  <si>
    <t>Independent thematic coding sample and codebook refinement documented.</t>
  </si>
  <si>
    <t>R1 seed coding is staged; independent R2 thematic coding/reconciliation has not been performed.</t>
  </si>
  <si>
    <t>Theme counting</t>
  </si>
  <si>
    <t>Theme prevalence based on unique studies, not raw excerpts.</t>
  </si>
  <si>
    <t>S6_ReadMe; Denominator_Rules; Thematic_R1; Research_Agenda support counts.</t>
  </si>
  <si>
    <t>Agenda thresholds</t>
  </si>
  <si>
    <t>Any quantitative agenda thresholds fixed before ranking.</t>
  </si>
  <si>
    <t>Research_Agenda C1–C6 explicitly records thresholds as pending pre-specification.</t>
  </si>
  <si>
    <t>Research agenda traceability</t>
  </si>
  <si>
    <t>Every priority links to mapping evidence and supporting Study IDs.</t>
  </si>
  <si>
    <t>RA01–RA10 include current support counts and Study IDs; final priority decisions remain unranked.</t>
  </si>
  <si>
    <t>Software/version</t>
  </si>
  <si>
    <t>Actual software/package versions replace manuscript placeholder.</t>
  </si>
  <si>
    <t>Software_Log records executed provisional analysis environment; bibliometric/figure software remains pending.</t>
  </si>
  <si>
    <t>Completed Context_Technical</t>
  </si>
  <si>
    <t>Application sector, architecture, technical context</t>
  </si>
  <si>
    <t>Context_Technical_PS001-PS094_Completed.xlsx</t>
  </si>
  <si>
    <t>Unsupported source fields were recorded as Not reported; PS040 full text missing and selected source/version issues remain.</t>
  </si>
  <si>
    <t>Final Classification_Coding</t>
  </si>
  <si>
    <t>ED/RT/CT/LC/BC/EV, EM, reviewer TRL</t>
  </si>
  <si>
    <t>Classification_Coding_PS001-PS094_Final.xlsx</t>
  </si>
  <si>
    <t>88 records final-coded; PS014 NA and five unresolved records UNC.</t>
  </si>
  <si>
    <t>Completed Gaps_Limitations</t>
  </si>
  <si>
    <t>Limitations, deployment barriers, future research, TH1–TH10 seed themes</t>
  </si>
  <si>
    <t>Gaps_Limitations_PS001-PS094_Completed.xlsx</t>
  </si>
  <si>
    <t>Theme labels are reviewer synthesis grounded in source-stated limitations; not independent R2 thematic coding.</t>
  </si>
  <si>
    <t>Evidence_Log R2/consensus</t>
  </si>
  <si>
    <t>QA evidence used to qualify comparative/reproducibility staging</t>
  </si>
  <si>
    <t>Evidence_Log_R2_Consensus_Completed.xlsx</t>
  </si>
  <si>
    <t>R2 is evidence-log verification, not blind independent human coding.</t>
  </si>
  <si>
    <t>Primary-study master</t>
  </si>
  <si>
    <t>Bibliographic metadata, DOI, authors, venue, keywords</t>
  </si>
  <si>
    <t>Primary_Studies_94_SMS_with_Abstracts_Keywords.xlsx</t>
  </si>
  <si>
    <t>Institution/country/reference-list/citation metadata are not fully normalized/staged.</t>
  </si>
  <si>
    <t>PRISMA counts workbook</t>
  </si>
  <si>
    <t>Selection-flow output status</t>
  </si>
  <si>
    <t>PRISMA_Study_Selection_Counts_and_Check.xlsx</t>
  </si>
  <si>
    <t>Snowballing arithmetic/pathway requires final reconciliation before manuscript lock.</t>
  </si>
  <si>
    <t>Current S6 completion</t>
  </si>
  <si>
    <t>Provisional synthesis tables and status tracking</t>
  </si>
  <si>
    <t>6. S6_Data_Synthesis_and_Visualization_Plan_Completed.xlsx</t>
  </si>
  <si>
    <t>Provisional counts use N=88 and must be refreshed after unresolved records are adjudicated.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</si>
</sst>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name val="Aptos"/>
    </font>
    <font>
      <sz val="12"/>
      <color theme="1"/>
      <name val="Times New Roman"/>
    </font>
    <font>
      <sz val="12"/>
      <name val="Times New Roman"/>
    </font>
    <font>
      <b/>
      <sz val="14"/>
      <color theme="0"/>
      <name val="Times New Roman"/>
    </font>
    <font>
      <b/>
      <sz val="16"/>
      <color rgb="FFFFFFFF"/>
      <name val="Times New Roman"/>
    </font>
    <font>
      <sz val="16"/>
      <color theme="1"/>
      <name val="Times New Roman"/>
    </font>
    <font>
      <i/>
      <sz val="11"/>
      <color theme="1"/>
      <name val="Calibri"/>
    </font>
    <font>
      <b/>
      <sz val="10"/>
      <color rgb="FFFFFFFF"/>
      <name val="Aptos"/>
    </font>
    <font>
      <b/>
      <sz val="11"/>
      <color theme="1"/>
      <name val="Calibri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4" fillId="0" borderId="0" xfId="0" applyFont="1"/>
    <xf numFmtId="0" fontId="5" fillId="0" borderId="0" xfId="0" applyFont="1" applyAlignment="1">
      <alignment vertical="top" wrapText="1"/>
    </xf>
    <xf numFmtId="0" fontId="8" fillId="0" borderId="0" xfId="0" applyFont="1"/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4" borderId="0" xfId="0" applyFont="1" applyFill="1" applyAlignment="1">
      <alignment vertical="top" wrapText="1"/>
    </xf>
    <xf numFmtId="0" fontId="11" fillId="5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7" fillId="2" borderId="0" xfId="0" applyFont="1" applyFill="1" applyAlignment="1">
      <alignment horizontal="center" wrapText="1"/>
    </xf>
    <xf numFmtId="0" fontId="8" fillId="0" borderId="0" xfId="0" applyFont="1" applyAlignment="1">
      <alignment wrapText="1"/>
    </xf>
    <xf numFmtId="0" fontId="8" fillId="0" borderId="0" xfId="0" applyFont="1"/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9" fillId="6" borderId="0" xfId="0" applyFont="1" applyFill="1" applyAlignment="1">
      <alignment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Planned Synthesis Outputs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Output_Register!$K$3</c:f>
              <c:strCache>
                <c:ptCount val="1"/>
                <c:pt idx="0">
                  <c:v>Planned outputs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Output_Register!$J$4:$J$9</c:f>
              <c:strCache>
                <c:ptCount val="6"/>
                <c:pt idx="0">
                  <c:v>Selection</c:v>
                </c:pt>
                <c:pt idx="1">
                  <c:v>Descriptive</c:v>
                </c:pt>
                <c:pt idx="2">
                  <c:v>Cross-dimensional</c:v>
                </c:pt>
                <c:pt idx="3">
                  <c:v>Bibliometric</c:v>
                </c:pt>
                <c:pt idx="4">
                  <c:v>Qualitative</c:v>
                </c:pt>
                <c:pt idx="5">
                  <c:v>Research agenda</c:v>
                </c:pt>
              </c:strCache>
            </c:strRef>
          </c:cat>
          <c:val>
            <c:numRef>
              <c:f>Output_Register!$K$4:$K$9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9-4BED-A3F8-759DC045F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10</xdr:row>
      <xdr:rowOff>0</xdr:rowOff>
    </xdr:from>
    <xdr:ext cx="3600000" cy="216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D14"/>
  <sheetViews>
    <sheetView workbookViewId="0">
      <selection activeCell="B10" sqref="B10"/>
    </sheetView>
  </sheetViews>
  <sheetFormatPr defaultRowHeight="15.75" x14ac:dyDescent="0.25"/>
  <cols>
    <col min="1" max="1" width="28" style="5" customWidth="1"/>
    <col min="2" max="2" width="105" style="5" customWidth="1"/>
    <col min="3" max="16384" width="9.140625" style="5"/>
  </cols>
  <sheetData>
    <row r="1" spans="1:4" s="7" customFormat="1" ht="20.25" x14ac:dyDescent="0.3">
      <c r="A1" s="17" t="s">
        <v>0</v>
      </c>
      <c r="B1" s="18"/>
      <c r="C1" s="19"/>
      <c r="D1" s="19"/>
    </row>
    <row r="2" spans="1:4" x14ac:dyDescent="0.25">
      <c r="A2" s="13"/>
      <c r="B2" s="13"/>
    </row>
    <row r="3" spans="1:4" s="9" customFormat="1" ht="18.75" x14ac:dyDescent="0.25">
      <c r="A3" s="8" t="s">
        <v>1</v>
      </c>
      <c r="B3" s="8" t="s">
        <v>2</v>
      </c>
    </row>
    <row r="4" spans="1:4" ht="31.5" x14ac:dyDescent="0.25">
      <c r="A4" s="6" t="s">
        <v>3</v>
      </c>
      <c r="B4" s="6" t="s">
        <v>4</v>
      </c>
    </row>
    <row r="5" spans="1:4" ht="63" x14ac:dyDescent="0.25">
      <c r="A5" s="6" t="s">
        <v>5</v>
      </c>
      <c r="B5" s="6" t="s">
        <v>945</v>
      </c>
    </row>
    <row r="6" spans="1:4" ht="47.25" x14ac:dyDescent="0.25">
      <c r="A6" s="6" t="s">
        <v>6</v>
      </c>
      <c r="B6" s="6" t="s">
        <v>946</v>
      </c>
    </row>
    <row r="7" spans="1:4" ht="31.5" x14ac:dyDescent="0.25">
      <c r="A7" s="6" t="s">
        <v>7</v>
      </c>
      <c r="B7" s="6" t="s">
        <v>8</v>
      </c>
    </row>
    <row r="8" spans="1:4" ht="31.5" x14ac:dyDescent="0.25">
      <c r="A8" s="6" t="s">
        <v>9</v>
      </c>
      <c r="B8" s="6" t="s">
        <v>10</v>
      </c>
    </row>
    <row r="9" spans="1:4" ht="31.5" x14ac:dyDescent="0.25">
      <c r="A9" s="6" t="s">
        <v>11</v>
      </c>
      <c r="B9" s="6" t="s">
        <v>12</v>
      </c>
    </row>
    <row r="10" spans="1:4" ht="31.5" x14ac:dyDescent="0.25">
      <c r="A10" s="6" t="s">
        <v>13</v>
      </c>
      <c r="B10" s="6" t="s">
        <v>14</v>
      </c>
    </row>
    <row r="11" spans="1:4" ht="31.5" x14ac:dyDescent="0.25">
      <c r="A11" s="6" t="s">
        <v>15</v>
      </c>
      <c r="B11" s="6" t="s">
        <v>16</v>
      </c>
    </row>
    <row r="12" spans="1:4" ht="31.5" x14ac:dyDescent="0.25">
      <c r="A12" s="6" t="s">
        <v>17</v>
      </c>
      <c r="B12" s="6" t="s">
        <v>18</v>
      </c>
    </row>
    <row r="13" spans="1:4" ht="31.5" x14ac:dyDescent="0.25">
      <c r="A13" s="6" t="s">
        <v>19</v>
      </c>
      <c r="B13" s="6" t="s">
        <v>20</v>
      </c>
    </row>
    <row r="14" spans="1:4" ht="31.5" x14ac:dyDescent="0.25">
      <c r="A14" s="6" t="s">
        <v>21</v>
      </c>
      <c r="B14" s="6" t="s">
        <v>22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11"/>
  <sheetViews>
    <sheetView workbookViewId="0">
      <selection sqref="A1:J1"/>
    </sheetView>
  </sheetViews>
  <sheetFormatPr defaultRowHeight="15" x14ac:dyDescent="0.25"/>
  <cols>
    <col min="1" max="10" width="26" customWidth="1"/>
  </cols>
  <sheetData>
    <row r="1" spans="1:10" ht="18.75" x14ac:dyDescent="0.3">
      <c r="A1" s="15" t="s">
        <v>23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</row>
    <row r="4" spans="1:10" x14ac:dyDescent="0.25">
      <c r="A4" t="s">
        <v>34</v>
      </c>
      <c r="B4" t="s">
        <v>35</v>
      </c>
      <c r="C4" t="s">
        <v>36</v>
      </c>
      <c r="D4" t="s">
        <v>34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34</v>
      </c>
    </row>
    <row r="5" spans="1:10" x14ac:dyDescent="0.25">
      <c r="A5" t="s">
        <v>42</v>
      </c>
      <c r="B5" t="s">
        <v>43</v>
      </c>
      <c r="C5" t="s">
        <v>44</v>
      </c>
      <c r="D5" t="s">
        <v>42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42</v>
      </c>
    </row>
    <row r="6" spans="1:10" x14ac:dyDescent="0.25">
      <c r="A6" t="s">
        <v>947</v>
      </c>
      <c r="B6" t="s">
        <v>50</v>
      </c>
      <c r="C6" t="s">
        <v>51</v>
      </c>
      <c r="D6" t="s">
        <v>50</v>
      </c>
      <c r="E6" t="s">
        <v>52</v>
      </c>
      <c r="F6" t="s">
        <v>948</v>
      </c>
      <c r="G6" t="s">
        <v>53</v>
      </c>
      <c r="I6" t="s">
        <v>54</v>
      </c>
      <c r="J6" t="s">
        <v>55</v>
      </c>
    </row>
    <row r="7" spans="1:10" x14ac:dyDescent="0.25">
      <c r="A7" t="s">
        <v>60</v>
      </c>
      <c r="C7" t="s">
        <v>56</v>
      </c>
      <c r="E7" t="s">
        <v>57</v>
      </c>
      <c r="F7" t="s">
        <v>949</v>
      </c>
      <c r="G7" t="s">
        <v>58</v>
      </c>
    </row>
    <row r="8" spans="1:10" x14ac:dyDescent="0.25">
      <c r="A8" t="s">
        <v>55</v>
      </c>
      <c r="C8" t="s">
        <v>59</v>
      </c>
      <c r="E8" t="s">
        <v>60</v>
      </c>
      <c r="F8" t="s">
        <v>950</v>
      </c>
      <c r="J8" t="s">
        <v>951</v>
      </c>
    </row>
    <row r="9" spans="1:10" x14ac:dyDescent="0.25">
      <c r="A9" t="s">
        <v>50</v>
      </c>
      <c r="C9" t="s">
        <v>61</v>
      </c>
      <c r="F9" t="s">
        <v>952</v>
      </c>
      <c r="J9" t="s">
        <v>60</v>
      </c>
    </row>
    <row r="10" spans="1:10" x14ac:dyDescent="0.25">
      <c r="C10" t="s">
        <v>62</v>
      </c>
      <c r="F10" t="s">
        <v>953</v>
      </c>
      <c r="J10" t="s">
        <v>50</v>
      </c>
    </row>
    <row r="11" spans="1:10" x14ac:dyDescent="0.25">
      <c r="C11" t="s">
        <v>63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H96"/>
  <sheetViews>
    <sheetView workbookViewId="0">
      <selection activeCell="A2" sqref="A2:XFD2"/>
    </sheetView>
  </sheetViews>
  <sheetFormatPr defaultRowHeight="15" x14ac:dyDescent="0.25"/>
  <cols>
    <col min="1" max="1" width="11" customWidth="1"/>
    <col min="2" max="2" width="19" customWidth="1"/>
    <col min="3" max="3" width="24" customWidth="1"/>
    <col min="4" max="4" width="9" customWidth="1"/>
    <col min="5" max="5" width="18" customWidth="1"/>
    <col min="6" max="6" width="42" customWidth="1"/>
    <col min="7" max="7" width="32" customWidth="1"/>
    <col min="8" max="8" width="40" customWidth="1"/>
    <col min="9" max="9" width="28" customWidth="1"/>
    <col min="10" max="11" width="26" customWidth="1"/>
    <col min="12" max="13" width="30" customWidth="1"/>
    <col min="14" max="14" width="28" customWidth="1"/>
    <col min="15" max="15" width="18" customWidth="1"/>
    <col min="16" max="16" width="14" customWidth="1"/>
    <col min="17" max="17" width="20" customWidth="1"/>
    <col min="18" max="19" width="14" customWidth="1"/>
    <col min="20" max="20" width="18" customWidth="1"/>
    <col min="21" max="21" width="40" customWidth="1"/>
    <col min="22" max="23" width="34" customWidth="1"/>
    <col min="24" max="24" width="50" customWidth="1"/>
    <col min="25" max="25" width="16" customWidth="1"/>
    <col min="26" max="26" width="22" customWidth="1"/>
    <col min="27" max="28" width="56" customWidth="1"/>
    <col min="29" max="29" width="60" customWidth="1"/>
    <col min="30" max="30" width="38" customWidth="1"/>
    <col min="31" max="31" width="48" customWidth="1"/>
    <col min="32" max="32" width="38" customWidth="1"/>
    <col min="33" max="33" width="34" customWidth="1"/>
    <col min="34" max="34" width="60" customWidth="1"/>
  </cols>
  <sheetData>
    <row r="1" spans="1:34" ht="18.75" x14ac:dyDescent="0.3">
      <c r="A1" s="15" t="s">
        <v>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ht="30" x14ac:dyDescent="0.25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70</v>
      </c>
      <c r="G2" s="3" t="s">
        <v>71</v>
      </c>
      <c r="H2" s="3" t="s">
        <v>72</v>
      </c>
      <c r="I2" s="3" t="s">
        <v>73</v>
      </c>
      <c r="J2" s="3" t="s">
        <v>74</v>
      </c>
      <c r="K2" s="3" t="s">
        <v>75</v>
      </c>
      <c r="L2" s="3" t="s">
        <v>76</v>
      </c>
      <c r="M2" s="3" t="s">
        <v>77</v>
      </c>
      <c r="N2" s="3" t="s">
        <v>78</v>
      </c>
      <c r="O2" s="3" t="s">
        <v>79</v>
      </c>
      <c r="P2" s="3" t="s">
        <v>80</v>
      </c>
      <c r="Q2" s="3" t="s">
        <v>81</v>
      </c>
      <c r="R2" s="3" t="s">
        <v>82</v>
      </c>
      <c r="S2" s="3" t="s">
        <v>83</v>
      </c>
      <c r="T2" s="3" t="s">
        <v>84</v>
      </c>
      <c r="U2" s="3" t="s">
        <v>85</v>
      </c>
      <c r="V2" s="3" t="s">
        <v>86</v>
      </c>
      <c r="W2" s="3" t="s">
        <v>87</v>
      </c>
      <c r="X2" s="3" t="s">
        <v>88</v>
      </c>
      <c r="Y2" s="3" t="s">
        <v>89</v>
      </c>
      <c r="Z2" s="3" t="s">
        <v>90</v>
      </c>
      <c r="AA2" s="3" t="s">
        <v>91</v>
      </c>
      <c r="AB2" s="3" t="s">
        <v>92</v>
      </c>
      <c r="AC2" s="3" t="s">
        <v>93</v>
      </c>
      <c r="AD2" s="3" t="s">
        <v>94</v>
      </c>
      <c r="AE2" s="3" t="s">
        <v>95</v>
      </c>
      <c r="AF2" s="3" t="s">
        <v>96</v>
      </c>
      <c r="AG2" s="3" t="s">
        <v>97</v>
      </c>
      <c r="AH2" s="3" t="s">
        <v>98</v>
      </c>
    </row>
    <row r="3" spans="1:34" ht="40.5" x14ac:dyDescent="0.25">
      <c r="A3" s="2" t="s">
        <v>99</v>
      </c>
      <c r="B3" s="2" t="s">
        <v>34</v>
      </c>
      <c r="C3" s="2" t="s">
        <v>954</v>
      </c>
      <c r="D3" s="2">
        <v>2017</v>
      </c>
      <c r="E3" s="2" t="str">
        <f t="shared" ref="E3:E34" si="0">IF(D3="","",IF(D3&lt;=2019,"2016–2019",IF(D3&lt;=2022,"2020–2022",IF(D3&lt;=2024,"2023–2024","2025–2026"))))</f>
        <v>2016–2019</v>
      </c>
      <c r="F3" s="2" t="s">
        <v>100</v>
      </c>
      <c r="G3" s="2" t="s">
        <v>955</v>
      </c>
      <c r="H3" s="2" t="s">
        <v>956</v>
      </c>
      <c r="I3" s="2" t="s">
        <v>957</v>
      </c>
      <c r="J3" s="2" t="s">
        <v>540</v>
      </c>
      <c r="K3" s="2" t="s">
        <v>958</v>
      </c>
      <c r="L3" s="2" t="s">
        <v>959</v>
      </c>
      <c r="M3" s="2" t="s">
        <v>960</v>
      </c>
      <c r="N3" s="2" t="s">
        <v>961</v>
      </c>
      <c r="O3" s="2" t="s">
        <v>35</v>
      </c>
      <c r="P3" s="2" t="s">
        <v>59</v>
      </c>
      <c r="Q3" s="2" t="s">
        <v>962</v>
      </c>
      <c r="R3" s="2">
        <v>4</v>
      </c>
      <c r="S3" s="2">
        <v>5</v>
      </c>
      <c r="T3" s="2" t="str">
        <f t="shared" ref="T3:T34" si="1">IF(OR(R3="",S3=""),"",IF(R3=S3,TEXT(R3,"0"),TEXT(R3,"0")&amp;"–"&amp;TEXT(S3,"0")))</f>
        <v>4–5</v>
      </c>
      <c r="U3" s="2" t="s">
        <v>101</v>
      </c>
      <c r="V3" s="2" t="s">
        <v>963</v>
      </c>
      <c r="W3" s="2" t="s">
        <v>963</v>
      </c>
      <c r="X3" s="2" t="s">
        <v>964</v>
      </c>
      <c r="Y3" s="2" t="s">
        <v>965</v>
      </c>
      <c r="Z3" s="2" t="s">
        <v>966</v>
      </c>
      <c r="AA3" s="2" t="s">
        <v>967</v>
      </c>
      <c r="AB3" s="2" t="s">
        <v>968</v>
      </c>
      <c r="AC3" s="2" t="s">
        <v>969</v>
      </c>
      <c r="AD3" s="2" t="s">
        <v>970</v>
      </c>
      <c r="AE3" s="2" t="s">
        <v>971</v>
      </c>
      <c r="AF3" s="2" t="s">
        <v>972</v>
      </c>
      <c r="AG3" s="2" t="s">
        <v>973</v>
      </c>
      <c r="AH3" s="2" t="s">
        <v>974</v>
      </c>
    </row>
    <row r="4" spans="1:34" ht="54" x14ac:dyDescent="0.25">
      <c r="A4" s="2" t="s">
        <v>102</v>
      </c>
      <c r="B4" s="2" t="s">
        <v>34</v>
      </c>
      <c r="C4" s="2" t="s">
        <v>954</v>
      </c>
      <c r="D4" s="2">
        <v>2018</v>
      </c>
      <c r="E4" s="2" t="str">
        <f t="shared" si="0"/>
        <v>2016–2019</v>
      </c>
      <c r="F4" s="2" t="s">
        <v>103</v>
      </c>
      <c r="G4" s="2" t="s">
        <v>955</v>
      </c>
      <c r="H4" s="2" t="s">
        <v>975</v>
      </c>
      <c r="I4" s="2" t="s">
        <v>976</v>
      </c>
      <c r="J4" s="2" t="s">
        <v>540</v>
      </c>
      <c r="K4" s="2" t="s">
        <v>958</v>
      </c>
      <c r="L4" s="2" t="s">
        <v>977</v>
      </c>
      <c r="M4" s="2" t="s">
        <v>978</v>
      </c>
      <c r="N4" s="2" t="s">
        <v>979</v>
      </c>
      <c r="O4" s="2" t="s">
        <v>35</v>
      </c>
      <c r="P4" s="2" t="s">
        <v>59</v>
      </c>
      <c r="Q4" s="2" t="s">
        <v>962</v>
      </c>
      <c r="R4" s="2">
        <v>4</v>
      </c>
      <c r="S4" s="2">
        <v>5</v>
      </c>
      <c r="T4" s="2" t="str">
        <f t="shared" si="1"/>
        <v>4–5</v>
      </c>
      <c r="U4" s="2" t="s">
        <v>104</v>
      </c>
      <c r="V4" s="2" t="s">
        <v>963</v>
      </c>
      <c r="W4" s="2" t="s">
        <v>963</v>
      </c>
      <c r="X4" s="2" t="s">
        <v>964</v>
      </c>
      <c r="Y4" s="2" t="s">
        <v>965</v>
      </c>
      <c r="Z4" s="2" t="s">
        <v>966</v>
      </c>
      <c r="AA4" s="2" t="s">
        <v>980</v>
      </c>
      <c r="AB4" s="2" t="s">
        <v>981</v>
      </c>
      <c r="AC4" s="2" t="s">
        <v>982</v>
      </c>
      <c r="AD4" s="2" t="s">
        <v>983</v>
      </c>
      <c r="AE4" s="2" t="s">
        <v>971</v>
      </c>
      <c r="AF4" s="2" t="s">
        <v>972</v>
      </c>
      <c r="AG4" s="2" t="s">
        <v>973</v>
      </c>
      <c r="AH4" s="2" t="s">
        <v>974</v>
      </c>
    </row>
    <row r="5" spans="1:34" ht="54" x14ac:dyDescent="0.25">
      <c r="A5" s="2" t="s">
        <v>105</v>
      </c>
      <c r="B5" s="2" t="s">
        <v>34</v>
      </c>
      <c r="C5" s="2" t="s">
        <v>954</v>
      </c>
      <c r="D5" s="2">
        <v>2019</v>
      </c>
      <c r="E5" s="2" t="str">
        <f t="shared" si="0"/>
        <v>2016–2019</v>
      </c>
      <c r="F5" s="2" t="s">
        <v>106</v>
      </c>
      <c r="G5" s="2" t="s">
        <v>955</v>
      </c>
      <c r="H5" s="2" t="s">
        <v>975</v>
      </c>
      <c r="I5" s="2" t="s">
        <v>976</v>
      </c>
      <c r="J5" s="2" t="s">
        <v>540</v>
      </c>
      <c r="K5" s="2" t="s">
        <v>958</v>
      </c>
      <c r="L5" s="2" t="s">
        <v>984</v>
      </c>
      <c r="M5" s="2" t="s">
        <v>978</v>
      </c>
      <c r="N5" s="2" t="s">
        <v>979</v>
      </c>
      <c r="O5" s="2" t="s">
        <v>35</v>
      </c>
      <c r="P5" s="2" t="s">
        <v>59</v>
      </c>
      <c r="Q5" s="2" t="s">
        <v>962</v>
      </c>
      <c r="R5" s="2">
        <v>4</v>
      </c>
      <c r="S5" s="2">
        <v>5</v>
      </c>
      <c r="T5" s="2" t="str">
        <f t="shared" si="1"/>
        <v>4–5</v>
      </c>
      <c r="U5" s="2" t="s">
        <v>107</v>
      </c>
      <c r="V5" s="2" t="s">
        <v>963</v>
      </c>
      <c r="W5" s="2" t="s">
        <v>963</v>
      </c>
      <c r="X5" s="2" t="s">
        <v>985</v>
      </c>
      <c r="Y5" s="2" t="s">
        <v>965</v>
      </c>
      <c r="Z5" s="2" t="s">
        <v>966</v>
      </c>
      <c r="AA5" s="2" t="s">
        <v>986</v>
      </c>
      <c r="AB5" s="2" t="s">
        <v>987</v>
      </c>
      <c r="AC5" s="2" t="s">
        <v>988</v>
      </c>
      <c r="AD5" s="2" t="s">
        <v>970</v>
      </c>
      <c r="AE5" s="2" t="s">
        <v>989</v>
      </c>
      <c r="AF5" s="2" t="s">
        <v>972</v>
      </c>
      <c r="AG5" s="2" t="s">
        <v>973</v>
      </c>
      <c r="AH5" s="2" t="s">
        <v>974</v>
      </c>
    </row>
    <row r="6" spans="1:34" ht="54" x14ac:dyDescent="0.25">
      <c r="A6" s="2" t="s">
        <v>108</v>
      </c>
      <c r="B6" s="2" t="s">
        <v>34</v>
      </c>
      <c r="C6" s="2" t="s">
        <v>954</v>
      </c>
      <c r="D6" s="2">
        <v>2020</v>
      </c>
      <c r="E6" s="2" t="str">
        <f t="shared" si="0"/>
        <v>2020–2022</v>
      </c>
      <c r="F6" s="2" t="s">
        <v>109</v>
      </c>
      <c r="G6" s="2" t="s">
        <v>990</v>
      </c>
      <c r="H6" s="2" t="s">
        <v>991</v>
      </c>
      <c r="I6" s="2" t="s">
        <v>992</v>
      </c>
      <c r="J6" s="2" t="s">
        <v>540</v>
      </c>
      <c r="K6" s="2" t="s">
        <v>958</v>
      </c>
      <c r="L6" s="2" t="s">
        <v>993</v>
      </c>
      <c r="M6" s="2" t="s">
        <v>978</v>
      </c>
      <c r="N6" s="2" t="s">
        <v>557</v>
      </c>
      <c r="O6" s="2" t="s">
        <v>35</v>
      </c>
      <c r="P6" s="2" t="s">
        <v>51</v>
      </c>
      <c r="Q6" s="2" t="s">
        <v>962</v>
      </c>
      <c r="R6" s="2">
        <v>2</v>
      </c>
      <c r="S6" s="2">
        <v>3</v>
      </c>
      <c r="T6" s="2" t="str">
        <f t="shared" si="1"/>
        <v>2–3</v>
      </c>
      <c r="U6" s="2" t="s">
        <v>110</v>
      </c>
      <c r="V6" s="2" t="s">
        <v>963</v>
      </c>
      <c r="W6" s="2" t="s">
        <v>963</v>
      </c>
      <c r="X6" s="2" t="s">
        <v>994</v>
      </c>
      <c r="Y6" s="2" t="s">
        <v>965</v>
      </c>
      <c r="Z6" s="2" t="s">
        <v>966</v>
      </c>
      <c r="AA6" s="2" t="s">
        <v>995</v>
      </c>
      <c r="AB6" s="2" t="s">
        <v>968</v>
      </c>
      <c r="AC6" s="2" t="s">
        <v>996</v>
      </c>
      <c r="AD6" s="2" t="s">
        <v>970</v>
      </c>
      <c r="AE6" s="2" t="s">
        <v>989</v>
      </c>
      <c r="AF6" s="2" t="s">
        <v>972</v>
      </c>
      <c r="AG6" s="2" t="s">
        <v>973</v>
      </c>
      <c r="AH6" s="2" t="s">
        <v>974</v>
      </c>
    </row>
    <row r="7" spans="1:34" ht="54" x14ac:dyDescent="0.25">
      <c r="A7" s="2" t="s">
        <v>111</v>
      </c>
      <c r="B7" s="2" t="s">
        <v>34</v>
      </c>
      <c r="C7" s="2" t="s">
        <v>954</v>
      </c>
      <c r="D7" s="2">
        <v>2021</v>
      </c>
      <c r="E7" s="2" t="str">
        <f t="shared" si="0"/>
        <v>2020–2022</v>
      </c>
      <c r="F7" s="2" t="s">
        <v>112</v>
      </c>
      <c r="G7" s="2" t="s">
        <v>997</v>
      </c>
      <c r="H7" s="2" t="s">
        <v>998</v>
      </c>
      <c r="I7" s="2" t="s">
        <v>976</v>
      </c>
      <c r="J7" s="2" t="s">
        <v>540</v>
      </c>
      <c r="K7" s="2" t="s">
        <v>958</v>
      </c>
      <c r="L7" s="2" t="s">
        <v>999</v>
      </c>
      <c r="M7" s="2" t="s">
        <v>978</v>
      </c>
      <c r="N7" s="2" t="s">
        <v>558</v>
      </c>
      <c r="O7" s="2" t="s">
        <v>35</v>
      </c>
      <c r="P7" s="2" t="s">
        <v>56</v>
      </c>
      <c r="Q7" s="2" t="s">
        <v>962</v>
      </c>
      <c r="R7" s="2">
        <v>3</v>
      </c>
      <c r="S7" s="2">
        <v>4</v>
      </c>
      <c r="T7" s="2" t="str">
        <f t="shared" si="1"/>
        <v>3–4</v>
      </c>
      <c r="U7" s="2" t="s">
        <v>113</v>
      </c>
      <c r="V7" s="2" t="s">
        <v>963</v>
      </c>
      <c r="W7" s="2" t="s">
        <v>963</v>
      </c>
      <c r="X7" s="2" t="s">
        <v>1000</v>
      </c>
      <c r="Y7" s="2" t="s">
        <v>965</v>
      </c>
      <c r="Z7" s="2" t="s">
        <v>966</v>
      </c>
      <c r="AA7" s="2" t="s">
        <v>1001</v>
      </c>
      <c r="AB7" s="2" t="s">
        <v>981</v>
      </c>
      <c r="AC7" s="2" t="s">
        <v>1002</v>
      </c>
      <c r="AD7" s="2" t="s">
        <v>970</v>
      </c>
      <c r="AE7" s="2" t="s">
        <v>989</v>
      </c>
      <c r="AF7" s="2" t="s">
        <v>972</v>
      </c>
      <c r="AG7" s="2" t="s">
        <v>973</v>
      </c>
      <c r="AH7" s="2" t="s">
        <v>974</v>
      </c>
    </row>
    <row r="8" spans="1:34" ht="27" x14ac:dyDescent="0.25">
      <c r="A8" s="2" t="s">
        <v>114</v>
      </c>
      <c r="B8" s="2" t="s">
        <v>34</v>
      </c>
      <c r="C8" s="2" t="s">
        <v>954</v>
      </c>
      <c r="D8" s="2">
        <v>2021</v>
      </c>
      <c r="E8" s="2" t="str">
        <f t="shared" si="0"/>
        <v>2020–2022</v>
      </c>
      <c r="F8" s="2" t="s">
        <v>115</v>
      </c>
      <c r="G8" s="2" t="s">
        <v>997</v>
      </c>
      <c r="H8" s="2" t="s">
        <v>975</v>
      </c>
      <c r="I8" s="2" t="s">
        <v>1003</v>
      </c>
      <c r="J8" s="2" t="s">
        <v>540</v>
      </c>
      <c r="K8" s="2" t="s">
        <v>958</v>
      </c>
      <c r="L8" s="2" t="s">
        <v>984</v>
      </c>
      <c r="M8" s="2" t="s">
        <v>978</v>
      </c>
      <c r="N8" s="2" t="s">
        <v>979</v>
      </c>
      <c r="O8" s="2" t="s">
        <v>35</v>
      </c>
      <c r="P8" s="2" t="s">
        <v>59</v>
      </c>
      <c r="Q8" s="2" t="s">
        <v>962</v>
      </c>
      <c r="R8" s="2">
        <v>4</v>
      </c>
      <c r="S8" s="2">
        <v>5</v>
      </c>
      <c r="T8" s="2" t="str">
        <f t="shared" si="1"/>
        <v>4–5</v>
      </c>
      <c r="U8" s="2" t="s">
        <v>116</v>
      </c>
      <c r="V8" s="2" t="s">
        <v>963</v>
      </c>
      <c r="W8" s="2" t="s">
        <v>963</v>
      </c>
      <c r="X8" s="2" t="s">
        <v>1004</v>
      </c>
      <c r="Y8" s="2" t="s">
        <v>965</v>
      </c>
      <c r="Z8" s="2" t="s">
        <v>966</v>
      </c>
      <c r="AA8" s="2" t="s">
        <v>1005</v>
      </c>
      <c r="AB8" s="2" t="s">
        <v>1006</v>
      </c>
      <c r="AC8" s="2" t="s">
        <v>996</v>
      </c>
      <c r="AD8" s="2" t="s">
        <v>970</v>
      </c>
      <c r="AE8" s="2" t="s">
        <v>989</v>
      </c>
      <c r="AF8" s="2" t="s">
        <v>972</v>
      </c>
      <c r="AG8" s="2" t="s">
        <v>973</v>
      </c>
      <c r="AH8" s="2" t="s">
        <v>974</v>
      </c>
    </row>
    <row r="9" spans="1:34" ht="54" x14ac:dyDescent="0.25">
      <c r="A9" s="2" t="s">
        <v>117</v>
      </c>
      <c r="B9" s="2" t="s">
        <v>34</v>
      </c>
      <c r="C9" s="2" t="s">
        <v>954</v>
      </c>
      <c r="D9" s="2">
        <v>2022</v>
      </c>
      <c r="E9" s="2" t="str">
        <f t="shared" si="0"/>
        <v>2020–2022</v>
      </c>
      <c r="F9" s="2" t="s">
        <v>118</v>
      </c>
      <c r="G9" s="2" t="s">
        <v>997</v>
      </c>
      <c r="H9" s="2" t="s">
        <v>991</v>
      </c>
      <c r="I9" s="2" t="s">
        <v>1007</v>
      </c>
      <c r="J9" s="2" t="s">
        <v>540</v>
      </c>
      <c r="K9" s="2" t="s">
        <v>958</v>
      </c>
      <c r="L9" s="2" t="s">
        <v>1008</v>
      </c>
      <c r="M9" s="2" t="s">
        <v>978</v>
      </c>
      <c r="N9" s="2" t="s">
        <v>1009</v>
      </c>
      <c r="O9" s="2" t="s">
        <v>35</v>
      </c>
      <c r="P9" s="2" t="s">
        <v>51</v>
      </c>
      <c r="Q9" s="2" t="s">
        <v>962</v>
      </c>
      <c r="R9" s="2">
        <v>2</v>
      </c>
      <c r="S9" s="2">
        <v>3</v>
      </c>
      <c r="T9" s="2" t="str">
        <f t="shared" si="1"/>
        <v>2–3</v>
      </c>
      <c r="U9" s="2" t="s">
        <v>119</v>
      </c>
      <c r="V9" s="2" t="s">
        <v>963</v>
      </c>
      <c r="W9" s="2" t="s">
        <v>963</v>
      </c>
      <c r="X9" s="2" t="s">
        <v>1010</v>
      </c>
      <c r="Y9" s="2" t="s">
        <v>965</v>
      </c>
      <c r="Z9" s="2" t="s">
        <v>966</v>
      </c>
      <c r="AA9" s="2" t="s">
        <v>1011</v>
      </c>
      <c r="AB9" s="2" t="s">
        <v>1012</v>
      </c>
      <c r="AC9" s="2" t="s">
        <v>1013</v>
      </c>
      <c r="AD9" s="2" t="s">
        <v>970</v>
      </c>
      <c r="AE9" s="2" t="s">
        <v>989</v>
      </c>
      <c r="AF9" s="2" t="s">
        <v>972</v>
      </c>
      <c r="AG9" s="2" t="s">
        <v>973</v>
      </c>
      <c r="AH9" s="2" t="s">
        <v>974</v>
      </c>
    </row>
    <row r="10" spans="1:34" ht="40.5" x14ac:dyDescent="0.25">
      <c r="A10" s="2" t="s">
        <v>120</v>
      </c>
      <c r="B10" s="2" t="s">
        <v>34</v>
      </c>
      <c r="C10" s="2" t="s">
        <v>954</v>
      </c>
      <c r="D10" s="2">
        <v>2023</v>
      </c>
      <c r="E10" s="2" t="str">
        <f t="shared" si="0"/>
        <v>2023–2024</v>
      </c>
      <c r="F10" s="2" t="s">
        <v>121</v>
      </c>
      <c r="G10" s="2" t="s">
        <v>997</v>
      </c>
      <c r="H10" s="2" t="s">
        <v>991</v>
      </c>
      <c r="I10" s="2" t="s">
        <v>1014</v>
      </c>
      <c r="J10" s="2" t="s">
        <v>540</v>
      </c>
      <c r="K10" s="2" t="s">
        <v>958</v>
      </c>
      <c r="L10" s="2" t="s">
        <v>999</v>
      </c>
      <c r="M10" s="2" t="s">
        <v>978</v>
      </c>
      <c r="N10" s="2" t="s">
        <v>557</v>
      </c>
      <c r="O10" s="2" t="s">
        <v>35</v>
      </c>
      <c r="P10" s="2" t="s">
        <v>51</v>
      </c>
      <c r="Q10" s="2" t="s">
        <v>962</v>
      </c>
      <c r="R10" s="2">
        <v>2</v>
      </c>
      <c r="S10" s="2">
        <v>3</v>
      </c>
      <c r="T10" s="2" t="str">
        <f t="shared" si="1"/>
        <v>2–3</v>
      </c>
      <c r="U10" s="2" t="s">
        <v>122</v>
      </c>
      <c r="V10" s="2" t="s">
        <v>963</v>
      </c>
      <c r="W10" s="2" t="s">
        <v>963</v>
      </c>
      <c r="X10" s="2" t="s">
        <v>1015</v>
      </c>
      <c r="Y10" s="2" t="s">
        <v>965</v>
      </c>
      <c r="Z10" s="2" t="s">
        <v>966</v>
      </c>
      <c r="AA10" s="2" t="s">
        <v>1016</v>
      </c>
      <c r="AB10" s="2" t="s">
        <v>968</v>
      </c>
      <c r="AC10" s="2" t="s">
        <v>996</v>
      </c>
      <c r="AD10" s="2" t="s">
        <v>970</v>
      </c>
      <c r="AE10" s="2" t="s">
        <v>989</v>
      </c>
      <c r="AF10" s="2" t="s">
        <v>972</v>
      </c>
      <c r="AG10" s="2" t="s">
        <v>973</v>
      </c>
      <c r="AH10" s="2" t="s">
        <v>974</v>
      </c>
    </row>
    <row r="11" spans="1:34" ht="40.5" x14ac:dyDescent="0.25">
      <c r="A11" s="2" t="s">
        <v>123</v>
      </c>
      <c r="B11" s="2" t="s">
        <v>34</v>
      </c>
      <c r="C11" s="2" t="s">
        <v>954</v>
      </c>
      <c r="D11" s="2">
        <v>2023</v>
      </c>
      <c r="E11" s="2" t="str">
        <f t="shared" si="0"/>
        <v>2023–2024</v>
      </c>
      <c r="F11" s="2" t="s">
        <v>124</v>
      </c>
      <c r="G11" s="2" t="s">
        <v>997</v>
      </c>
      <c r="H11" s="2" t="s">
        <v>975</v>
      </c>
      <c r="I11" s="2" t="s">
        <v>957</v>
      </c>
      <c r="J11" s="2" t="s">
        <v>540</v>
      </c>
      <c r="K11" s="2" t="s">
        <v>958</v>
      </c>
      <c r="L11" s="2" t="s">
        <v>1017</v>
      </c>
      <c r="M11" s="2" t="s">
        <v>978</v>
      </c>
      <c r="N11" s="2" t="s">
        <v>979</v>
      </c>
      <c r="O11" s="2" t="s">
        <v>35</v>
      </c>
      <c r="P11" s="2" t="s">
        <v>59</v>
      </c>
      <c r="Q11" s="2" t="s">
        <v>962</v>
      </c>
      <c r="R11" s="2">
        <v>4</v>
      </c>
      <c r="S11" s="2">
        <v>5</v>
      </c>
      <c r="T11" s="2" t="str">
        <f t="shared" si="1"/>
        <v>4–5</v>
      </c>
      <c r="U11" s="2" t="s">
        <v>125</v>
      </c>
      <c r="V11" s="2" t="s">
        <v>963</v>
      </c>
      <c r="W11" s="2" t="s">
        <v>963</v>
      </c>
      <c r="X11" s="2" t="s">
        <v>1018</v>
      </c>
      <c r="Y11" s="2" t="s">
        <v>965</v>
      </c>
      <c r="Z11" s="2" t="s">
        <v>966</v>
      </c>
      <c r="AA11" s="2" t="s">
        <v>1019</v>
      </c>
      <c r="AB11" s="2" t="s">
        <v>968</v>
      </c>
      <c r="AC11" s="2" t="s">
        <v>996</v>
      </c>
      <c r="AD11" s="2" t="s">
        <v>970</v>
      </c>
      <c r="AE11" s="2" t="s">
        <v>989</v>
      </c>
      <c r="AF11" s="2" t="s">
        <v>972</v>
      </c>
      <c r="AG11" s="2" t="s">
        <v>973</v>
      </c>
      <c r="AH11" s="2" t="s">
        <v>974</v>
      </c>
    </row>
    <row r="12" spans="1:34" ht="54" x14ac:dyDescent="0.25">
      <c r="A12" s="2" t="s">
        <v>126</v>
      </c>
      <c r="B12" s="2" t="s">
        <v>34</v>
      </c>
      <c r="C12" s="2" t="s">
        <v>954</v>
      </c>
      <c r="D12" s="2">
        <v>2024</v>
      </c>
      <c r="E12" s="2" t="str">
        <f t="shared" si="0"/>
        <v>2023–2024</v>
      </c>
      <c r="F12" s="2" t="s">
        <v>127</v>
      </c>
      <c r="G12" s="2" t="s">
        <v>1020</v>
      </c>
      <c r="H12" s="2" t="s">
        <v>991</v>
      </c>
      <c r="I12" s="2" t="s">
        <v>1021</v>
      </c>
      <c r="J12" s="2" t="s">
        <v>540</v>
      </c>
      <c r="K12" s="2" t="s">
        <v>958</v>
      </c>
      <c r="L12" s="2" t="s">
        <v>1022</v>
      </c>
      <c r="M12" s="2" t="s">
        <v>978</v>
      </c>
      <c r="N12" s="2" t="s">
        <v>558</v>
      </c>
      <c r="O12" s="2" t="s">
        <v>35</v>
      </c>
      <c r="P12" s="2" t="s">
        <v>59</v>
      </c>
      <c r="Q12" s="2" t="s">
        <v>962</v>
      </c>
      <c r="R12" s="2">
        <v>4</v>
      </c>
      <c r="S12" s="2">
        <v>5</v>
      </c>
      <c r="T12" s="2" t="str">
        <f t="shared" si="1"/>
        <v>4–5</v>
      </c>
      <c r="U12" s="2" t="s">
        <v>128</v>
      </c>
      <c r="V12" s="2" t="s">
        <v>963</v>
      </c>
      <c r="W12" s="2" t="s">
        <v>963</v>
      </c>
      <c r="X12" s="2" t="s">
        <v>1023</v>
      </c>
      <c r="Y12" s="2" t="s">
        <v>965</v>
      </c>
      <c r="Z12" s="2" t="s">
        <v>966</v>
      </c>
      <c r="AA12" s="2" t="s">
        <v>1024</v>
      </c>
      <c r="AB12" s="2" t="s">
        <v>987</v>
      </c>
      <c r="AC12" s="2" t="s">
        <v>1025</v>
      </c>
      <c r="AD12" s="2" t="s">
        <v>970</v>
      </c>
      <c r="AE12" s="2" t="s">
        <v>989</v>
      </c>
      <c r="AF12" s="2" t="s">
        <v>972</v>
      </c>
      <c r="AG12" s="2" t="s">
        <v>973</v>
      </c>
      <c r="AH12" s="2" t="s">
        <v>974</v>
      </c>
    </row>
    <row r="13" spans="1:34" ht="54" x14ac:dyDescent="0.25">
      <c r="A13" s="2" t="s">
        <v>129</v>
      </c>
      <c r="B13" s="2" t="s">
        <v>34</v>
      </c>
      <c r="C13" s="2" t="s">
        <v>954</v>
      </c>
      <c r="D13" s="2">
        <v>2024</v>
      </c>
      <c r="E13" s="2" t="str">
        <f t="shared" si="0"/>
        <v>2023–2024</v>
      </c>
      <c r="F13" s="2" t="s">
        <v>121</v>
      </c>
      <c r="G13" s="2" t="s">
        <v>997</v>
      </c>
      <c r="H13" s="2" t="s">
        <v>991</v>
      </c>
      <c r="I13" s="2" t="s">
        <v>1014</v>
      </c>
      <c r="J13" s="2" t="s">
        <v>540</v>
      </c>
      <c r="K13" s="2" t="s">
        <v>958</v>
      </c>
      <c r="L13" s="2" t="s">
        <v>999</v>
      </c>
      <c r="M13" s="2" t="s">
        <v>978</v>
      </c>
      <c r="N13" s="2" t="s">
        <v>557</v>
      </c>
      <c r="O13" s="2" t="s">
        <v>35</v>
      </c>
      <c r="P13" s="2" t="s">
        <v>51</v>
      </c>
      <c r="Q13" s="2" t="s">
        <v>962</v>
      </c>
      <c r="R13" s="2">
        <v>2</v>
      </c>
      <c r="S13" s="2">
        <v>3</v>
      </c>
      <c r="T13" s="2" t="str">
        <f t="shared" si="1"/>
        <v>2–3</v>
      </c>
      <c r="U13" s="2" t="s">
        <v>130</v>
      </c>
      <c r="V13" s="2" t="s">
        <v>963</v>
      </c>
      <c r="W13" s="2" t="s">
        <v>963</v>
      </c>
      <c r="X13" s="2" t="s">
        <v>1026</v>
      </c>
      <c r="Y13" s="2" t="s">
        <v>965</v>
      </c>
      <c r="Z13" s="2" t="s">
        <v>966</v>
      </c>
      <c r="AA13" s="2" t="s">
        <v>1027</v>
      </c>
      <c r="AB13" s="2" t="s">
        <v>968</v>
      </c>
      <c r="AC13" s="2" t="s">
        <v>996</v>
      </c>
      <c r="AD13" s="2" t="s">
        <v>970</v>
      </c>
      <c r="AE13" s="2" t="s">
        <v>989</v>
      </c>
      <c r="AF13" s="2" t="s">
        <v>972</v>
      </c>
      <c r="AG13" s="2" t="s">
        <v>973</v>
      </c>
      <c r="AH13" s="2" t="s">
        <v>974</v>
      </c>
    </row>
    <row r="14" spans="1:34" ht="27" x14ac:dyDescent="0.25">
      <c r="A14" s="2" t="s">
        <v>131</v>
      </c>
      <c r="B14" s="2" t="s">
        <v>34</v>
      </c>
      <c r="C14" s="2" t="s">
        <v>954</v>
      </c>
      <c r="D14" s="2">
        <v>2024</v>
      </c>
      <c r="E14" s="2" t="str">
        <f t="shared" si="0"/>
        <v>2023–2024</v>
      </c>
      <c r="F14" s="2" t="s">
        <v>132</v>
      </c>
      <c r="G14" s="2" t="s">
        <v>1028</v>
      </c>
      <c r="H14" s="2" t="s">
        <v>991</v>
      </c>
      <c r="I14" s="2" t="s">
        <v>1029</v>
      </c>
      <c r="J14" s="2" t="s">
        <v>540</v>
      </c>
      <c r="K14" s="2" t="s">
        <v>958</v>
      </c>
      <c r="L14" s="2" t="s">
        <v>1017</v>
      </c>
      <c r="M14" s="2" t="s">
        <v>978</v>
      </c>
      <c r="N14" s="2" t="s">
        <v>979</v>
      </c>
      <c r="O14" s="2" t="s">
        <v>35</v>
      </c>
      <c r="P14" s="2" t="s">
        <v>59</v>
      </c>
      <c r="Q14" s="2" t="s">
        <v>962</v>
      </c>
      <c r="R14" s="2">
        <v>4</v>
      </c>
      <c r="S14" s="2">
        <v>5</v>
      </c>
      <c r="T14" s="2" t="str">
        <f t="shared" si="1"/>
        <v>4–5</v>
      </c>
      <c r="U14" s="2" t="s">
        <v>133</v>
      </c>
      <c r="V14" s="2" t="s">
        <v>963</v>
      </c>
      <c r="W14" s="2" t="s">
        <v>963</v>
      </c>
      <c r="X14" s="2" t="s">
        <v>1030</v>
      </c>
      <c r="Y14" s="2" t="s">
        <v>965</v>
      </c>
      <c r="Z14" s="2" t="s">
        <v>966</v>
      </c>
      <c r="AA14" s="2" t="s">
        <v>1031</v>
      </c>
      <c r="AB14" s="2" t="s">
        <v>968</v>
      </c>
      <c r="AC14" s="2" t="s">
        <v>1032</v>
      </c>
      <c r="AD14" s="2" t="s">
        <v>970</v>
      </c>
      <c r="AE14" s="2" t="s">
        <v>989</v>
      </c>
      <c r="AF14" s="2" t="s">
        <v>972</v>
      </c>
      <c r="AG14" s="2" t="s">
        <v>973</v>
      </c>
      <c r="AH14" s="2" t="s">
        <v>974</v>
      </c>
    </row>
    <row r="15" spans="1:34" ht="54" x14ac:dyDescent="0.25">
      <c r="A15" s="2" t="s">
        <v>134</v>
      </c>
      <c r="B15" s="2" t="s">
        <v>34</v>
      </c>
      <c r="C15" s="2" t="s">
        <v>954</v>
      </c>
      <c r="D15" s="2">
        <v>2024</v>
      </c>
      <c r="E15" s="2" t="str">
        <f t="shared" si="0"/>
        <v>2023–2024</v>
      </c>
      <c r="F15" s="2" t="s">
        <v>135</v>
      </c>
      <c r="G15" s="2" t="s">
        <v>1033</v>
      </c>
      <c r="H15" s="2" t="s">
        <v>991</v>
      </c>
      <c r="I15" s="2" t="s">
        <v>1034</v>
      </c>
      <c r="J15" s="2" t="s">
        <v>540</v>
      </c>
      <c r="K15" s="2" t="s">
        <v>958</v>
      </c>
      <c r="L15" s="2" t="s">
        <v>1017</v>
      </c>
      <c r="M15" s="2" t="s">
        <v>978</v>
      </c>
      <c r="N15" s="2" t="s">
        <v>1035</v>
      </c>
      <c r="O15" s="2" t="s">
        <v>35</v>
      </c>
      <c r="P15" s="2" t="s">
        <v>61</v>
      </c>
      <c r="Q15" s="2" t="s">
        <v>962</v>
      </c>
      <c r="R15" s="2">
        <v>5</v>
      </c>
      <c r="S15" s="2">
        <v>6</v>
      </c>
      <c r="T15" s="2" t="str">
        <f t="shared" si="1"/>
        <v>5–6</v>
      </c>
      <c r="U15" s="2" t="s">
        <v>136</v>
      </c>
      <c r="V15" s="2" t="s">
        <v>963</v>
      </c>
      <c r="W15" s="2" t="s">
        <v>963</v>
      </c>
      <c r="X15" s="2" t="s">
        <v>1036</v>
      </c>
      <c r="Y15" s="2" t="s">
        <v>965</v>
      </c>
      <c r="Z15" s="2" t="s">
        <v>966</v>
      </c>
      <c r="AA15" s="2" t="s">
        <v>1037</v>
      </c>
      <c r="AB15" s="2" t="s">
        <v>1038</v>
      </c>
      <c r="AC15" s="2" t="s">
        <v>1039</v>
      </c>
      <c r="AD15" s="2" t="s">
        <v>970</v>
      </c>
      <c r="AE15" s="2" t="s">
        <v>989</v>
      </c>
      <c r="AF15" s="2" t="s">
        <v>1040</v>
      </c>
      <c r="AG15" s="2" t="s">
        <v>973</v>
      </c>
      <c r="AH15" s="2" t="s">
        <v>974</v>
      </c>
    </row>
    <row r="16" spans="1:34" ht="67.5" x14ac:dyDescent="0.25">
      <c r="A16" s="2" t="s">
        <v>137</v>
      </c>
      <c r="B16" s="2" t="s">
        <v>138</v>
      </c>
      <c r="C16" s="2" t="s">
        <v>1041</v>
      </c>
      <c r="D16" s="2">
        <v>2024</v>
      </c>
      <c r="E16" s="2" t="str">
        <f t="shared" si="0"/>
        <v>2023–2024</v>
      </c>
      <c r="F16" s="2" t="s">
        <v>139</v>
      </c>
      <c r="G16" s="2" t="s">
        <v>1042</v>
      </c>
      <c r="H16" s="2" t="s">
        <v>1043</v>
      </c>
      <c r="I16" s="2" t="s">
        <v>55</v>
      </c>
      <c r="J16" s="2" t="s">
        <v>55</v>
      </c>
      <c r="K16" s="2" t="s">
        <v>55</v>
      </c>
      <c r="L16" s="2" t="s">
        <v>55</v>
      </c>
      <c r="M16" s="2" t="s">
        <v>55</v>
      </c>
      <c r="N16" s="2" t="s">
        <v>55</v>
      </c>
      <c r="O16" s="2" t="s">
        <v>43</v>
      </c>
      <c r="P16" s="2" t="s">
        <v>55</v>
      </c>
      <c r="Q16" s="2" t="s">
        <v>55</v>
      </c>
      <c r="R16" s="2" t="s">
        <v>55</v>
      </c>
      <c r="S16" s="2" t="s">
        <v>55</v>
      </c>
      <c r="T16" s="2" t="str">
        <f t="shared" si="1"/>
        <v>NA</v>
      </c>
      <c r="U16" s="2" t="s">
        <v>140</v>
      </c>
      <c r="V16" s="2" t="s">
        <v>963</v>
      </c>
      <c r="W16" s="2" t="s">
        <v>963</v>
      </c>
      <c r="X16" s="2" t="s">
        <v>1044</v>
      </c>
      <c r="Y16" s="2" t="s">
        <v>965</v>
      </c>
      <c r="Z16" s="2" t="s">
        <v>966</v>
      </c>
      <c r="AA16" s="2" t="s">
        <v>1045</v>
      </c>
      <c r="AB16" s="2" t="s">
        <v>1046</v>
      </c>
      <c r="AC16" s="2" t="s">
        <v>1045</v>
      </c>
      <c r="AD16" s="2" t="s">
        <v>1047</v>
      </c>
      <c r="AE16" s="2" t="s">
        <v>1047</v>
      </c>
      <c r="AF16" s="2" t="s">
        <v>55</v>
      </c>
      <c r="AG16" s="2" t="s">
        <v>55</v>
      </c>
      <c r="AH16" s="2" t="s">
        <v>1048</v>
      </c>
    </row>
    <row r="17" spans="1:34" ht="67.5" x14ac:dyDescent="0.25">
      <c r="A17" s="2" t="s">
        <v>141</v>
      </c>
      <c r="B17" s="2" t="s">
        <v>138</v>
      </c>
      <c r="C17" s="2" t="s">
        <v>1049</v>
      </c>
      <c r="D17" s="2">
        <v>2024</v>
      </c>
      <c r="E17" s="2" t="str">
        <f t="shared" si="0"/>
        <v>2023–2024</v>
      </c>
      <c r="F17" s="2" t="s">
        <v>139</v>
      </c>
      <c r="G17" s="2" t="s">
        <v>1050</v>
      </c>
      <c r="H17" s="2" t="s">
        <v>1051</v>
      </c>
      <c r="I17" s="2" t="s">
        <v>50</v>
      </c>
      <c r="J17" s="2" t="s">
        <v>50</v>
      </c>
      <c r="K17" s="2" t="s">
        <v>50</v>
      </c>
      <c r="L17" s="2" t="s">
        <v>50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962</v>
      </c>
      <c r="R17" s="2" t="s">
        <v>50</v>
      </c>
      <c r="S17" s="2" t="s">
        <v>50</v>
      </c>
      <c r="T17" s="2" t="str">
        <f t="shared" si="1"/>
        <v>UNC</v>
      </c>
      <c r="U17" s="2" t="s">
        <v>142</v>
      </c>
      <c r="V17" s="2" t="s">
        <v>963</v>
      </c>
      <c r="W17" s="2" t="s">
        <v>963</v>
      </c>
      <c r="X17" s="2" t="s">
        <v>1052</v>
      </c>
      <c r="Y17" s="2" t="s">
        <v>965</v>
      </c>
      <c r="Z17" s="2" t="s">
        <v>966</v>
      </c>
      <c r="AA17" s="2" t="s">
        <v>1053</v>
      </c>
      <c r="AB17" s="2" t="s">
        <v>1054</v>
      </c>
      <c r="AC17" s="2" t="s">
        <v>1055</v>
      </c>
      <c r="AD17" s="2" t="s">
        <v>1056</v>
      </c>
      <c r="AE17" s="2" t="s">
        <v>1056</v>
      </c>
      <c r="AF17" s="2" t="s">
        <v>50</v>
      </c>
      <c r="AG17" s="2" t="s">
        <v>50</v>
      </c>
      <c r="AH17" s="2" t="s">
        <v>1057</v>
      </c>
    </row>
    <row r="18" spans="1:34" ht="54" x14ac:dyDescent="0.25">
      <c r="A18" s="2" t="s">
        <v>143</v>
      </c>
      <c r="B18" s="2" t="s">
        <v>34</v>
      </c>
      <c r="C18" s="2" t="s">
        <v>954</v>
      </c>
      <c r="D18" s="2">
        <v>2024</v>
      </c>
      <c r="E18" s="2" t="str">
        <f t="shared" si="0"/>
        <v>2023–2024</v>
      </c>
      <c r="F18" s="2" t="s">
        <v>132</v>
      </c>
      <c r="G18" s="2" t="s">
        <v>997</v>
      </c>
      <c r="H18" s="2" t="s">
        <v>991</v>
      </c>
      <c r="I18" s="2" t="s">
        <v>1014</v>
      </c>
      <c r="J18" s="2" t="s">
        <v>540</v>
      </c>
      <c r="K18" s="2" t="s">
        <v>958</v>
      </c>
      <c r="L18" s="2" t="s">
        <v>1058</v>
      </c>
      <c r="M18" s="2" t="s">
        <v>978</v>
      </c>
      <c r="N18" s="2" t="s">
        <v>979</v>
      </c>
      <c r="O18" s="2" t="s">
        <v>35</v>
      </c>
      <c r="P18" s="2" t="s">
        <v>59</v>
      </c>
      <c r="Q18" s="2" t="s">
        <v>962</v>
      </c>
      <c r="R18" s="2">
        <v>4</v>
      </c>
      <c r="S18" s="2">
        <v>5</v>
      </c>
      <c r="T18" s="2" t="str">
        <f t="shared" si="1"/>
        <v>4–5</v>
      </c>
      <c r="U18" s="2" t="s">
        <v>144</v>
      </c>
      <c r="V18" s="2" t="s">
        <v>963</v>
      </c>
      <c r="W18" s="2" t="s">
        <v>963</v>
      </c>
      <c r="X18" s="2" t="s">
        <v>1059</v>
      </c>
      <c r="Y18" s="2" t="s">
        <v>965</v>
      </c>
      <c r="Z18" s="2" t="s">
        <v>966</v>
      </c>
      <c r="AA18" s="2" t="s">
        <v>1060</v>
      </c>
      <c r="AB18" s="2" t="s">
        <v>1038</v>
      </c>
      <c r="AC18" s="2" t="s">
        <v>1061</v>
      </c>
      <c r="AD18" s="2" t="s">
        <v>970</v>
      </c>
      <c r="AE18" s="2" t="s">
        <v>989</v>
      </c>
      <c r="AF18" s="2" t="s">
        <v>972</v>
      </c>
      <c r="AG18" s="2" t="s">
        <v>973</v>
      </c>
      <c r="AH18" s="2" t="s">
        <v>974</v>
      </c>
    </row>
    <row r="19" spans="1:34" ht="54" x14ac:dyDescent="0.25">
      <c r="A19" s="2" t="s">
        <v>145</v>
      </c>
      <c r="B19" s="2" t="s">
        <v>34</v>
      </c>
      <c r="C19" s="2" t="s">
        <v>954</v>
      </c>
      <c r="D19" s="2">
        <v>2024</v>
      </c>
      <c r="E19" s="2" t="str">
        <f t="shared" si="0"/>
        <v>2023–2024</v>
      </c>
      <c r="F19" s="2" t="s">
        <v>124</v>
      </c>
      <c r="G19" s="2" t="s">
        <v>997</v>
      </c>
      <c r="H19" s="2" t="s">
        <v>991</v>
      </c>
      <c r="I19" s="2" t="s">
        <v>1062</v>
      </c>
      <c r="J19" s="2" t="s">
        <v>540</v>
      </c>
      <c r="K19" s="2" t="s">
        <v>958</v>
      </c>
      <c r="L19" s="2" t="s">
        <v>1063</v>
      </c>
      <c r="M19" s="2" t="s">
        <v>978</v>
      </c>
      <c r="N19" s="2" t="s">
        <v>558</v>
      </c>
      <c r="O19" s="2" t="s">
        <v>35</v>
      </c>
      <c r="P19" s="2" t="s">
        <v>56</v>
      </c>
      <c r="Q19" s="2" t="s">
        <v>962</v>
      </c>
      <c r="R19" s="2">
        <v>3</v>
      </c>
      <c r="S19" s="2">
        <v>4</v>
      </c>
      <c r="T19" s="2" t="str">
        <f t="shared" si="1"/>
        <v>3–4</v>
      </c>
      <c r="U19" s="2" t="s">
        <v>146</v>
      </c>
      <c r="V19" s="2" t="s">
        <v>963</v>
      </c>
      <c r="W19" s="2" t="s">
        <v>963</v>
      </c>
      <c r="X19" s="2" t="s">
        <v>1064</v>
      </c>
      <c r="Y19" s="2" t="s">
        <v>965</v>
      </c>
      <c r="Z19" s="2" t="s">
        <v>966</v>
      </c>
      <c r="AA19" s="2" t="s">
        <v>1065</v>
      </c>
      <c r="AB19" s="2" t="s">
        <v>968</v>
      </c>
      <c r="AC19" s="2" t="s">
        <v>996</v>
      </c>
      <c r="AD19" s="2" t="s">
        <v>970</v>
      </c>
      <c r="AE19" s="2" t="s">
        <v>989</v>
      </c>
      <c r="AF19" s="2" t="s">
        <v>972</v>
      </c>
      <c r="AG19" s="2" t="s">
        <v>973</v>
      </c>
      <c r="AH19" s="2" t="s">
        <v>974</v>
      </c>
    </row>
    <row r="20" spans="1:34" ht="40.5" x14ac:dyDescent="0.25">
      <c r="A20" s="2" t="s">
        <v>147</v>
      </c>
      <c r="B20" s="2" t="s">
        <v>34</v>
      </c>
      <c r="C20" s="2" t="s">
        <v>954</v>
      </c>
      <c r="D20" s="2">
        <v>2024</v>
      </c>
      <c r="E20" s="2" t="str">
        <f t="shared" si="0"/>
        <v>2023–2024</v>
      </c>
      <c r="F20" s="2" t="s">
        <v>118</v>
      </c>
      <c r="G20" s="2" t="s">
        <v>997</v>
      </c>
      <c r="H20" s="2" t="s">
        <v>991</v>
      </c>
      <c r="I20" s="2" t="s">
        <v>1014</v>
      </c>
      <c r="J20" s="2" t="s">
        <v>540</v>
      </c>
      <c r="K20" s="2" t="s">
        <v>958</v>
      </c>
      <c r="L20" s="2" t="s">
        <v>999</v>
      </c>
      <c r="M20" s="2" t="s">
        <v>978</v>
      </c>
      <c r="N20" s="2" t="s">
        <v>979</v>
      </c>
      <c r="O20" s="2" t="s">
        <v>35</v>
      </c>
      <c r="P20" s="2" t="s">
        <v>59</v>
      </c>
      <c r="Q20" s="2" t="s">
        <v>962</v>
      </c>
      <c r="R20" s="2">
        <v>4</v>
      </c>
      <c r="S20" s="2">
        <v>5</v>
      </c>
      <c r="T20" s="2" t="str">
        <f t="shared" si="1"/>
        <v>4–5</v>
      </c>
      <c r="U20" s="2" t="s">
        <v>148</v>
      </c>
      <c r="V20" s="2" t="s">
        <v>963</v>
      </c>
      <c r="W20" s="2" t="s">
        <v>963</v>
      </c>
      <c r="X20" s="2" t="s">
        <v>1066</v>
      </c>
      <c r="Y20" s="2" t="s">
        <v>965</v>
      </c>
      <c r="Z20" s="2" t="s">
        <v>966</v>
      </c>
      <c r="AA20" s="2" t="s">
        <v>1067</v>
      </c>
      <c r="AB20" s="2" t="s">
        <v>968</v>
      </c>
      <c r="AC20" s="2" t="s">
        <v>1068</v>
      </c>
      <c r="AD20" s="2" t="s">
        <v>970</v>
      </c>
      <c r="AE20" s="2" t="s">
        <v>971</v>
      </c>
      <c r="AF20" s="2" t="s">
        <v>972</v>
      </c>
      <c r="AG20" s="2" t="s">
        <v>973</v>
      </c>
      <c r="AH20" s="2" t="s">
        <v>974</v>
      </c>
    </row>
    <row r="21" spans="1:34" ht="67.5" x14ac:dyDescent="0.25">
      <c r="A21" s="2" t="s">
        <v>149</v>
      </c>
      <c r="B21" s="2" t="s">
        <v>34</v>
      </c>
      <c r="C21" s="2" t="s">
        <v>954</v>
      </c>
      <c r="D21" s="2">
        <v>2025</v>
      </c>
      <c r="E21" s="2" t="str">
        <f t="shared" si="0"/>
        <v>2025–2026</v>
      </c>
      <c r="F21" s="2" t="s">
        <v>124</v>
      </c>
      <c r="G21" s="2" t="s">
        <v>997</v>
      </c>
      <c r="H21" s="2" t="s">
        <v>991</v>
      </c>
      <c r="I21" s="2" t="s">
        <v>1014</v>
      </c>
      <c r="J21" s="2" t="s">
        <v>540</v>
      </c>
      <c r="K21" s="2" t="s">
        <v>958</v>
      </c>
      <c r="L21" s="2" t="s">
        <v>1069</v>
      </c>
      <c r="M21" s="2" t="s">
        <v>978</v>
      </c>
      <c r="N21" s="2" t="s">
        <v>979</v>
      </c>
      <c r="O21" s="2" t="s">
        <v>35</v>
      </c>
      <c r="P21" s="2" t="s">
        <v>59</v>
      </c>
      <c r="Q21" s="2" t="s">
        <v>962</v>
      </c>
      <c r="R21" s="2">
        <v>4</v>
      </c>
      <c r="S21" s="2">
        <v>5</v>
      </c>
      <c r="T21" s="2" t="str">
        <f t="shared" si="1"/>
        <v>4–5</v>
      </c>
      <c r="U21" s="2" t="s">
        <v>150</v>
      </c>
      <c r="V21" s="2" t="s">
        <v>963</v>
      </c>
      <c r="W21" s="2" t="s">
        <v>963</v>
      </c>
      <c r="X21" s="2" t="s">
        <v>1070</v>
      </c>
      <c r="Y21" s="2" t="s">
        <v>965</v>
      </c>
      <c r="Z21" s="2" t="s">
        <v>966</v>
      </c>
      <c r="AA21" s="2" t="s">
        <v>1071</v>
      </c>
      <c r="AB21" s="2" t="s">
        <v>1072</v>
      </c>
      <c r="AC21" s="2" t="s">
        <v>1073</v>
      </c>
      <c r="AD21" s="2" t="s">
        <v>970</v>
      </c>
      <c r="AE21" s="2" t="s">
        <v>971</v>
      </c>
      <c r="AF21" s="2" t="s">
        <v>972</v>
      </c>
      <c r="AG21" s="2" t="s">
        <v>973</v>
      </c>
      <c r="AH21" s="2" t="s">
        <v>974</v>
      </c>
    </row>
    <row r="22" spans="1:34" ht="54" x14ac:dyDescent="0.25">
      <c r="A22" s="2" t="s">
        <v>151</v>
      </c>
      <c r="B22" s="2" t="s">
        <v>34</v>
      </c>
      <c r="C22" s="2" t="s">
        <v>954</v>
      </c>
      <c r="D22" s="2">
        <v>2025</v>
      </c>
      <c r="E22" s="2" t="str">
        <f t="shared" si="0"/>
        <v>2025–2026</v>
      </c>
      <c r="F22" s="2" t="s">
        <v>109</v>
      </c>
      <c r="G22" s="2" t="s">
        <v>1074</v>
      </c>
      <c r="H22" s="2" t="s">
        <v>991</v>
      </c>
      <c r="I22" s="2" t="s">
        <v>1014</v>
      </c>
      <c r="J22" s="2" t="s">
        <v>540</v>
      </c>
      <c r="K22" s="2" t="s">
        <v>958</v>
      </c>
      <c r="L22" s="2" t="s">
        <v>1008</v>
      </c>
      <c r="M22" s="2" t="s">
        <v>978</v>
      </c>
      <c r="N22" s="2" t="s">
        <v>557</v>
      </c>
      <c r="O22" s="2" t="s">
        <v>35</v>
      </c>
      <c r="P22" s="2" t="s">
        <v>51</v>
      </c>
      <c r="Q22" s="2" t="s">
        <v>962</v>
      </c>
      <c r="R22" s="2">
        <v>2</v>
      </c>
      <c r="S22" s="2">
        <v>3</v>
      </c>
      <c r="T22" s="2" t="str">
        <f t="shared" si="1"/>
        <v>2–3</v>
      </c>
      <c r="U22" s="2" t="s">
        <v>152</v>
      </c>
      <c r="V22" s="2" t="s">
        <v>963</v>
      </c>
      <c r="W22" s="2" t="s">
        <v>963</v>
      </c>
      <c r="X22" s="2" t="s">
        <v>1075</v>
      </c>
      <c r="Y22" s="2" t="s">
        <v>965</v>
      </c>
      <c r="Z22" s="2" t="s">
        <v>966</v>
      </c>
      <c r="AA22" s="2" t="s">
        <v>1076</v>
      </c>
      <c r="AB22" s="2" t="s">
        <v>1077</v>
      </c>
      <c r="AC22" s="2" t="s">
        <v>996</v>
      </c>
      <c r="AD22" s="2" t="s">
        <v>970</v>
      </c>
      <c r="AE22" s="2" t="s">
        <v>989</v>
      </c>
      <c r="AF22" s="2" t="s">
        <v>972</v>
      </c>
      <c r="AG22" s="2" t="s">
        <v>973</v>
      </c>
      <c r="AH22" s="2" t="s">
        <v>974</v>
      </c>
    </row>
    <row r="23" spans="1:34" ht="54" x14ac:dyDescent="0.25">
      <c r="A23" s="2" t="s">
        <v>153</v>
      </c>
      <c r="B23" s="2" t="s">
        <v>34</v>
      </c>
      <c r="C23" s="2" t="s">
        <v>954</v>
      </c>
      <c r="D23" s="2">
        <v>2025</v>
      </c>
      <c r="E23" s="2" t="str">
        <f t="shared" si="0"/>
        <v>2025–2026</v>
      </c>
      <c r="F23" s="2" t="s">
        <v>124</v>
      </c>
      <c r="G23" s="2" t="s">
        <v>997</v>
      </c>
      <c r="H23" s="2" t="s">
        <v>991</v>
      </c>
      <c r="I23" s="2" t="s">
        <v>1014</v>
      </c>
      <c r="J23" s="2" t="s">
        <v>540</v>
      </c>
      <c r="K23" s="2" t="s">
        <v>958</v>
      </c>
      <c r="L23" s="2" t="s">
        <v>1063</v>
      </c>
      <c r="M23" s="2" t="s">
        <v>978</v>
      </c>
      <c r="N23" s="2" t="s">
        <v>1078</v>
      </c>
      <c r="O23" s="2" t="s">
        <v>35</v>
      </c>
      <c r="P23" s="2" t="s">
        <v>56</v>
      </c>
      <c r="Q23" s="2" t="s">
        <v>962</v>
      </c>
      <c r="R23" s="2">
        <v>3</v>
      </c>
      <c r="S23" s="2">
        <v>4</v>
      </c>
      <c r="T23" s="2" t="str">
        <f t="shared" si="1"/>
        <v>3–4</v>
      </c>
      <c r="U23" s="2" t="s">
        <v>154</v>
      </c>
      <c r="V23" s="2" t="s">
        <v>963</v>
      </c>
      <c r="W23" s="2" t="s">
        <v>963</v>
      </c>
      <c r="X23" s="2" t="s">
        <v>1079</v>
      </c>
      <c r="Y23" s="2" t="s">
        <v>965</v>
      </c>
      <c r="Z23" s="2" t="s">
        <v>966</v>
      </c>
      <c r="AA23" s="2" t="s">
        <v>1080</v>
      </c>
      <c r="AB23" s="2" t="s">
        <v>1006</v>
      </c>
      <c r="AC23" s="2" t="s">
        <v>1081</v>
      </c>
      <c r="AD23" s="2" t="s">
        <v>970</v>
      </c>
      <c r="AE23" s="2" t="s">
        <v>989</v>
      </c>
      <c r="AF23" s="2" t="s">
        <v>972</v>
      </c>
      <c r="AG23" s="2" t="s">
        <v>973</v>
      </c>
      <c r="AH23" s="2" t="s">
        <v>974</v>
      </c>
    </row>
    <row r="24" spans="1:34" ht="54" x14ac:dyDescent="0.25">
      <c r="A24" s="2" t="s">
        <v>155</v>
      </c>
      <c r="B24" s="2" t="s">
        <v>34</v>
      </c>
      <c r="C24" s="2" t="s">
        <v>954</v>
      </c>
      <c r="D24" s="2">
        <v>2025</v>
      </c>
      <c r="E24" s="2" t="str">
        <f t="shared" si="0"/>
        <v>2025–2026</v>
      </c>
      <c r="F24" s="2" t="s">
        <v>127</v>
      </c>
      <c r="G24" s="2" t="s">
        <v>997</v>
      </c>
      <c r="H24" s="2" t="s">
        <v>975</v>
      </c>
      <c r="I24" s="2" t="s">
        <v>1082</v>
      </c>
      <c r="J24" s="2" t="s">
        <v>540</v>
      </c>
      <c r="K24" s="2" t="s">
        <v>958</v>
      </c>
      <c r="L24" s="2" t="s">
        <v>1083</v>
      </c>
      <c r="M24" s="2" t="s">
        <v>978</v>
      </c>
      <c r="N24" s="2" t="s">
        <v>979</v>
      </c>
      <c r="O24" s="2" t="s">
        <v>35</v>
      </c>
      <c r="P24" s="2" t="s">
        <v>59</v>
      </c>
      <c r="Q24" s="2" t="s">
        <v>962</v>
      </c>
      <c r="R24" s="2">
        <v>4</v>
      </c>
      <c r="S24" s="2">
        <v>5</v>
      </c>
      <c r="T24" s="2" t="str">
        <f t="shared" si="1"/>
        <v>4–5</v>
      </c>
      <c r="U24" s="2" t="s">
        <v>156</v>
      </c>
      <c r="V24" s="2" t="s">
        <v>963</v>
      </c>
      <c r="W24" s="2" t="s">
        <v>963</v>
      </c>
      <c r="X24" s="2" t="s">
        <v>1084</v>
      </c>
      <c r="Y24" s="2" t="s">
        <v>965</v>
      </c>
      <c r="Z24" s="2" t="s">
        <v>966</v>
      </c>
      <c r="AA24" s="2" t="s">
        <v>1085</v>
      </c>
      <c r="AB24" s="2" t="s">
        <v>1077</v>
      </c>
      <c r="AC24" s="2" t="s">
        <v>1086</v>
      </c>
      <c r="AD24" s="2" t="s">
        <v>970</v>
      </c>
      <c r="AE24" s="2" t="s">
        <v>989</v>
      </c>
      <c r="AF24" s="2" t="s">
        <v>972</v>
      </c>
      <c r="AG24" s="2" t="s">
        <v>973</v>
      </c>
      <c r="AH24" s="2" t="s">
        <v>974</v>
      </c>
    </row>
    <row r="25" spans="1:34" ht="54" x14ac:dyDescent="0.25">
      <c r="A25" s="2" t="s">
        <v>157</v>
      </c>
      <c r="B25" s="2" t="s">
        <v>34</v>
      </c>
      <c r="C25" s="2" t="s">
        <v>954</v>
      </c>
      <c r="D25" s="2">
        <v>2025</v>
      </c>
      <c r="E25" s="2" t="str">
        <f t="shared" si="0"/>
        <v>2025–2026</v>
      </c>
      <c r="F25" s="2" t="s">
        <v>158</v>
      </c>
      <c r="G25" s="2" t="s">
        <v>1087</v>
      </c>
      <c r="H25" s="2" t="s">
        <v>1088</v>
      </c>
      <c r="I25" s="2" t="s">
        <v>1089</v>
      </c>
      <c r="J25" s="2" t="s">
        <v>540</v>
      </c>
      <c r="K25" s="2" t="s">
        <v>958</v>
      </c>
      <c r="L25" s="2" t="s">
        <v>1090</v>
      </c>
      <c r="M25" s="2" t="s">
        <v>1091</v>
      </c>
      <c r="N25" s="2" t="s">
        <v>979</v>
      </c>
      <c r="O25" s="2" t="s">
        <v>35</v>
      </c>
      <c r="P25" s="2" t="s">
        <v>59</v>
      </c>
      <c r="Q25" s="2" t="s">
        <v>962</v>
      </c>
      <c r="R25" s="2">
        <v>4</v>
      </c>
      <c r="S25" s="2">
        <v>5</v>
      </c>
      <c r="T25" s="2" t="str">
        <f t="shared" si="1"/>
        <v>4–5</v>
      </c>
      <c r="U25" s="2" t="s">
        <v>159</v>
      </c>
      <c r="V25" s="2" t="s">
        <v>963</v>
      </c>
      <c r="W25" s="2" t="s">
        <v>963</v>
      </c>
      <c r="X25" s="2" t="s">
        <v>1092</v>
      </c>
      <c r="Y25" s="2" t="s">
        <v>965</v>
      </c>
      <c r="Z25" s="2" t="s">
        <v>966</v>
      </c>
      <c r="AA25" s="2" t="s">
        <v>1093</v>
      </c>
      <c r="AB25" s="2" t="s">
        <v>1094</v>
      </c>
      <c r="AC25" s="2" t="s">
        <v>1095</v>
      </c>
      <c r="AD25" s="2" t="s">
        <v>1096</v>
      </c>
      <c r="AE25" s="2" t="s">
        <v>989</v>
      </c>
      <c r="AF25" s="2" t="s">
        <v>972</v>
      </c>
      <c r="AG25" s="2" t="s">
        <v>973</v>
      </c>
      <c r="AH25" s="2" t="s">
        <v>974</v>
      </c>
    </row>
    <row r="26" spans="1:34" ht="27" x14ac:dyDescent="0.25">
      <c r="A26" s="2" t="s">
        <v>160</v>
      </c>
      <c r="B26" s="2" t="s">
        <v>34</v>
      </c>
      <c r="C26" s="2" t="s">
        <v>954</v>
      </c>
      <c r="D26" s="2">
        <v>2025</v>
      </c>
      <c r="E26" s="2" t="str">
        <f t="shared" si="0"/>
        <v>2025–2026</v>
      </c>
      <c r="F26" s="2" t="s">
        <v>118</v>
      </c>
      <c r="G26" s="2" t="s">
        <v>997</v>
      </c>
      <c r="H26" s="2" t="s">
        <v>991</v>
      </c>
      <c r="I26" s="2" t="s">
        <v>1014</v>
      </c>
      <c r="J26" s="2" t="s">
        <v>540</v>
      </c>
      <c r="K26" s="2" t="s">
        <v>958</v>
      </c>
      <c r="L26" s="2" t="s">
        <v>1097</v>
      </c>
      <c r="M26" s="2" t="s">
        <v>978</v>
      </c>
      <c r="N26" s="2" t="s">
        <v>961</v>
      </c>
      <c r="O26" s="2" t="s">
        <v>35</v>
      </c>
      <c r="P26" s="2" t="s">
        <v>59</v>
      </c>
      <c r="Q26" s="2" t="s">
        <v>962</v>
      </c>
      <c r="R26" s="2">
        <v>4</v>
      </c>
      <c r="S26" s="2">
        <v>5</v>
      </c>
      <c r="T26" s="2" t="str">
        <f t="shared" si="1"/>
        <v>4–5</v>
      </c>
      <c r="U26" s="2" t="s">
        <v>161</v>
      </c>
      <c r="V26" s="2" t="s">
        <v>963</v>
      </c>
      <c r="W26" s="2" t="s">
        <v>963</v>
      </c>
      <c r="X26" s="2" t="s">
        <v>1098</v>
      </c>
      <c r="Y26" s="2" t="s">
        <v>965</v>
      </c>
      <c r="Z26" s="2" t="s">
        <v>966</v>
      </c>
      <c r="AA26" s="2" t="s">
        <v>1099</v>
      </c>
      <c r="AB26" s="2" t="s">
        <v>968</v>
      </c>
      <c r="AC26" s="2" t="s">
        <v>996</v>
      </c>
      <c r="AD26" s="2" t="s">
        <v>970</v>
      </c>
      <c r="AE26" s="2" t="s">
        <v>989</v>
      </c>
      <c r="AF26" s="2" t="s">
        <v>972</v>
      </c>
      <c r="AG26" s="2" t="s">
        <v>973</v>
      </c>
      <c r="AH26" s="2" t="s">
        <v>974</v>
      </c>
    </row>
    <row r="27" spans="1:34" ht="67.5" x14ac:dyDescent="0.25">
      <c r="A27" s="2" t="s">
        <v>162</v>
      </c>
      <c r="B27" s="2" t="s">
        <v>34</v>
      </c>
      <c r="C27" s="2" t="s">
        <v>954</v>
      </c>
      <c r="D27" s="2">
        <v>2026</v>
      </c>
      <c r="E27" s="2" t="str">
        <f t="shared" si="0"/>
        <v>2025–2026</v>
      </c>
      <c r="F27" s="2" t="s">
        <v>127</v>
      </c>
      <c r="G27" s="2" t="s">
        <v>1020</v>
      </c>
      <c r="H27" s="2" t="s">
        <v>991</v>
      </c>
      <c r="I27" s="2" t="s">
        <v>1100</v>
      </c>
      <c r="J27" s="2" t="s">
        <v>540</v>
      </c>
      <c r="K27" s="2" t="s">
        <v>958</v>
      </c>
      <c r="L27" s="2" t="s">
        <v>1017</v>
      </c>
      <c r="M27" s="2" t="s">
        <v>978</v>
      </c>
      <c r="N27" s="2" t="s">
        <v>557</v>
      </c>
      <c r="O27" s="2" t="s">
        <v>35</v>
      </c>
      <c r="P27" s="2" t="s">
        <v>51</v>
      </c>
      <c r="Q27" s="2" t="s">
        <v>962</v>
      </c>
      <c r="R27" s="2">
        <v>2</v>
      </c>
      <c r="S27" s="2">
        <v>3</v>
      </c>
      <c r="T27" s="2" t="str">
        <f t="shared" si="1"/>
        <v>2–3</v>
      </c>
      <c r="U27" s="2" t="s">
        <v>163</v>
      </c>
      <c r="V27" s="2" t="s">
        <v>963</v>
      </c>
      <c r="W27" s="2" t="s">
        <v>963</v>
      </c>
      <c r="X27" s="2" t="s">
        <v>1101</v>
      </c>
      <c r="Y27" s="2" t="s">
        <v>965</v>
      </c>
      <c r="Z27" s="2" t="s">
        <v>966</v>
      </c>
      <c r="AA27" s="2" t="s">
        <v>1102</v>
      </c>
      <c r="AB27" s="2" t="s">
        <v>1103</v>
      </c>
      <c r="AC27" s="2" t="s">
        <v>1104</v>
      </c>
      <c r="AD27" s="2" t="s">
        <v>970</v>
      </c>
      <c r="AE27" s="2" t="s">
        <v>989</v>
      </c>
      <c r="AF27" s="2" t="s">
        <v>972</v>
      </c>
      <c r="AG27" s="2" t="s">
        <v>973</v>
      </c>
      <c r="AH27" s="2" t="s">
        <v>974</v>
      </c>
    </row>
    <row r="28" spans="1:34" ht="40.5" x14ac:dyDescent="0.25">
      <c r="A28" s="2" t="s">
        <v>164</v>
      </c>
      <c r="B28" s="2" t="s">
        <v>34</v>
      </c>
      <c r="C28" s="2" t="s">
        <v>954</v>
      </c>
      <c r="D28" s="2">
        <v>2018</v>
      </c>
      <c r="E28" s="2" t="str">
        <f t="shared" si="0"/>
        <v>2016–2019</v>
      </c>
      <c r="F28" s="2" t="s">
        <v>165</v>
      </c>
      <c r="G28" s="2" t="s">
        <v>1087</v>
      </c>
      <c r="H28" s="2" t="s">
        <v>1088</v>
      </c>
      <c r="I28" s="2" t="s">
        <v>1105</v>
      </c>
      <c r="J28" s="2" t="s">
        <v>541</v>
      </c>
      <c r="K28" s="2" t="s">
        <v>958</v>
      </c>
      <c r="L28" s="2" t="s">
        <v>1069</v>
      </c>
      <c r="M28" s="2" t="s">
        <v>978</v>
      </c>
      <c r="N28" s="2" t="s">
        <v>555</v>
      </c>
      <c r="O28" s="2" t="s">
        <v>35</v>
      </c>
      <c r="P28" s="2" t="s">
        <v>36</v>
      </c>
      <c r="Q28" s="2" t="s">
        <v>962</v>
      </c>
      <c r="R28" s="2">
        <v>1</v>
      </c>
      <c r="S28" s="2">
        <v>2</v>
      </c>
      <c r="T28" s="2" t="str">
        <f t="shared" si="1"/>
        <v>1–2</v>
      </c>
      <c r="U28" s="2" t="s">
        <v>166</v>
      </c>
      <c r="V28" s="2" t="s">
        <v>963</v>
      </c>
      <c r="W28" s="2" t="s">
        <v>963</v>
      </c>
      <c r="X28" s="2" t="s">
        <v>964</v>
      </c>
      <c r="Y28" s="2" t="s">
        <v>965</v>
      </c>
      <c r="Z28" s="2" t="s">
        <v>966</v>
      </c>
      <c r="AA28" s="2" t="s">
        <v>1106</v>
      </c>
      <c r="AB28" s="2" t="s">
        <v>1107</v>
      </c>
      <c r="AC28" s="2" t="s">
        <v>1108</v>
      </c>
      <c r="AD28" s="2" t="s">
        <v>1109</v>
      </c>
      <c r="AE28" s="2" t="s">
        <v>1110</v>
      </c>
      <c r="AF28" s="2" t="s">
        <v>972</v>
      </c>
      <c r="AG28" s="2" t="s">
        <v>973</v>
      </c>
      <c r="AH28" s="2" t="s">
        <v>974</v>
      </c>
    </row>
    <row r="29" spans="1:34" ht="40.5" x14ac:dyDescent="0.25">
      <c r="A29" s="2" t="s">
        <v>167</v>
      </c>
      <c r="B29" s="2" t="s">
        <v>34</v>
      </c>
      <c r="C29" s="2" t="s">
        <v>954</v>
      </c>
      <c r="D29" s="2">
        <v>2019</v>
      </c>
      <c r="E29" s="2" t="str">
        <f t="shared" si="0"/>
        <v>2016–2019</v>
      </c>
      <c r="F29" s="2" t="s">
        <v>168</v>
      </c>
      <c r="G29" s="2" t="s">
        <v>1087</v>
      </c>
      <c r="H29" s="2" t="s">
        <v>1088</v>
      </c>
      <c r="I29" s="2" t="s">
        <v>1105</v>
      </c>
      <c r="J29" s="2" t="s">
        <v>541</v>
      </c>
      <c r="K29" s="2" t="s">
        <v>958</v>
      </c>
      <c r="L29" s="2" t="s">
        <v>1022</v>
      </c>
      <c r="M29" s="2" t="s">
        <v>978</v>
      </c>
      <c r="N29" s="2" t="s">
        <v>979</v>
      </c>
      <c r="O29" s="2" t="s">
        <v>35</v>
      </c>
      <c r="P29" s="2" t="s">
        <v>59</v>
      </c>
      <c r="Q29" s="2" t="s">
        <v>962</v>
      </c>
      <c r="R29" s="2">
        <v>4</v>
      </c>
      <c r="S29" s="2">
        <v>5</v>
      </c>
      <c r="T29" s="2" t="str">
        <f t="shared" si="1"/>
        <v>4–5</v>
      </c>
      <c r="U29" s="2" t="s">
        <v>169</v>
      </c>
      <c r="V29" s="2" t="s">
        <v>963</v>
      </c>
      <c r="W29" s="2" t="s">
        <v>963</v>
      </c>
      <c r="X29" s="2" t="s">
        <v>1111</v>
      </c>
      <c r="Y29" s="2" t="s">
        <v>965</v>
      </c>
      <c r="Z29" s="2" t="s">
        <v>966</v>
      </c>
      <c r="AA29" s="2" t="s">
        <v>1112</v>
      </c>
      <c r="AB29" s="2" t="s">
        <v>1113</v>
      </c>
      <c r="AC29" s="2" t="s">
        <v>1114</v>
      </c>
      <c r="AD29" s="2" t="s">
        <v>1096</v>
      </c>
      <c r="AE29" s="2" t="s">
        <v>971</v>
      </c>
      <c r="AF29" s="2" t="s">
        <v>972</v>
      </c>
      <c r="AG29" s="2" t="s">
        <v>973</v>
      </c>
      <c r="AH29" s="2" t="s">
        <v>974</v>
      </c>
    </row>
    <row r="30" spans="1:34" ht="40.5" x14ac:dyDescent="0.25">
      <c r="A30" s="2" t="s">
        <v>170</v>
      </c>
      <c r="B30" s="2" t="s">
        <v>34</v>
      </c>
      <c r="C30" s="2" t="s">
        <v>954</v>
      </c>
      <c r="D30" s="2">
        <v>2019</v>
      </c>
      <c r="E30" s="2" t="str">
        <f t="shared" si="0"/>
        <v>2016–2019</v>
      </c>
      <c r="F30" s="2" t="s">
        <v>171</v>
      </c>
      <c r="G30" s="2" t="s">
        <v>1087</v>
      </c>
      <c r="H30" s="2" t="s">
        <v>1115</v>
      </c>
      <c r="I30" s="2" t="s">
        <v>1116</v>
      </c>
      <c r="J30" s="2" t="s">
        <v>541</v>
      </c>
      <c r="K30" s="2" t="s">
        <v>958</v>
      </c>
      <c r="L30" s="2" t="s">
        <v>1117</v>
      </c>
      <c r="M30" s="2" t="s">
        <v>978</v>
      </c>
      <c r="N30" s="2" t="s">
        <v>979</v>
      </c>
      <c r="O30" s="2" t="s">
        <v>35</v>
      </c>
      <c r="P30" s="2" t="s">
        <v>59</v>
      </c>
      <c r="Q30" s="2" t="s">
        <v>962</v>
      </c>
      <c r="R30" s="2">
        <v>4</v>
      </c>
      <c r="S30" s="2">
        <v>5</v>
      </c>
      <c r="T30" s="2" t="str">
        <f t="shared" si="1"/>
        <v>4–5</v>
      </c>
      <c r="U30" s="2" t="s">
        <v>172</v>
      </c>
      <c r="V30" s="2" t="s">
        <v>963</v>
      </c>
      <c r="W30" s="2" t="s">
        <v>963</v>
      </c>
      <c r="X30" s="2" t="s">
        <v>1118</v>
      </c>
      <c r="Y30" s="2" t="s">
        <v>965</v>
      </c>
      <c r="Z30" s="2" t="s">
        <v>966</v>
      </c>
      <c r="AA30" s="2" t="s">
        <v>1119</v>
      </c>
      <c r="AB30" s="2" t="s">
        <v>968</v>
      </c>
      <c r="AC30" s="2" t="s">
        <v>1120</v>
      </c>
      <c r="AD30" s="2" t="s">
        <v>970</v>
      </c>
      <c r="AE30" s="2" t="s">
        <v>989</v>
      </c>
      <c r="AF30" s="2" t="s">
        <v>972</v>
      </c>
      <c r="AG30" s="2" t="s">
        <v>973</v>
      </c>
      <c r="AH30" s="2" t="s">
        <v>974</v>
      </c>
    </row>
    <row r="31" spans="1:34" ht="40.5" x14ac:dyDescent="0.25">
      <c r="A31" s="2" t="s">
        <v>173</v>
      </c>
      <c r="B31" s="2" t="s">
        <v>34</v>
      </c>
      <c r="C31" s="2" t="s">
        <v>954</v>
      </c>
      <c r="D31" s="2">
        <v>2021</v>
      </c>
      <c r="E31" s="2" t="str">
        <f t="shared" si="0"/>
        <v>2020–2022</v>
      </c>
      <c r="F31" s="2" t="s">
        <v>174</v>
      </c>
      <c r="G31" s="2" t="s">
        <v>1121</v>
      </c>
      <c r="H31" s="2" t="s">
        <v>991</v>
      </c>
      <c r="I31" s="2" t="s">
        <v>1105</v>
      </c>
      <c r="J31" s="2" t="s">
        <v>1122</v>
      </c>
      <c r="K31" s="2" t="s">
        <v>534</v>
      </c>
      <c r="L31" s="2" t="s">
        <v>1123</v>
      </c>
      <c r="M31" s="2" t="s">
        <v>1124</v>
      </c>
      <c r="N31" s="2" t="s">
        <v>554</v>
      </c>
      <c r="O31" s="2" t="s">
        <v>35</v>
      </c>
      <c r="P31" s="2" t="s">
        <v>36</v>
      </c>
      <c r="Q31" s="2" t="s">
        <v>962</v>
      </c>
      <c r="R31" s="2">
        <v>1</v>
      </c>
      <c r="S31" s="2">
        <v>2</v>
      </c>
      <c r="T31" s="2" t="str">
        <f t="shared" si="1"/>
        <v>1–2</v>
      </c>
      <c r="U31" s="2" t="s">
        <v>175</v>
      </c>
      <c r="V31" s="2" t="s">
        <v>963</v>
      </c>
      <c r="W31" s="2" t="s">
        <v>963</v>
      </c>
      <c r="X31" s="2" t="s">
        <v>1125</v>
      </c>
      <c r="Y31" s="2" t="s">
        <v>965</v>
      </c>
      <c r="Z31" s="2" t="s">
        <v>966</v>
      </c>
      <c r="AA31" s="2" t="s">
        <v>1126</v>
      </c>
      <c r="AB31" s="2" t="s">
        <v>968</v>
      </c>
      <c r="AC31" s="2" t="s">
        <v>1127</v>
      </c>
      <c r="AD31" s="2" t="s">
        <v>1109</v>
      </c>
      <c r="AE31" s="2" t="s">
        <v>989</v>
      </c>
      <c r="AF31" s="2" t="s">
        <v>972</v>
      </c>
      <c r="AG31" s="2" t="s">
        <v>973</v>
      </c>
      <c r="AH31" s="2" t="s">
        <v>974</v>
      </c>
    </row>
    <row r="32" spans="1:34" ht="40.5" x14ac:dyDescent="0.25">
      <c r="A32" s="2" t="s">
        <v>176</v>
      </c>
      <c r="B32" s="2" t="s">
        <v>34</v>
      </c>
      <c r="C32" s="2" t="s">
        <v>954</v>
      </c>
      <c r="D32" s="2">
        <v>2021</v>
      </c>
      <c r="E32" s="2" t="str">
        <f t="shared" si="0"/>
        <v>2020–2022</v>
      </c>
      <c r="F32" s="2" t="s">
        <v>177</v>
      </c>
      <c r="G32" s="2" t="s">
        <v>1087</v>
      </c>
      <c r="H32" s="2" t="s">
        <v>1115</v>
      </c>
      <c r="I32" s="2" t="s">
        <v>1116</v>
      </c>
      <c r="J32" s="2" t="s">
        <v>541</v>
      </c>
      <c r="K32" s="2" t="s">
        <v>958</v>
      </c>
      <c r="L32" s="2" t="s">
        <v>1063</v>
      </c>
      <c r="M32" s="2" t="s">
        <v>978</v>
      </c>
      <c r="N32" s="2" t="s">
        <v>979</v>
      </c>
      <c r="O32" s="2" t="s">
        <v>35</v>
      </c>
      <c r="P32" s="2" t="s">
        <v>59</v>
      </c>
      <c r="Q32" s="2" t="s">
        <v>962</v>
      </c>
      <c r="R32" s="2">
        <v>4</v>
      </c>
      <c r="S32" s="2">
        <v>5</v>
      </c>
      <c r="T32" s="2" t="str">
        <f t="shared" si="1"/>
        <v>4–5</v>
      </c>
      <c r="U32" s="2" t="s">
        <v>178</v>
      </c>
      <c r="V32" s="2" t="s">
        <v>963</v>
      </c>
      <c r="W32" s="2" t="s">
        <v>963</v>
      </c>
      <c r="X32" s="2" t="s">
        <v>1128</v>
      </c>
      <c r="Y32" s="2" t="s">
        <v>965</v>
      </c>
      <c r="Z32" s="2" t="s">
        <v>966</v>
      </c>
      <c r="AA32" s="2" t="s">
        <v>1129</v>
      </c>
      <c r="AB32" s="2" t="s">
        <v>1130</v>
      </c>
      <c r="AC32" s="2" t="s">
        <v>1131</v>
      </c>
      <c r="AD32" s="2" t="s">
        <v>970</v>
      </c>
      <c r="AE32" s="2" t="s">
        <v>971</v>
      </c>
      <c r="AF32" s="2" t="s">
        <v>972</v>
      </c>
      <c r="AG32" s="2" t="s">
        <v>973</v>
      </c>
      <c r="AH32" s="2" t="s">
        <v>974</v>
      </c>
    </row>
    <row r="33" spans="1:34" ht="54" x14ac:dyDescent="0.25">
      <c r="A33" s="2" t="s">
        <v>179</v>
      </c>
      <c r="B33" s="2" t="s">
        <v>138</v>
      </c>
      <c r="C33" s="2" t="s">
        <v>1049</v>
      </c>
      <c r="D33" s="2">
        <v>2022</v>
      </c>
      <c r="E33" s="2" t="str">
        <f t="shared" si="0"/>
        <v>2020–2022</v>
      </c>
      <c r="F33" s="2" t="s">
        <v>180</v>
      </c>
      <c r="G33" s="2" t="s">
        <v>1087</v>
      </c>
      <c r="H33" s="2" t="s">
        <v>1088</v>
      </c>
      <c r="I33" s="2" t="s">
        <v>50</v>
      </c>
      <c r="J33" s="2" t="s">
        <v>50</v>
      </c>
      <c r="K33" s="2" t="s">
        <v>50</v>
      </c>
      <c r="L33" s="2" t="s">
        <v>50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50</v>
      </c>
      <c r="S33" s="2" t="s">
        <v>50</v>
      </c>
      <c r="T33" s="2" t="str">
        <f t="shared" si="1"/>
        <v>UNC</v>
      </c>
      <c r="U33" s="2" t="s">
        <v>181</v>
      </c>
      <c r="V33" s="2" t="s">
        <v>963</v>
      </c>
      <c r="W33" s="2" t="s">
        <v>963</v>
      </c>
      <c r="X33" s="2" t="s">
        <v>1132</v>
      </c>
      <c r="Y33" s="2" t="s">
        <v>965</v>
      </c>
      <c r="Z33" s="2" t="s">
        <v>966</v>
      </c>
      <c r="AA33" s="2" t="s">
        <v>1133</v>
      </c>
      <c r="AB33" s="2" t="s">
        <v>1054</v>
      </c>
      <c r="AC33" s="2" t="s">
        <v>1134</v>
      </c>
      <c r="AD33" s="2" t="s">
        <v>1056</v>
      </c>
      <c r="AE33" s="2" t="s">
        <v>1056</v>
      </c>
      <c r="AF33" s="2" t="s">
        <v>50</v>
      </c>
      <c r="AG33" s="2" t="s">
        <v>50</v>
      </c>
      <c r="AH33" s="2" t="s">
        <v>1135</v>
      </c>
    </row>
    <row r="34" spans="1:34" ht="27" x14ac:dyDescent="0.25">
      <c r="A34" s="2" t="s">
        <v>182</v>
      </c>
      <c r="B34" s="2" t="s">
        <v>34</v>
      </c>
      <c r="C34" s="2" t="s">
        <v>954</v>
      </c>
      <c r="D34" s="2">
        <v>2022</v>
      </c>
      <c r="E34" s="2" t="str">
        <f t="shared" si="0"/>
        <v>2020–2022</v>
      </c>
      <c r="F34" s="2" t="s">
        <v>183</v>
      </c>
      <c r="G34" s="2" t="s">
        <v>1136</v>
      </c>
      <c r="H34" s="2" t="s">
        <v>1115</v>
      </c>
      <c r="I34" s="2" t="s">
        <v>1116</v>
      </c>
      <c r="J34" s="2" t="s">
        <v>1137</v>
      </c>
      <c r="K34" s="2" t="s">
        <v>958</v>
      </c>
      <c r="L34" s="2" t="s">
        <v>1022</v>
      </c>
      <c r="M34" s="2" t="s">
        <v>978</v>
      </c>
      <c r="N34" s="2" t="s">
        <v>979</v>
      </c>
      <c r="O34" s="2" t="s">
        <v>35</v>
      </c>
      <c r="P34" s="2" t="s">
        <v>59</v>
      </c>
      <c r="Q34" s="2" t="s">
        <v>962</v>
      </c>
      <c r="R34" s="2">
        <v>4</v>
      </c>
      <c r="S34" s="2">
        <v>5</v>
      </c>
      <c r="T34" s="2" t="str">
        <f t="shared" si="1"/>
        <v>4–5</v>
      </c>
      <c r="U34" s="2" t="s">
        <v>184</v>
      </c>
      <c r="V34" s="2" t="s">
        <v>963</v>
      </c>
      <c r="W34" s="2" t="s">
        <v>963</v>
      </c>
      <c r="X34" s="2" t="s">
        <v>1036</v>
      </c>
      <c r="Y34" s="2" t="s">
        <v>965</v>
      </c>
      <c r="Z34" s="2" t="s">
        <v>966</v>
      </c>
      <c r="AA34" s="2" t="s">
        <v>1138</v>
      </c>
      <c r="AB34" s="2" t="s">
        <v>968</v>
      </c>
      <c r="AC34" s="2" t="s">
        <v>996</v>
      </c>
      <c r="AD34" s="2" t="s">
        <v>970</v>
      </c>
      <c r="AE34" s="2" t="s">
        <v>989</v>
      </c>
      <c r="AF34" s="2" t="s">
        <v>972</v>
      </c>
      <c r="AG34" s="2" t="s">
        <v>973</v>
      </c>
      <c r="AH34" s="2" t="s">
        <v>974</v>
      </c>
    </row>
    <row r="35" spans="1:34" ht="40.5" x14ac:dyDescent="0.25">
      <c r="A35" s="2" t="s">
        <v>185</v>
      </c>
      <c r="B35" s="2" t="s">
        <v>138</v>
      </c>
      <c r="C35" s="2" t="s">
        <v>1049</v>
      </c>
      <c r="D35" s="2">
        <v>2023</v>
      </c>
      <c r="E35" s="2" t="str">
        <f t="shared" ref="E35:E66" si="2">IF(D35="","",IF(D35&lt;=2019,"2016–2019",IF(D35&lt;=2022,"2020–2022",IF(D35&lt;=2024,"2023–2024","2025–2026"))))</f>
        <v>2023–2024</v>
      </c>
      <c r="F35" s="2" t="s">
        <v>186</v>
      </c>
      <c r="G35" s="2" t="s">
        <v>1139</v>
      </c>
      <c r="H35" s="2" t="s">
        <v>1088</v>
      </c>
      <c r="I35" s="2" t="s">
        <v>50</v>
      </c>
      <c r="J35" s="2" t="s">
        <v>50</v>
      </c>
      <c r="K35" s="2" t="s">
        <v>50</v>
      </c>
      <c r="L35" s="2" t="s">
        <v>50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50</v>
      </c>
      <c r="S35" s="2" t="s">
        <v>50</v>
      </c>
      <c r="T35" s="2" t="str">
        <f t="shared" ref="T35:T66" si="3">IF(OR(R35="",S35=""),"",IF(R35=S35,TEXT(R35,"0"),TEXT(R35,"0")&amp;"–"&amp;TEXT(S35,"0")))</f>
        <v>UNC</v>
      </c>
      <c r="U35" s="2" t="s">
        <v>187</v>
      </c>
      <c r="V35" s="2" t="s">
        <v>963</v>
      </c>
      <c r="W35" s="2" t="s">
        <v>963</v>
      </c>
      <c r="X35" s="2" t="s">
        <v>1140</v>
      </c>
      <c r="Y35" s="2" t="s">
        <v>965</v>
      </c>
      <c r="Z35" s="2" t="s">
        <v>966</v>
      </c>
      <c r="AA35" s="2" t="s">
        <v>1141</v>
      </c>
      <c r="AB35" s="2" t="s">
        <v>1054</v>
      </c>
      <c r="AC35" s="2" t="s">
        <v>1142</v>
      </c>
      <c r="AD35" s="2" t="s">
        <v>1056</v>
      </c>
      <c r="AE35" s="2" t="s">
        <v>1056</v>
      </c>
      <c r="AF35" s="2" t="s">
        <v>50</v>
      </c>
      <c r="AG35" s="2" t="s">
        <v>50</v>
      </c>
      <c r="AH35" s="2" t="s">
        <v>1143</v>
      </c>
    </row>
    <row r="36" spans="1:34" ht="40.5" x14ac:dyDescent="0.25">
      <c r="A36" s="2" t="s">
        <v>188</v>
      </c>
      <c r="B36" s="2" t="s">
        <v>34</v>
      </c>
      <c r="C36" s="2" t="s">
        <v>954</v>
      </c>
      <c r="D36" s="2">
        <v>2023</v>
      </c>
      <c r="E36" s="2" t="str">
        <f t="shared" si="2"/>
        <v>2023–2024</v>
      </c>
      <c r="F36" s="2" t="s">
        <v>189</v>
      </c>
      <c r="G36" s="2" t="s">
        <v>1087</v>
      </c>
      <c r="H36" s="2" t="s">
        <v>1144</v>
      </c>
      <c r="I36" s="2" t="s">
        <v>1145</v>
      </c>
      <c r="J36" s="2" t="s">
        <v>541</v>
      </c>
      <c r="K36" s="2" t="s">
        <v>958</v>
      </c>
      <c r="L36" s="2" t="s">
        <v>1146</v>
      </c>
      <c r="M36" s="2" t="s">
        <v>978</v>
      </c>
      <c r="N36" s="2" t="s">
        <v>979</v>
      </c>
      <c r="O36" s="2" t="s">
        <v>35</v>
      </c>
      <c r="P36" s="2" t="s">
        <v>59</v>
      </c>
      <c r="Q36" s="2" t="s">
        <v>962</v>
      </c>
      <c r="R36" s="2">
        <v>4</v>
      </c>
      <c r="S36" s="2">
        <v>5</v>
      </c>
      <c r="T36" s="2" t="str">
        <f t="shared" si="3"/>
        <v>4–5</v>
      </c>
      <c r="U36" s="2" t="s">
        <v>190</v>
      </c>
      <c r="V36" s="2" t="s">
        <v>963</v>
      </c>
      <c r="W36" s="2" t="s">
        <v>963</v>
      </c>
      <c r="X36" s="2" t="s">
        <v>1147</v>
      </c>
      <c r="Y36" s="2" t="s">
        <v>965</v>
      </c>
      <c r="Z36" s="2" t="s">
        <v>966</v>
      </c>
      <c r="AA36" s="2" t="s">
        <v>1148</v>
      </c>
      <c r="AB36" s="2" t="s">
        <v>1113</v>
      </c>
      <c r="AC36" s="2" t="s">
        <v>1149</v>
      </c>
      <c r="AD36" s="2" t="s">
        <v>970</v>
      </c>
      <c r="AE36" s="2" t="s">
        <v>971</v>
      </c>
      <c r="AF36" s="2" t="s">
        <v>972</v>
      </c>
      <c r="AG36" s="2" t="s">
        <v>973</v>
      </c>
      <c r="AH36" s="2" t="s">
        <v>974</v>
      </c>
    </row>
    <row r="37" spans="1:34" ht="27" x14ac:dyDescent="0.25">
      <c r="A37" s="2" t="s">
        <v>191</v>
      </c>
      <c r="B37" s="2" t="s">
        <v>34</v>
      </c>
      <c r="C37" s="2" t="s">
        <v>954</v>
      </c>
      <c r="D37" s="2">
        <v>2024</v>
      </c>
      <c r="E37" s="2" t="str">
        <f t="shared" si="2"/>
        <v>2023–2024</v>
      </c>
      <c r="F37" s="2" t="s">
        <v>192</v>
      </c>
      <c r="G37" s="2" t="s">
        <v>1087</v>
      </c>
      <c r="H37" s="2" t="s">
        <v>1150</v>
      </c>
      <c r="I37" s="2" t="s">
        <v>1151</v>
      </c>
      <c r="J37" s="2" t="s">
        <v>541</v>
      </c>
      <c r="K37" s="2" t="s">
        <v>958</v>
      </c>
      <c r="L37" s="2" t="s">
        <v>1152</v>
      </c>
      <c r="M37" s="2" t="s">
        <v>978</v>
      </c>
      <c r="N37" s="2" t="s">
        <v>961</v>
      </c>
      <c r="O37" s="2" t="s">
        <v>35</v>
      </c>
      <c r="P37" s="2" t="s">
        <v>59</v>
      </c>
      <c r="Q37" s="2" t="s">
        <v>962</v>
      </c>
      <c r="R37" s="2">
        <v>4</v>
      </c>
      <c r="S37" s="2">
        <v>5</v>
      </c>
      <c r="T37" s="2" t="str">
        <f t="shared" si="3"/>
        <v>4–5</v>
      </c>
      <c r="U37" s="2" t="s">
        <v>193</v>
      </c>
      <c r="V37" s="2" t="s">
        <v>963</v>
      </c>
      <c r="W37" s="2" t="s">
        <v>963</v>
      </c>
      <c r="X37" s="2" t="s">
        <v>1036</v>
      </c>
      <c r="Y37" s="2" t="s">
        <v>965</v>
      </c>
      <c r="Z37" s="2" t="s">
        <v>966</v>
      </c>
      <c r="AA37" s="2" t="s">
        <v>1138</v>
      </c>
      <c r="AB37" s="2" t="s">
        <v>1107</v>
      </c>
      <c r="AC37" s="2" t="s">
        <v>1153</v>
      </c>
      <c r="AD37" s="2" t="s">
        <v>970</v>
      </c>
      <c r="AE37" s="2" t="s">
        <v>971</v>
      </c>
      <c r="AF37" s="2" t="s">
        <v>972</v>
      </c>
      <c r="AG37" s="2" t="s">
        <v>973</v>
      </c>
      <c r="AH37" s="2" t="s">
        <v>974</v>
      </c>
    </row>
    <row r="38" spans="1:34" ht="54" x14ac:dyDescent="0.25">
      <c r="A38" s="2" t="s">
        <v>194</v>
      </c>
      <c r="B38" s="2" t="s">
        <v>34</v>
      </c>
      <c r="C38" s="2" t="s">
        <v>954</v>
      </c>
      <c r="D38" s="2">
        <v>2025</v>
      </c>
      <c r="E38" s="2" t="str">
        <f t="shared" si="2"/>
        <v>2025–2026</v>
      </c>
      <c r="F38" s="2" t="s">
        <v>124</v>
      </c>
      <c r="G38" s="2" t="s">
        <v>1087</v>
      </c>
      <c r="H38" s="2" t="s">
        <v>1150</v>
      </c>
      <c r="I38" s="2" t="s">
        <v>1151</v>
      </c>
      <c r="J38" s="2" t="s">
        <v>541</v>
      </c>
      <c r="K38" s="2" t="s">
        <v>958</v>
      </c>
      <c r="L38" s="2" t="s">
        <v>1154</v>
      </c>
      <c r="M38" s="2" t="s">
        <v>978</v>
      </c>
      <c r="N38" s="2" t="s">
        <v>979</v>
      </c>
      <c r="O38" s="2" t="s">
        <v>35</v>
      </c>
      <c r="P38" s="2" t="s">
        <v>59</v>
      </c>
      <c r="Q38" s="2" t="s">
        <v>962</v>
      </c>
      <c r="R38" s="2">
        <v>4</v>
      </c>
      <c r="S38" s="2">
        <v>5</v>
      </c>
      <c r="T38" s="2" t="str">
        <f t="shared" si="3"/>
        <v>4–5</v>
      </c>
      <c r="U38" s="2" t="s">
        <v>195</v>
      </c>
      <c r="V38" s="2" t="s">
        <v>963</v>
      </c>
      <c r="W38" s="2" t="s">
        <v>963</v>
      </c>
      <c r="X38" s="2" t="s">
        <v>1155</v>
      </c>
      <c r="Y38" s="2" t="s">
        <v>965</v>
      </c>
      <c r="Z38" s="2" t="s">
        <v>966</v>
      </c>
      <c r="AA38" s="2" t="s">
        <v>1156</v>
      </c>
      <c r="AB38" s="2" t="s">
        <v>1157</v>
      </c>
      <c r="AC38" s="2" t="s">
        <v>1158</v>
      </c>
      <c r="AD38" s="2" t="s">
        <v>970</v>
      </c>
      <c r="AE38" s="2" t="s">
        <v>989</v>
      </c>
      <c r="AF38" s="2" t="s">
        <v>972</v>
      </c>
      <c r="AG38" s="2" t="s">
        <v>973</v>
      </c>
      <c r="AH38" s="2" t="s">
        <v>974</v>
      </c>
    </row>
    <row r="39" spans="1:34" ht="54" x14ac:dyDescent="0.25">
      <c r="A39" s="2" t="s">
        <v>196</v>
      </c>
      <c r="B39" s="2" t="s">
        <v>34</v>
      </c>
      <c r="C39" s="2" t="s">
        <v>954</v>
      </c>
      <c r="D39" s="2">
        <v>2026</v>
      </c>
      <c r="E39" s="2" t="str">
        <f t="shared" si="2"/>
        <v>2025–2026</v>
      </c>
      <c r="F39" s="2" t="s">
        <v>197</v>
      </c>
      <c r="G39" s="2" t="s">
        <v>1020</v>
      </c>
      <c r="H39" s="2" t="s">
        <v>1150</v>
      </c>
      <c r="I39" s="2" t="s">
        <v>1159</v>
      </c>
      <c r="J39" s="2" t="s">
        <v>541</v>
      </c>
      <c r="K39" s="2" t="s">
        <v>958</v>
      </c>
      <c r="L39" s="2" t="s">
        <v>1117</v>
      </c>
      <c r="M39" s="2" t="s">
        <v>978</v>
      </c>
      <c r="N39" s="2" t="s">
        <v>979</v>
      </c>
      <c r="O39" s="2" t="s">
        <v>35</v>
      </c>
      <c r="P39" s="2" t="s">
        <v>59</v>
      </c>
      <c r="Q39" s="2" t="s">
        <v>962</v>
      </c>
      <c r="R39" s="2">
        <v>4</v>
      </c>
      <c r="S39" s="2">
        <v>5</v>
      </c>
      <c r="T39" s="2" t="str">
        <f t="shared" si="3"/>
        <v>4–5</v>
      </c>
      <c r="U39" s="2" t="s">
        <v>198</v>
      </c>
      <c r="V39" s="2" t="s">
        <v>963</v>
      </c>
      <c r="W39" s="2" t="s">
        <v>963</v>
      </c>
      <c r="X39" s="2" t="s">
        <v>1160</v>
      </c>
      <c r="Y39" s="2" t="s">
        <v>965</v>
      </c>
      <c r="Z39" s="2" t="s">
        <v>966</v>
      </c>
      <c r="AA39" s="2" t="s">
        <v>1138</v>
      </c>
      <c r="AB39" s="2" t="s">
        <v>968</v>
      </c>
      <c r="AC39" s="2" t="s">
        <v>996</v>
      </c>
      <c r="AD39" s="2" t="s">
        <v>1096</v>
      </c>
      <c r="AE39" s="2" t="s">
        <v>989</v>
      </c>
      <c r="AF39" s="2" t="s">
        <v>972</v>
      </c>
      <c r="AG39" s="2" t="s">
        <v>973</v>
      </c>
      <c r="AH39" s="2" t="s">
        <v>974</v>
      </c>
    </row>
    <row r="40" spans="1:34" ht="54" x14ac:dyDescent="0.25">
      <c r="A40" s="2" t="s">
        <v>199</v>
      </c>
      <c r="B40" s="2" t="s">
        <v>34</v>
      </c>
      <c r="C40" s="2" t="s">
        <v>954</v>
      </c>
      <c r="D40" s="2">
        <v>2026</v>
      </c>
      <c r="E40" s="2" t="str">
        <f t="shared" si="2"/>
        <v>2025–2026</v>
      </c>
      <c r="F40" s="2" t="s">
        <v>200</v>
      </c>
      <c r="G40" s="2" t="s">
        <v>1087</v>
      </c>
      <c r="H40" s="2" t="s">
        <v>1088</v>
      </c>
      <c r="I40" s="2" t="s">
        <v>1161</v>
      </c>
      <c r="J40" s="2" t="s">
        <v>541</v>
      </c>
      <c r="K40" s="2" t="s">
        <v>958</v>
      </c>
      <c r="L40" s="2" t="s">
        <v>1162</v>
      </c>
      <c r="M40" s="2" t="s">
        <v>978</v>
      </c>
      <c r="N40" s="2" t="s">
        <v>979</v>
      </c>
      <c r="O40" s="2" t="s">
        <v>35</v>
      </c>
      <c r="P40" s="2" t="s">
        <v>59</v>
      </c>
      <c r="Q40" s="2" t="s">
        <v>962</v>
      </c>
      <c r="R40" s="2">
        <v>4</v>
      </c>
      <c r="S40" s="2">
        <v>5</v>
      </c>
      <c r="T40" s="2" t="str">
        <f t="shared" si="3"/>
        <v>4–5</v>
      </c>
      <c r="U40" s="2" t="s">
        <v>201</v>
      </c>
      <c r="V40" s="2" t="s">
        <v>963</v>
      </c>
      <c r="W40" s="2" t="s">
        <v>963</v>
      </c>
      <c r="X40" s="2" t="s">
        <v>1163</v>
      </c>
      <c r="Y40" s="2" t="s">
        <v>965</v>
      </c>
      <c r="Z40" s="2" t="s">
        <v>966</v>
      </c>
      <c r="AA40" s="2" t="s">
        <v>1164</v>
      </c>
      <c r="AB40" s="2" t="s">
        <v>1113</v>
      </c>
      <c r="AC40" s="2" t="s">
        <v>1165</v>
      </c>
      <c r="AD40" s="2" t="s">
        <v>970</v>
      </c>
      <c r="AE40" s="2" t="s">
        <v>971</v>
      </c>
      <c r="AF40" s="2" t="s">
        <v>972</v>
      </c>
      <c r="AG40" s="2" t="s">
        <v>973</v>
      </c>
      <c r="AH40" s="2" t="s">
        <v>974</v>
      </c>
    </row>
    <row r="41" spans="1:34" ht="54" x14ac:dyDescent="0.25">
      <c r="A41" s="2" t="s">
        <v>202</v>
      </c>
      <c r="B41" s="2" t="s">
        <v>34</v>
      </c>
      <c r="C41" s="2" t="s">
        <v>954</v>
      </c>
      <c r="D41" s="2">
        <v>2026</v>
      </c>
      <c r="E41" s="2" t="str">
        <f t="shared" si="2"/>
        <v>2025–2026</v>
      </c>
      <c r="F41" s="2" t="s">
        <v>203</v>
      </c>
      <c r="G41" s="2" t="s">
        <v>1087</v>
      </c>
      <c r="H41" s="2" t="s">
        <v>1144</v>
      </c>
      <c r="I41" s="2" t="s">
        <v>1145</v>
      </c>
      <c r="J41" s="2" t="s">
        <v>541</v>
      </c>
      <c r="K41" s="2" t="s">
        <v>958</v>
      </c>
      <c r="L41" s="2" t="s">
        <v>1166</v>
      </c>
      <c r="M41" s="2" t="s">
        <v>978</v>
      </c>
      <c r="N41" s="2" t="s">
        <v>979</v>
      </c>
      <c r="O41" s="2" t="s">
        <v>35</v>
      </c>
      <c r="P41" s="2" t="s">
        <v>59</v>
      </c>
      <c r="Q41" s="2" t="s">
        <v>962</v>
      </c>
      <c r="R41" s="2">
        <v>4</v>
      </c>
      <c r="S41" s="2">
        <v>5</v>
      </c>
      <c r="T41" s="2" t="str">
        <f t="shared" si="3"/>
        <v>4–5</v>
      </c>
      <c r="U41" s="2" t="s">
        <v>204</v>
      </c>
      <c r="V41" s="2" t="s">
        <v>963</v>
      </c>
      <c r="W41" s="2" t="s">
        <v>963</v>
      </c>
      <c r="X41" s="2" t="s">
        <v>1167</v>
      </c>
      <c r="Y41" s="2" t="s">
        <v>965</v>
      </c>
      <c r="Z41" s="2" t="s">
        <v>966</v>
      </c>
      <c r="AA41" s="2" t="s">
        <v>1138</v>
      </c>
      <c r="AB41" s="2" t="s">
        <v>968</v>
      </c>
      <c r="AC41" s="2" t="s">
        <v>996</v>
      </c>
      <c r="AD41" s="2" t="s">
        <v>970</v>
      </c>
      <c r="AE41" s="2" t="s">
        <v>989</v>
      </c>
      <c r="AF41" s="2" t="s">
        <v>972</v>
      </c>
      <c r="AG41" s="2" t="s">
        <v>973</v>
      </c>
      <c r="AH41" s="2" t="s">
        <v>974</v>
      </c>
    </row>
    <row r="42" spans="1:34" ht="67.5" x14ac:dyDescent="0.25">
      <c r="A42" s="2" t="s">
        <v>205</v>
      </c>
      <c r="B42" s="2" t="s">
        <v>138</v>
      </c>
      <c r="C42" s="2" t="s">
        <v>1049</v>
      </c>
      <c r="D42" s="2">
        <v>2026</v>
      </c>
      <c r="E42" s="2" t="str">
        <f t="shared" si="2"/>
        <v>2025–2026</v>
      </c>
      <c r="F42" s="2" t="s">
        <v>121</v>
      </c>
      <c r="G42" s="2" t="s">
        <v>1168</v>
      </c>
      <c r="H42" s="2" t="s">
        <v>1168</v>
      </c>
      <c r="I42" s="2" t="s">
        <v>50</v>
      </c>
      <c r="J42" s="2" t="s">
        <v>50</v>
      </c>
      <c r="K42" s="2" t="s">
        <v>50</v>
      </c>
      <c r="L42" s="2" t="s">
        <v>50</v>
      </c>
      <c r="M42" s="2" t="s">
        <v>50</v>
      </c>
      <c r="N42" s="2" t="s">
        <v>50</v>
      </c>
      <c r="O42" s="2" t="s">
        <v>50</v>
      </c>
      <c r="P42" s="2" t="s">
        <v>50</v>
      </c>
      <c r="Q42" s="2" t="s">
        <v>50</v>
      </c>
      <c r="R42" s="2" t="s">
        <v>50</v>
      </c>
      <c r="S42" s="2" t="s">
        <v>50</v>
      </c>
      <c r="T42" s="2" t="str">
        <f t="shared" si="3"/>
        <v>UNC</v>
      </c>
      <c r="U42" s="2" t="s">
        <v>206</v>
      </c>
      <c r="V42" s="2" t="s">
        <v>963</v>
      </c>
      <c r="W42" s="2" t="s">
        <v>963</v>
      </c>
      <c r="X42" s="2" t="s">
        <v>1169</v>
      </c>
      <c r="Y42" s="2" t="s">
        <v>965</v>
      </c>
      <c r="Z42" s="2" t="s">
        <v>966</v>
      </c>
      <c r="AA42" s="2" t="s">
        <v>1170</v>
      </c>
      <c r="AB42" s="2" t="s">
        <v>1054</v>
      </c>
      <c r="AC42" s="2" t="s">
        <v>1170</v>
      </c>
      <c r="AD42" s="2" t="s">
        <v>1056</v>
      </c>
      <c r="AE42" s="2" t="s">
        <v>1056</v>
      </c>
      <c r="AF42" s="2" t="s">
        <v>50</v>
      </c>
      <c r="AG42" s="2" t="s">
        <v>50</v>
      </c>
      <c r="AH42" s="2" t="s">
        <v>1171</v>
      </c>
    </row>
    <row r="43" spans="1:34" ht="67.5" x14ac:dyDescent="0.25">
      <c r="A43" s="2" t="s">
        <v>207</v>
      </c>
      <c r="B43" s="2" t="s">
        <v>34</v>
      </c>
      <c r="C43" s="2" t="s">
        <v>954</v>
      </c>
      <c r="D43" s="2">
        <v>2026</v>
      </c>
      <c r="E43" s="2" t="str">
        <f t="shared" si="2"/>
        <v>2025–2026</v>
      </c>
      <c r="F43" s="2" t="s">
        <v>208</v>
      </c>
      <c r="G43" s="2" t="s">
        <v>1087</v>
      </c>
      <c r="H43" s="2" t="s">
        <v>1172</v>
      </c>
      <c r="I43" s="2" t="s">
        <v>1151</v>
      </c>
      <c r="J43" s="2" t="s">
        <v>541</v>
      </c>
      <c r="K43" s="2" t="s">
        <v>958</v>
      </c>
      <c r="L43" s="2" t="s">
        <v>1173</v>
      </c>
      <c r="M43" s="2" t="s">
        <v>978</v>
      </c>
      <c r="N43" s="2" t="s">
        <v>979</v>
      </c>
      <c r="O43" s="2" t="s">
        <v>35</v>
      </c>
      <c r="P43" s="2" t="s">
        <v>59</v>
      </c>
      <c r="Q43" s="2" t="s">
        <v>962</v>
      </c>
      <c r="R43" s="2">
        <v>4</v>
      </c>
      <c r="S43" s="2">
        <v>5</v>
      </c>
      <c r="T43" s="2" t="str">
        <f t="shared" si="3"/>
        <v>4–5</v>
      </c>
      <c r="U43" s="2" t="s">
        <v>209</v>
      </c>
      <c r="V43" s="2" t="s">
        <v>963</v>
      </c>
      <c r="W43" s="2" t="s">
        <v>963</v>
      </c>
      <c r="X43" s="2" t="s">
        <v>1174</v>
      </c>
      <c r="Y43" s="2" t="s">
        <v>965</v>
      </c>
      <c r="Z43" s="2" t="s">
        <v>966</v>
      </c>
      <c r="AA43" s="2" t="s">
        <v>1175</v>
      </c>
      <c r="AB43" s="2" t="s">
        <v>1176</v>
      </c>
      <c r="AC43" s="2" t="s">
        <v>1177</v>
      </c>
      <c r="AD43" s="2" t="s">
        <v>970</v>
      </c>
      <c r="AE43" s="2" t="s">
        <v>989</v>
      </c>
      <c r="AF43" s="2" t="s">
        <v>972</v>
      </c>
      <c r="AG43" s="2" t="s">
        <v>973</v>
      </c>
      <c r="AH43" s="2" t="s">
        <v>974</v>
      </c>
    </row>
    <row r="44" spans="1:34" ht="40.5" x14ac:dyDescent="0.25">
      <c r="A44" s="2" t="s">
        <v>210</v>
      </c>
      <c r="B44" s="2" t="s">
        <v>34</v>
      </c>
      <c r="C44" s="2" t="s">
        <v>954</v>
      </c>
      <c r="D44" s="2">
        <v>2017</v>
      </c>
      <c r="E44" s="2" t="str">
        <f t="shared" si="2"/>
        <v>2016–2019</v>
      </c>
      <c r="F44" s="2" t="s">
        <v>211</v>
      </c>
      <c r="G44" s="2" t="s">
        <v>1121</v>
      </c>
      <c r="H44" s="2" t="s">
        <v>991</v>
      </c>
      <c r="I44" s="2" t="s">
        <v>50</v>
      </c>
      <c r="J44" s="2" t="s">
        <v>542</v>
      </c>
      <c r="K44" s="2" t="s">
        <v>536</v>
      </c>
      <c r="L44" s="2" t="s">
        <v>1178</v>
      </c>
      <c r="M44" s="2" t="s">
        <v>1179</v>
      </c>
      <c r="N44" s="2" t="s">
        <v>560</v>
      </c>
      <c r="O44" s="2" t="s">
        <v>43</v>
      </c>
      <c r="P44" s="2" t="s">
        <v>55</v>
      </c>
      <c r="Q44" s="2" t="s">
        <v>962</v>
      </c>
      <c r="R44" s="2" t="s">
        <v>55</v>
      </c>
      <c r="S44" s="2" t="s">
        <v>55</v>
      </c>
      <c r="T44" s="2" t="str">
        <f t="shared" si="3"/>
        <v>NA</v>
      </c>
      <c r="U44" s="2" t="s">
        <v>212</v>
      </c>
      <c r="V44" s="2" t="s">
        <v>963</v>
      </c>
      <c r="W44" s="2" t="s">
        <v>963</v>
      </c>
      <c r="X44" s="2" t="s">
        <v>1180</v>
      </c>
      <c r="Y44" s="2" t="s">
        <v>965</v>
      </c>
      <c r="Z44" s="2" t="s">
        <v>966</v>
      </c>
      <c r="AA44" s="2" t="s">
        <v>1138</v>
      </c>
      <c r="AB44" s="2" t="s">
        <v>1181</v>
      </c>
      <c r="AC44" s="2" t="s">
        <v>1182</v>
      </c>
      <c r="AD44" s="2" t="s">
        <v>983</v>
      </c>
      <c r="AE44" s="2" t="s">
        <v>989</v>
      </c>
      <c r="AF44" s="2" t="s">
        <v>1183</v>
      </c>
      <c r="AG44" s="2" t="s">
        <v>1183</v>
      </c>
      <c r="AH44" s="2" t="s">
        <v>974</v>
      </c>
    </row>
    <row r="45" spans="1:34" ht="54" x14ac:dyDescent="0.25">
      <c r="A45" s="2" t="s">
        <v>213</v>
      </c>
      <c r="B45" s="2" t="s">
        <v>34</v>
      </c>
      <c r="C45" s="2" t="s">
        <v>954</v>
      </c>
      <c r="D45" s="2">
        <v>2019</v>
      </c>
      <c r="E45" s="2" t="str">
        <f t="shared" si="2"/>
        <v>2016–2019</v>
      </c>
      <c r="F45" s="2" t="s">
        <v>214</v>
      </c>
      <c r="G45" s="2" t="s">
        <v>1121</v>
      </c>
      <c r="H45" s="2" t="s">
        <v>991</v>
      </c>
      <c r="I45" s="2" t="s">
        <v>50</v>
      </c>
      <c r="J45" s="2" t="s">
        <v>542</v>
      </c>
      <c r="K45" s="2" t="s">
        <v>536</v>
      </c>
      <c r="L45" s="2" t="s">
        <v>1184</v>
      </c>
      <c r="M45" s="2" t="s">
        <v>1185</v>
      </c>
      <c r="N45" s="2" t="s">
        <v>561</v>
      </c>
      <c r="O45" s="2" t="s">
        <v>43</v>
      </c>
      <c r="P45" s="2" t="s">
        <v>55</v>
      </c>
      <c r="Q45" s="2" t="s">
        <v>962</v>
      </c>
      <c r="R45" s="2" t="s">
        <v>55</v>
      </c>
      <c r="S45" s="2" t="s">
        <v>55</v>
      </c>
      <c r="T45" s="2" t="str">
        <f t="shared" si="3"/>
        <v>NA</v>
      </c>
      <c r="U45" s="2" t="s">
        <v>215</v>
      </c>
      <c r="V45" s="2" t="s">
        <v>963</v>
      </c>
      <c r="W45" s="2" t="s">
        <v>963</v>
      </c>
      <c r="X45" s="2" t="s">
        <v>1186</v>
      </c>
      <c r="Y45" s="2" t="s">
        <v>965</v>
      </c>
      <c r="Z45" s="2" t="s">
        <v>966</v>
      </c>
      <c r="AA45" s="2" t="s">
        <v>1187</v>
      </c>
      <c r="AB45" s="2" t="s">
        <v>1181</v>
      </c>
      <c r="AC45" s="2" t="s">
        <v>1188</v>
      </c>
      <c r="AD45" s="2" t="s">
        <v>970</v>
      </c>
      <c r="AE45" s="2" t="s">
        <v>989</v>
      </c>
      <c r="AF45" s="2" t="s">
        <v>1183</v>
      </c>
      <c r="AG45" s="2" t="s">
        <v>1183</v>
      </c>
      <c r="AH45" s="2" t="s">
        <v>974</v>
      </c>
    </row>
    <row r="46" spans="1:34" ht="40.5" x14ac:dyDescent="0.25">
      <c r="A46" s="2" t="s">
        <v>216</v>
      </c>
      <c r="B46" s="2" t="s">
        <v>34</v>
      </c>
      <c r="C46" s="2" t="s">
        <v>954</v>
      </c>
      <c r="D46" s="2">
        <v>2020</v>
      </c>
      <c r="E46" s="2" t="str">
        <f t="shared" si="2"/>
        <v>2020–2022</v>
      </c>
      <c r="F46" s="2" t="s">
        <v>217</v>
      </c>
      <c r="G46" s="2" t="s">
        <v>1136</v>
      </c>
      <c r="H46" s="2" t="s">
        <v>1189</v>
      </c>
      <c r="I46" s="2" t="s">
        <v>1190</v>
      </c>
      <c r="J46" s="2" t="s">
        <v>542</v>
      </c>
      <c r="K46" s="2" t="s">
        <v>1191</v>
      </c>
      <c r="L46" s="2" t="s">
        <v>1192</v>
      </c>
      <c r="M46" s="2" t="s">
        <v>1193</v>
      </c>
      <c r="N46" s="2" t="s">
        <v>1194</v>
      </c>
      <c r="O46" s="2" t="s">
        <v>35</v>
      </c>
      <c r="P46" s="2" t="s">
        <v>61</v>
      </c>
      <c r="Q46" s="2" t="s">
        <v>962</v>
      </c>
      <c r="R46" s="2">
        <v>5</v>
      </c>
      <c r="S46" s="2">
        <v>6</v>
      </c>
      <c r="T46" s="2" t="str">
        <f t="shared" si="3"/>
        <v>5–6</v>
      </c>
      <c r="U46" s="2" t="s">
        <v>218</v>
      </c>
      <c r="V46" s="2" t="s">
        <v>963</v>
      </c>
      <c r="W46" s="2" t="s">
        <v>963</v>
      </c>
      <c r="X46" s="2" t="s">
        <v>1195</v>
      </c>
      <c r="Y46" s="2" t="s">
        <v>965</v>
      </c>
      <c r="Z46" s="2" t="s">
        <v>966</v>
      </c>
      <c r="AA46" s="2" t="s">
        <v>1196</v>
      </c>
      <c r="AB46" s="2" t="s">
        <v>1181</v>
      </c>
      <c r="AC46" s="2" t="s">
        <v>1197</v>
      </c>
      <c r="AD46" s="2" t="s">
        <v>983</v>
      </c>
      <c r="AE46" s="2" t="s">
        <v>989</v>
      </c>
      <c r="AF46" s="2" t="s">
        <v>1040</v>
      </c>
      <c r="AG46" s="2" t="s">
        <v>973</v>
      </c>
      <c r="AH46" s="2" t="s">
        <v>974</v>
      </c>
    </row>
    <row r="47" spans="1:34" ht="40.5" x14ac:dyDescent="0.25">
      <c r="A47" s="2" t="s">
        <v>219</v>
      </c>
      <c r="B47" s="2" t="s">
        <v>34</v>
      </c>
      <c r="C47" s="2" t="s">
        <v>954</v>
      </c>
      <c r="D47" s="2">
        <v>2020</v>
      </c>
      <c r="E47" s="2" t="str">
        <f t="shared" si="2"/>
        <v>2020–2022</v>
      </c>
      <c r="F47" s="2" t="s">
        <v>220</v>
      </c>
      <c r="G47" s="2" t="s">
        <v>1121</v>
      </c>
      <c r="H47" s="2" t="s">
        <v>998</v>
      </c>
      <c r="I47" s="2" t="s">
        <v>1198</v>
      </c>
      <c r="J47" s="2" t="s">
        <v>542</v>
      </c>
      <c r="K47" s="2" t="s">
        <v>1191</v>
      </c>
      <c r="L47" s="2" t="s">
        <v>1199</v>
      </c>
      <c r="M47" s="2" t="s">
        <v>1200</v>
      </c>
      <c r="N47" s="2" t="s">
        <v>563</v>
      </c>
      <c r="O47" s="2" t="s">
        <v>35</v>
      </c>
      <c r="P47" s="2" t="s">
        <v>62</v>
      </c>
      <c r="Q47" s="2" t="s">
        <v>962</v>
      </c>
      <c r="R47" s="2">
        <v>7</v>
      </c>
      <c r="S47" s="2">
        <v>8</v>
      </c>
      <c r="T47" s="2" t="str">
        <f t="shared" si="3"/>
        <v>7–8</v>
      </c>
      <c r="U47" s="2" t="s">
        <v>221</v>
      </c>
      <c r="V47" s="2" t="s">
        <v>963</v>
      </c>
      <c r="W47" s="2" t="s">
        <v>963</v>
      </c>
      <c r="X47" s="2" t="s">
        <v>1036</v>
      </c>
      <c r="Y47" s="2" t="s">
        <v>965</v>
      </c>
      <c r="Z47" s="2" t="s">
        <v>966</v>
      </c>
      <c r="AA47" s="2" t="s">
        <v>1138</v>
      </c>
      <c r="AB47" s="2" t="s">
        <v>968</v>
      </c>
      <c r="AC47" s="2" t="s">
        <v>1201</v>
      </c>
      <c r="AD47" s="2" t="s">
        <v>983</v>
      </c>
      <c r="AE47" s="2" t="s">
        <v>989</v>
      </c>
      <c r="AF47" s="2" t="s">
        <v>1202</v>
      </c>
      <c r="AG47" s="2" t="s">
        <v>973</v>
      </c>
      <c r="AH47" s="2" t="s">
        <v>974</v>
      </c>
    </row>
    <row r="48" spans="1:34" ht="40.5" x14ac:dyDescent="0.25">
      <c r="A48" s="2" t="s">
        <v>222</v>
      </c>
      <c r="B48" s="2" t="s">
        <v>34</v>
      </c>
      <c r="C48" s="2" t="s">
        <v>954</v>
      </c>
      <c r="D48" s="2">
        <v>2020</v>
      </c>
      <c r="E48" s="2" t="str">
        <f t="shared" si="2"/>
        <v>2020–2022</v>
      </c>
      <c r="F48" s="2" t="s">
        <v>223</v>
      </c>
      <c r="G48" s="2" t="s">
        <v>1121</v>
      </c>
      <c r="H48" s="2" t="s">
        <v>991</v>
      </c>
      <c r="I48" s="2" t="s">
        <v>50</v>
      </c>
      <c r="J48" s="2" t="s">
        <v>1203</v>
      </c>
      <c r="K48" s="2" t="s">
        <v>538</v>
      </c>
      <c r="L48" s="2" t="s">
        <v>1204</v>
      </c>
      <c r="M48" s="2" t="s">
        <v>1205</v>
      </c>
      <c r="N48" s="2" t="s">
        <v>554</v>
      </c>
      <c r="O48" s="2" t="s">
        <v>35</v>
      </c>
      <c r="P48" s="2" t="s">
        <v>36</v>
      </c>
      <c r="Q48" s="2" t="s">
        <v>962</v>
      </c>
      <c r="R48" s="2">
        <v>1</v>
      </c>
      <c r="S48" s="2">
        <v>2</v>
      </c>
      <c r="T48" s="2" t="str">
        <f t="shared" si="3"/>
        <v>1–2</v>
      </c>
      <c r="U48" s="2" t="s">
        <v>224</v>
      </c>
      <c r="V48" s="2" t="s">
        <v>963</v>
      </c>
      <c r="W48" s="2" t="s">
        <v>963</v>
      </c>
      <c r="X48" s="2" t="s">
        <v>1206</v>
      </c>
      <c r="Y48" s="2" t="s">
        <v>965</v>
      </c>
      <c r="Z48" s="2" t="s">
        <v>966</v>
      </c>
      <c r="AA48" s="2" t="s">
        <v>1207</v>
      </c>
      <c r="AB48" s="2" t="s">
        <v>1038</v>
      </c>
      <c r="AC48" s="2" t="s">
        <v>1208</v>
      </c>
      <c r="AD48" s="2" t="s">
        <v>1109</v>
      </c>
      <c r="AE48" s="2" t="s">
        <v>989</v>
      </c>
      <c r="AF48" s="2" t="s">
        <v>972</v>
      </c>
      <c r="AG48" s="2" t="s">
        <v>973</v>
      </c>
      <c r="AH48" s="2" t="s">
        <v>974</v>
      </c>
    </row>
    <row r="49" spans="1:34" ht="40.5" x14ac:dyDescent="0.25">
      <c r="A49" s="2" t="s">
        <v>225</v>
      </c>
      <c r="B49" s="2" t="s">
        <v>34</v>
      </c>
      <c r="C49" s="2" t="s">
        <v>954</v>
      </c>
      <c r="D49" s="2">
        <v>2021</v>
      </c>
      <c r="E49" s="2" t="str">
        <f t="shared" si="2"/>
        <v>2020–2022</v>
      </c>
      <c r="F49" s="2" t="s">
        <v>226</v>
      </c>
      <c r="G49" s="2" t="s">
        <v>1121</v>
      </c>
      <c r="H49" s="2" t="s">
        <v>991</v>
      </c>
      <c r="I49" s="2" t="s">
        <v>50</v>
      </c>
      <c r="J49" s="2" t="s">
        <v>542</v>
      </c>
      <c r="K49" s="2" t="s">
        <v>534</v>
      </c>
      <c r="L49" s="2" t="s">
        <v>1209</v>
      </c>
      <c r="M49" s="2" t="s">
        <v>1210</v>
      </c>
      <c r="N49" s="2" t="s">
        <v>555</v>
      </c>
      <c r="O49" s="2" t="s">
        <v>35</v>
      </c>
      <c r="P49" s="2" t="s">
        <v>44</v>
      </c>
      <c r="Q49" s="2" t="s">
        <v>962</v>
      </c>
      <c r="R49" s="2">
        <v>2</v>
      </c>
      <c r="S49" s="2">
        <v>3</v>
      </c>
      <c r="T49" s="2" t="str">
        <f t="shared" si="3"/>
        <v>2–3</v>
      </c>
      <c r="U49" s="2" t="s">
        <v>227</v>
      </c>
      <c r="V49" s="2" t="s">
        <v>963</v>
      </c>
      <c r="W49" s="2" t="s">
        <v>963</v>
      </c>
      <c r="X49" s="2" t="s">
        <v>1036</v>
      </c>
      <c r="Y49" s="2" t="s">
        <v>965</v>
      </c>
      <c r="Z49" s="2" t="s">
        <v>966</v>
      </c>
      <c r="AA49" s="2" t="s">
        <v>1138</v>
      </c>
      <c r="AB49" s="2" t="s">
        <v>1211</v>
      </c>
      <c r="AC49" s="2" t="s">
        <v>1212</v>
      </c>
      <c r="AD49" s="2" t="s">
        <v>1109</v>
      </c>
      <c r="AE49" s="2" t="s">
        <v>989</v>
      </c>
      <c r="AF49" s="2" t="s">
        <v>972</v>
      </c>
      <c r="AG49" s="2" t="s">
        <v>973</v>
      </c>
      <c r="AH49" s="2" t="s">
        <v>974</v>
      </c>
    </row>
    <row r="50" spans="1:34" ht="40.5" x14ac:dyDescent="0.25">
      <c r="A50" s="2" t="s">
        <v>228</v>
      </c>
      <c r="B50" s="2" t="s">
        <v>34</v>
      </c>
      <c r="C50" s="2" t="s">
        <v>954</v>
      </c>
      <c r="D50" s="2">
        <v>2021</v>
      </c>
      <c r="E50" s="2" t="str">
        <f t="shared" si="2"/>
        <v>2020–2022</v>
      </c>
      <c r="F50" s="2" t="s">
        <v>229</v>
      </c>
      <c r="G50" s="2" t="s">
        <v>1121</v>
      </c>
      <c r="H50" s="2" t="s">
        <v>991</v>
      </c>
      <c r="I50" s="2" t="s">
        <v>1190</v>
      </c>
      <c r="J50" s="2" t="s">
        <v>542</v>
      </c>
      <c r="K50" s="2" t="s">
        <v>958</v>
      </c>
      <c r="L50" s="2" t="s">
        <v>1213</v>
      </c>
      <c r="M50" s="2" t="s">
        <v>1214</v>
      </c>
      <c r="N50" s="2" t="s">
        <v>1215</v>
      </c>
      <c r="O50" s="2" t="s">
        <v>35</v>
      </c>
      <c r="P50" s="2" t="s">
        <v>59</v>
      </c>
      <c r="Q50" s="2" t="s">
        <v>962</v>
      </c>
      <c r="R50" s="2">
        <v>4</v>
      </c>
      <c r="S50" s="2">
        <v>5</v>
      </c>
      <c r="T50" s="2" t="str">
        <f t="shared" si="3"/>
        <v>4–5</v>
      </c>
      <c r="U50" s="2" t="s">
        <v>230</v>
      </c>
      <c r="V50" s="2" t="s">
        <v>963</v>
      </c>
      <c r="W50" s="2" t="s">
        <v>963</v>
      </c>
      <c r="X50" s="2" t="s">
        <v>1036</v>
      </c>
      <c r="Y50" s="2" t="s">
        <v>965</v>
      </c>
      <c r="Z50" s="2" t="s">
        <v>966</v>
      </c>
      <c r="AA50" s="2" t="s">
        <v>1216</v>
      </c>
      <c r="AB50" s="2" t="s">
        <v>1217</v>
      </c>
      <c r="AC50" s="2" t="s">
        <v>1218</v>
      </c>
      <c r="AD50" s="2" t="s">
        <v>970</v>
      </c>
      <c r="AE50" s="2" t="s">
        <v>971</v>
      </c>
      <c r="AF50" s="2" t="s">
        <v>972</v>
      </c>
      <c r="AG50" s="2" t="s">
        <v>973</v>
      </c>
      <c r="AH50" s="2" t="s">
        <v>974</v>
      </c>
    </row>
    <row r="51" spans="1:34" ht="54" x14ac:dyDescent="0.25">
      <c r="A51" s="2" t="s">
        <v>231</v>
      </c>
      <c r="B51" s="2" t="s">
        <v>34</v>
      </c>
      <c r="C51" s="2" t="s">
        <v>954</v>
      </c>
      <c r="D51" s="2">
        <v>2021</v>
      </c>
      <c r="E51" s="2" t="str">
        <f t="shared" si="2"/>
        <v>2020–2022</v>
      </c>
      <c r="F51" s="2" t="s">
        <v>232</v>
      </c>
      <c r="G51" s="2" t="s">
        <v>1121</v>
      </c>
      <c r="H51" s="2" t="s">
        <v>991</v>
      </c>
      <c r="I51" s="2" t="s">
        <v>50</v>
      </c>
      <c r="J51" s="2" t="s">
        <v>542</v>
      </c>
      <c r="K51" s="2" t="s">
        <v>536</v>
      </c>
      <c r="L51" s="2" t="s">
        <v>1219</v>
      </c>
      <c r="M51" s="2" t="s">
        <v>545</v>
      </c>
      <c r="N51" s="2" t="s">
        <v>560</v>
      </c>
      <c r="O51" s="2" t="s">
        <v>43</v>
      </c>
      <c r="P51" s="2" t="s">
        <v>55</v>
      </c>
      <c r="Q51" s="2" t="s">
        <v>962</v>
      </c>
      <c r="R51" s="2" t="s">
        <v>55</v>
      </c>
      <c r="S51" s="2" t="s">
        <v>55</v>
      </c>
      <c r="T51" s="2" t="str">
        <f t="shared" si="3"/>
        <v>NA</v>
      </c>
      <c r="U51" s="2" t="s">
        <v>233</v>
      </c>
      <c r="V51" s="2" t="s">
        <v>963</v>
      </c>
      <c r="W51" s="2" t="s">
        <v>963</v>
      </c>
      <c r="X51" s="2" t="s">
        <v>1220</v>
      </c>
      <c r="Y51" s="2" t="s">
        <v>965</v>
      </c>
      <c r="Z51" s="2" t="s">
        <v>966</v>
      </c>
      <c r="AA51" s="2" t="s">
        <v>1221</v>
      </c>
      <c r="AB51" s="2" t="s">
        <v>968</v>
      </c>
      <c r="AC51" s="2" t="s">
        <v>1222</v>
      </c>
      <c r="AD51" s="2" t="s">
        <v>970</v>
      </c>
      <c r="AE51" s="2" t="s">
        <v>989</v>
      </c>
      <c r="AF51" s="2" t="s">
        <v>1183</v>
      </c>
      <c r="AG51" s="2" t="s">
        <v>1183</v>
      </c>
      <c r="AH51" s="2" t="s">
        <v>974</v>
      </c>
    </row>
    <row r="52" spans="1:34" ht="40.5" x14ac:dyDescent="0.25">
      <c r="A52" s="2" t="s">
        <v>234</v>
      </c>
      <c r="B52" s="2" t="s">
        <v>34</v>
      </c>
      <c r="C52" s="2" t="s">
        <v>954</v>
      </c>
      <c r="D52" s="2">
        <v>2022</v>
      </c>
      <c r="E52" s="2" t="str">
        <f t="shared" si="2"/>
        <v>2020–2022</v>
      </c>
      <c r="F52" s="2" t="s">
        <v>139</v>
      </c>
      <c r="G52" s="2" t="s">
        <v>1121</v>
      </c>
      <c r="H52" s="2" t="s">
        <v>991</v>
      </c>
      <c r="I52" s="2" t="s">
        <v>1190</v>
      </c>
      <c r="J52" s="2" t="s">
        <v>542</v>
      </c>
      <c r="K52" s="2" t="s">
        <v>958</v>
      </c>
      <c r="L52" s="2" t="s">
        <v>1213</v>
      </c>
      <c r="M52" s="2" t="s">
        <v>1223</v>
      </c>
      <c r="N52" s="2" t="s">
        <v>1224</v>
      </c>
      <c r="O52" s="2" t="s">
        <v>35</v>
      </c>
      <c r="P52" s="2" t="s">
        <v>56</v>
      </c>
      <c r="Q52" s="2" t="s">
        <v>962</v>
      </c>
      <c r="R52" s="2">
        <v>3</v>
      </c>
      <c r="S52" s="2">
        <v>4</v>
      </c>
      <c r="T52" s="2" t="str">
        <f t="shared" si="3"/>
        <v>3–4</v>
      </c>
      <c r="U52" s="2" t="s">
        <v>235</v>
      </c>
      <c r="V52" s="2" t="s">
        <v>963</v>
      </c>
      <c r="W52" s="2" t="s">
        <v>963</v>
      </c>
      <c r="X52" s="2" t="s">
        <v>1225</v>
      </c>
      <c r="Y52" s="2" t="s">
        <v>965</v>
      </c>
      <c r="Z52" s="2" t="s">
        <v>966</v>
      </c>
      <c r="AA52" s="2" t="s">
        <v>1226</v>
      </c>
      <c r="AB52" s="2" t="s">
        <v>968</v>
      </c>
      <c r="AC52" s="2" t="s">
        <v>1227</v>
      </c>
      <c r="AD52" s="2" t="s">
        <v>970</v>
      </c>
      <c r="AE52" s="2" t="s">
        <v>971</v>
      </c>
      <c r="AF52" s="2" t="s">
        <v>972</v>
      </c>
      <c r="AG52" s="2" t="s">
        <v>973</v>
      </c>
      <c r="AH52" s="2" t="s">
        <v>974</v>
      </c>
    </row>
    <row r="53" spans="1:34" ht="27" x14ac:dyDescent="0.25">
      <c r="A53" s="2" t="s">
        <v>236</v>
      </c>
      <c r="B53" s="2" t="s">
        <v>34</v>
      </c>
      <c r="C53" s="2" t="s">
        <v>954</v>
      </c>
      <c r="D53" s="2">
        <v>2023</v>
      </c>
      <c r="E53" s="2" t="str">
        <f t="shared" si="2"/>
        <v>2023–2024</v>
      </c>
      <c r="F53" s="2" t="s">
        <v>237</v>
      </c>
      <c r="G53" s="2" t="s">
        <v>1121</v>
      </c>
      <c r="H53" s="2" t="s">
        <v>991</v>
      </c>
      <c r="I53" s="2" t="s">
        <v>1190</v>
      </c>
      <c r="J53" s="2" t="s">
        <v>542</v>
      </c>
      <c r="K53" s="2" t="s">
        <v>958</v>
      </c>
      <c r="L53" s="2" t="s">
        <v>1228</v>
      </c>
      <c r="M53" s="2" t="s">
        <v>1223</v>
      </c>
      <c r="N53" s="2" t="s">
        <v>979</v>
      </c>
      <c r="O53" s="2" t="s">
        <v>35</v>
      </c>
      <c r="P53" s="2" t="s">
        <v>56</v>
      </c>
      <c r="Q53" s="2" t="s">
        <v>962</v>
      </c>
      <c r="R53" s="2">
        <v>3</v>
      </c>
      <c r="S53" s="2">
        <v>4</v>
      </c>
      <c r="T53" s="2" t="str">
        <f t="shared" si="3"/>
        <v>3–4</v>
      </c>
      <c r="U53" s="2" t="s">
        <v>238</v>
      </c>
      <c r="V53" s="2" t="s">
        <v>963</v>
      </c>
      <c r="W53" s="2" t="s">
        <v>963</v>
      </c>
      <c r="X53" s="2" t="s">
        <v>1229</v>
      </c>
      <c r="Y53" s="2" t="s">
        <v>965</v>
      </c>
      <c r="Z53" s="2" t="s">
        <v>966</v>
      </c>
      <c r="AA53" s="2" t="s">
        <v>1230</v>
      </c>
      <c r="AB53" s="2" t="s">
        <v>1077</v>
      </c>
      <c r="AC53" s="2" t="s">
        <v>1231</v>
      </c>
      <c r="AD53" s="2" t="s">
        <v>970</v>
      </c>
      <c r="AE53" s="2" t="s">
        <v>989</v>
      </c>
      <c r="AF53" s="2" t="s">
        <v>972</v>
      </c>
      <c r="AG53" s="2" t="s">
        <v>973</v>
      </c>
      <c r="AH53" s="2" t="s">
        <v>974</v>
      </c>
    </row>
    <row r="54" spans="1:34" ht="40.5" x14ac:dyDescent="0.25">
      <c r="A54" s="2" t="s">
        <v>239</v>
      </c>
      <c r="B54" s="2" t="s">
        <v>34</v>
      </c>
      <c r="C54" s="2" t="s">
        <v>954</v>
      </c>
      <c r="D54" s="2">
        <v>2023</v>
      </c>
      <c r="E54" s="2" t="str">
        <f t="shared" si="2"/>
        <v>2023–2024</v>
      </c>
      <c r="F54" s="2" t="s">
        <v>240</v>
      </c>
      <c r="G54" s="2" t="s">
        <v>1121</v>
      </c>
      <c r="H54" s="2" t="s">
        <v>991</v>
      </c>
      <c r="I54" s="2" t="s">
        <v>1190</v>
      </c>
      <c r="J54" s="2" t="s">
        <v>542</v>
      </c>
      <c r="K54" s="2" t="s">
        <v>536</v>
      </c>
      <c r="L54" s="2" t="s">
        <v>1232</v>
      </c>
      <c r="M54" s="2" t="s">
        <v>547</v>
      </c>
      <c r="N54" s="2" t="s">
        <v>560</v>
      </c>
      <c r="O54" s="2" t="s">
        <v>43</v>
      </c>
      <c r="P54" s="2" t="s">
        <v>55</v>
      </c>
      <c r="Q54" s="2" t="s">
        <v>962</v>
      </c>
      <c r="R54" s="2" t="s">
        <v>55</v>
      </c>
      <c r="S54" s="2" t="s">
        <v>55</v>
      </c>
      <c r="T54" s="2" t="str">
        <f t="shared" si="3"/>
        <v>NA</v>
      </c>
      <c r="U54" s="2" t="s">
        <v>241</v>
      </c>
      <c r="V54" s="2" t="s">
        <v>963</v>
      </c>
      <c r="W54" s="2" t="s">
        <v>963</v>
      </c>
      <c r="X54" s="2" t="s">
        <v>1233</v>
      </c>
      <c r="Y54" s="2" t="s">
        <v>965</v>
      </c>
      <c r="Z54" s="2" t="s">
        <v>966</v>
      </c>
      <c r="AA54" s="2" t="s">
        <v>1234</v>
      </c>
      <c r="AB54" s="2" t="s">
        <v>968</v>
      </c>
      <c r="AC54" s="2" t="s">
        <v>1235</v>
      </c>
      <c r="AD54" s="2" t="s">
        <v>983</v>
      </c>
      <c r="AE54" s="2" t="s">
        <v>971</v>
      </c>
      <c r="AF54" s="2" t="s">
        <v>1183</v>
      </c>
      <c r="AG54" s="2" t="s">
        <v>1183</v>
      </c>
      <c r="AH54" s="2" t="s">
        <v>974</v>
      </c>
    </row>
    <row r="55" spans="1:34" ht="27" x14ac:dyDescent="0.25">
      <c r="A55" s="2" t="s">
        <v>242</v>
      </c>
      <c r="B55" s="2" t="s">
        <v>34</v>
      </c>
      <c r="C55" s="2" t="s">
        <v>954</v>
      </c>
      <c r="D55" s="2">
        <v>2023</v>
      </c>
      <c r="E55" s="2" t="str">
        <f t="shared" si="2"/>
        <v>2023–2024</v>
      </c>
      <c r="F55" s="2" t="s">
        <v>237</v>
      </c>
      <c r="G55" s="2" t="s">
        <v>1121</v>
      </c>
      <c r="H55" s="2" t="s">
        <v>975</v>
      </c>
      <c r="I55" s="2" t="s">
        <v>1236</v>
      </c>
      <c r="J55" s="2" t="s">
        <v>542</v>
      </c>
      <c r="K55" s="2" t="s">
        <v>958</v>
      </c>
      <c r="L55" s="2" t="s">
        <v>1213</v>
      </c>
      <c r="M55" s="2" t="s">
        <v>1223</v>
      </c>
      <c r="N55" s="2" t="s">
        <v>1224</v>
      </c>
      <c r="O55" s="2" t="s">
        <v>35</v>
      </c>
      <c r="P55" s="2" t="s">
        <v>56</v>
      </c>
      <c r="Q55" s="2" t="s">
        <v>962</v>
      </c>
      <c r="R55" s="2">
        <v>3</v>
      </c>
      <c r="S55" s="2">
        <v>4</v>
      </c>
      <c r="T55" s="2" t="str">
        <f t="shared" si="3"/>
        <v>3–4</v>
      </c>
      <c r="U55" s="2" t="s">
        <v>243</v>
      </c>
      <c r="V55" s="2" t="s">
        <v>963</v>
      </c>
      <c r="W55" s="2" t="s">
        <v>963</v>
      </c>
      <c r="X55" s="2" t="s">
        <v>1237</v>
      </c>
      <c r="Y55" s="2" t="s">
        <v>965</v>
      </c>
      <c r="Z55" s="2" t="s">
        <v>966</v>
      </c>
      <c r="AA55" s="2" t="s">
        <v>1238</v>
      </c>
      <c r="AB55" s="2" t="s">
        <v>1181</v>
      </c>
      <c r="AC55" s="2" t="s">
        <v>1239</v>
      </c>
      <c r="AD55" s="2" t="s">
        <v>1096</v>
      </c>
      <c r="AE55" s="2" t="s">
        <v>971</v>
      </c>
      <c r="AF55" s="2" t="s">
        <v>972</v>
      </c>
      <c r="AG55" s="2" t="s">
        <v>973</v>
      </c>
      <c r="AH55" s="2" t="s">
        <v>974</v>
      </c>
    </row>
    <row r="56" spans="1:34" ht="54" x14ac:dyDescent="0.25">
      <c r="A56" s="2" t="s">
        <v>244</v>
      </c>
      <c r="B56" s="2" t="s">
        <v>34</v>
      </c>
      <c r="C56" s="2" t="s">
        <v>954</v>
      </c>
      <c r="D56" s="2">
        <v>2023</v>
      </c>
      <c r="E56" s="2" t="str">
        <f t="shared" si="2"/>
        <v>2023–2024</v>
      </c>
      <c r="F56" s="2" t="s">
        <v>217</v>
      </c>
      <c r="G56" s="2" t="s">
        <v>1121</v>
      </c>
      <c r="H56" s="2" t="s">
        <v>975</v>
      </c>
      <c r="I56" s="2" t="s">
        <v>1236</v>
      </c>
      <c r="J56" s="2" t="s">
        <v>542</v>
      </c>
      <c r="K56" s="2" t="s">
        <v>958</v>
      </c>
      <c r="L56" s="2" t="s">
        <v>1228</v>
      </c>
      <c r="M56" s="2" t="s">
        <v>1240</v>
      </c>
      <c r="N56" s="2" t="s">
        <v>1241</v>
      </c>
      <c r="O56" s="2" t="s">
        <v>35</v>
      </c>
      <c r="P56" s="2" t="s">
        <v>59</v>
      </c>
      <c r="Q56" s="2" t="s">
        <v>962</v>
      </c>
      <c r="R56" s="2">
        <v>4</v>
      </c>
      <c r="S56" s="2">
        <v>5</v>
      </c>
      <c r="T56" s="2" t="str">
        <f t="shared" si="3"/>
        <v>4–5</v>
      </c>
      <c r="U56" s="2" t="s">
        <v>245</v>
      </c>
      <c r="V56" s="2" t="s">
        <v>963</v>
      </c>
      <c r="W56" s="2" t="s">
        <v>963</v>
      </c>
      <c r="X56" s="2" t="s">
        <v>1242</v>
      </c>
      <c r="Y56" s="2" t="s">
        <v>965</v>
      </c>
      <c r="Z56" s="2" t="s">
        <v>966</v>
      </c>
      <c r="AA56" s="2" t="s">
        <v>1243</v>
      </c>
      <c r="AB56" s="2" t="s">
        <v>987</v>
      </c>
      <c r="AC56" s="2" t="s">
        <v>1244</v>
      </c>
      <c r="AD56" s="2" t="s">
        <v>1096</v>
      </c>
      <c r="AE56" s="2" t="s">
        <v>989</v>
      </c>
      <c r="AF56" s="2" t="s">
        <v>972</v>
      </c>
      <c r="AG56" s="2" t="s">
        <v>973</v>
      </c>
      <c r="AH56" s="2" t="s">
        <v>974</v>
      </c>
    </row>
    <row r="57" spans="1:34" ht="27" x14ac:dyDescent="0.25">
      <c r="A57" s="2" t="s">
        <v>246</v>
      </c>
      <c r="B57" s="2" t="s">
        <v>34</v>
      </c>
      <c r="C57" s="2" t="s">
        <v>954</v>
      </c>
      <c r="D57" s="2">
        <v>2024</v>
      </c>
      <c r="E57" s="2" t="str">
        <f t="shared" si="2"/>
        <v>2023–2024</v>
      </c>
      <c r="F57" s="2" t="s">
        <v>247</v>
      </c>
      <c r="G57" s="2" t="s">
        <v>955</v>
      </c>
      <c r="H57" s="2" t="s">
        <v>991</v>
      </c>
      <c r="I57" s="2" t="s">
        <v>1190</v>
      </c>
      <c r="J57" s="2" t="s">
        <v>542</v>
      </c>
      <c r="K57" s="2" t="s">
        <v>1245</v>
      </c>
      <c r="L57" s="2" t="s">
        <v>1246</v>
      </c>
      <c r="M57" s="2" t="s">
        <v>1247</v>
      </c>
      <c r="N57" s="2" t="s">
        <v>1248</v>
      </c>
      <c r="O57" s="2" t="s">
        <v>35</v>
      </c>
      <c r="P57" s="2" t="s">
        <v>59</v>
      </c>
      <c r="Q57" s="2" t="s">
        <v>962</v>
      </c>
      <c r="R57" s="2">
        <v>4</v>
      </c>
      <c r="S57" s="2">
        <v>5</v>
      </c>
      <c r="T57" s="2" t="str">
        <f t="shared" si="3"/>
        <v>4–5</v>
      </c>
      <c r="U57" s="2" t="s">
        <v>248</v>
      </c>
      <c r="V57" s="2" t="s">
        <v>963</v>
      </c>
      <c r="W57" s="2" t="s">
        <v>963</v>
      </c>
      <c r="X57" s="2" t="s">
        <v>1249</v>
      </c>
      <c r="Y57" s="2" t="s">
        <v>965</v>
      </c>
      <c r="Z57" s="2" t="s">
        <v>966</v>
      </c>
      <c r="AA57" s="2" t="s">
        <v>1250</v>
      </c>
      <c r="AB57" s="2" t="s">
        <v>1077</v>
      </c>
      <c r="AC57" s="2" t="s">
        <v>1251</v>
      </c>
      <c r="AD57" s="2" t="s">
        <v>1096</v>
      </c>
      <c r="AE57" s="2" t="s">
        <v>971</v>
      </c>
      <c r="AF57" s="2" t="s">
        <v>972</v>
      </c>
      <c r="AG57" s="2" t="s">
        <v>973</v>
      </c>
      <c r="AH57" s="2" t="s">
        <v>974</v>
      </c>
    </row>
    <row r="58" spans="1:34" ht="40.5" x14ac:dyDescent="0.25">
      <c r="A58" s="2" t="s">
        <v>249</v>
      </c>
      <c r="B58" s="2" t="s">
        <v>34</v>
      </c>
      <c r="C58" s="2" t="s">
        <v>954</v>
      </c>
      <c r="D58" s="2">
        <v>2024</v>
      </c>
      <c r="E58" s="2" t="str">
        <f t="shared" si="2"/>
        <v>2023–2024</v>
      </c>
      <c r="F58" s="2" t="s">
        <v>250</v>
      </c>
      <c r="G58" s="2" t="s">
        <v>1121</v>
      </c>
      <c r="H58" s="2" t="s">
        <v>991</v>
      </c>
      <c r="I58" s="2" t="s">
        <v>1252</v>
      </c>
      <c r="J58" s="2" t="s">
        <v>1203</v>
      </c>
      <c r="K58" s="2" t="s">
        <v>535</v>
      </c>
      <c r="L58" s="2" t="s">
        <v>1253</v>
      </c>
      <c r="M58" s="2" t="s">
        <v>1254</v>
      </c>
      <c r="N58" s="2" t="s">
        <v>961</v>
      </c>
      <c r="O58" s="2" t="s">
        <v>35</v>
      </c>
      <c r="P58" s="2" t="s">
        <v>59</v>
      </c>
      <c r="Q58" s="2" t="s">
        <v>962</v>
      </c>
      <c r="R58" s="2">
        <v>4</v>
      </c>
      <c r="S58" s="2">
        <v>5</v>
      </c>
      <c r="T58" s="2" t="str">
        <f t="shared" si="3"/>
        <v>4–5</v>
      </c>
      <c r="U58" s="2" t="s">
        <v>251</v>
      </c>
      <c r="V58" s="2" t="s">
        <v>963</v>
      </c>
      <c r="W58" s="2" t="s">
        <v>963</v>
      </c>
      <c r="X58" s="2" t="s">
        <v>1255</v>
      </c>
      <c r="Y58" s="2" t="s">
        <v>965</v>
      </c>
      <c r="Z58" s="2" t="s">
        <v>966</v>
      </c>
      <c r="AA58" s="2" t="s">
        <v>1256</v>
      </c>
      <c r="AB58" s="2" t="s">
        <v>1077</v>
      </c>
      <c r="AC58" s="2" t="s">
        <v>1257</v>
      </c>
      <c r="AD58" s="2" t="s">
        <v>1096</v>
      </c>
      <c r="AE58" s="2" t="s">
        <v>971</v>
      </c>
      <c r="AF58" s="2" t="s">
        <v>972</v>
      </c>
      <c r="AG58" s="2" t="s">
        <v>973</v>
      </c>
      <c r="AH58" s="2" t="s">
        <v>974</v>
      </c>
    </row>
    <row r="59" spans="1:34" ht="40.5" x14ac:dyDescent="0.25">
      <c r="A59" s="2" t="s">
        <v>252</v>
      </c>
      <c r="B59" s="2" t="s">
        <v>34</v>
      </c>
      <c r="C59" s="2" t="s">
        <v>954</v>
      </c>
      <c r="D59" s="2">
        <v>2024</v>
      </c>
      <c r="E59" s="2" t="str">
        <f t="shared" si="2"/>
        <v>2023–2024</v>
      </c>
      <c r="F59" s="2" t="s">
        <v>253</v>
      </c>
      <c r="G59" s="2" t="s">
        <v>1121</v>
      </c>
      <c r="H59" s="2" t="s">
        <v>991</v>
      </c>
      <c r="I59" s="2" t="s">
        <v>1190</v>
      </c>
      <c r="J59" s="2" t="s">
        <v>542</v>
      </c>
      <c r="K59" s="2" t="s">
        <v>536</v>
      </c>
      <c r="L59" s="2" t="s">
        <v>1178</v>
      </c>
      <c r="M59" s="2" t="s">
        <v>1247</v>
      </c>
      <c r="N59" s="2" t="s">
        <v>560</v>
      </c>
      <c r="O59" s="2" t="s">
        <v>43</v>
      </c>
      <c r="P59" s="2" t="s">
        <v>55</v>
      </c>
      <c r="Q59" s="2" t="s">
        <v>962</v>
      </c>
      <c r="R59" s="2" t="s">
        <v>55</v>
      </c>
      <c r="S59" s="2" t="s">
        <v>55</v>
      </c>
      <c r="T59" s="2" t="str">
        <f t="shared" si="3"/>
        <v>NA</v>
      </c>
      <c r="U59" s="2" t="s">
        <v>254</v>
      </c>
      <c r="V59" s="2" t="s">
        <v>963</v>
      </c>
      <c r="W59" s="2" t="s">
        <v>963</v>
      </c>
      <c r="X59" s="2" t="s">
        <v>1258</v>
      </c>
      <c r="Y59" s="2" t="s">
        <v>965</v>
      </c>
      <c r="Z59" s="2" t="s">
        <v>966</v>
      </c>
      <c r="AA59" s="2" t="s">
        <v>1259</v>
      </c>
      <c r="AB59" s="2" t="s">
        <v>1260</v>
      </c>
      <c r="AC59" s="2" t="s">
        <v>1261</v>
      </c>
      <c r="AD59" s="2" t="s">
        <v>1096</v>
      </c>
      <c r="AE59" s="2" t="s">
        <v>971</v>
      </c>
      <c r="AF59" s="2" t="s">
        <v>1183</v>
      </c>
      <c r="AG59" s="2" t="s">
        <v>1183</v>
      </c>
      <c r="AH59" s="2" t="s">
        <v>974</v>
      </c>
    </row>
    <row r="60" spans="1:34" ht="40.5" x14ac:dyDescent="0.25">
      <c r="A60" s="2" t="s">
        <v>255</v>
      </c>
      <c r="B60" s="2" t="s">
        <v>34</v>
      </c>
      <c r="C60" s="2" t="s">
        <v>954</v>
      </c>
      <c r="D60" s="2">
        <v>2024</v>
      </c>
      <c r="E60" s="2" t="str">
        <f t="shared" si="2"/>
        <v>2023–2024</v>
      </c>
      <c r="F60" s="2" t="s">
        <v>256</v>
      </c>
      <c r="G60" s="2" t="s">
        <v>1121</v>
      </c>
      <c r="H60" s="2" t="s">
        <v>991</v>
      </c>
      <c r="I60" s="2" t="s">
        <v>1190</v>
      </c>
      <c r="J60" s="2" t="s">
        <v>542</v>
      </c>
      <c r="K60" s="2" t="s">
        <v>958</v>
      </c>
      <c r="L60" s="2" t="s">
        <v>1228</v>
      </c>
      <c r="M60" s="2" t="s">
        <v>1124</v>
      </c>
      <c r="N60" s="2" t="s">
        <v>1241</v>
      </c>
      <c r="O60" s="2" t="s">
        <v>35</v>
      </c>
      <c r="P60" s="2" t="s">
        <v>44</v>
      </c>
      <c r="Q60" s="2" t="s">
        <v>962</v>
      </c>
      <c r="R60" s="2">
        <v>2</v>
      </c>
      <c r="S60" s="2">
        <v>3</v>
      </c>
      <c r="T60" s="2" t="str">
        <f t="shared" si="3"/>
        <v>2–3</v>
      </c>
      <c r="U60" s="2" t="s">
        <v>257</v>
      </c>
      <c r="V60" s="2" t="s">
        <v>963</v>
      </c>
      <c r="W60" s="2" t="s">
        <v>963</v>
      </c>
      <c r="X60" s="2" t="s">
        <v>1262</v>
      </c>
      <c r="Y60" s="2" t="s">
        <v>965</v>
      </c>
      <c r="Z60" s="2" t="s">
        <v>966</v>
      </c>
      <c r="AA60" s="2" t="s">
        <v>1263</v>
      </c>
      <c r="AB60" s="2" t="s">
        <v>1181</v>
      </c>
      <c r="AC60" s="2" t="s">
        <v>1264</v>
      </c>
      <c r="AD60" s="2" t="s">
        <v>983</v>
      </c>
      <c r="AE60" s="2" t="s">
        <v>989</v>
      </c>
      <c r="AF60" s="2" t="s">
        <v>972</v>
      </c>
      <c r="AG60" s="2" t="s">
        <v>973</v>
      </c>
      <c r="AH60" s="2" t="s">
        <v>974</v>
      </c>
    </row>
    <row r="61" spans="1:34" ht="40.5" x14ac:dyDescent="0.25">
      <c r="A61" s="2" t="s">
        <v>258</v>
      </c>
      <c r="B61" s="2" t="s">
        <v>34</v>
      </c>
      <c r="C61" s="2" t="s">
        <v>954</v>
      </c>
      <c r="D61" s="2">
        <v>2025</v>
      </c>
      <c r="E61" s="2" t="str">
        <f t="shared" si="2"/>
        <v>2025–2026</v>
      </c>
      <c r="F61" s="2" t="s">
        <v>259</v>
      </c>
      <c r="G61" s="2" t="s">
        <v>1121</v>
      </c>
      <c r="H61" s="2" t="s">
        <v>991</v>
      </c>
      <c r="I61" s="2" t="s">
        <v>1190</v>
      </c>
      <c r="J61" s="2" t="s">
        <v>542</v>
      </c>
      <c r="K61" s="2" t="s">
        <v>1245</v>
      </c>
      <c r="L61" s="2" t="s">
        <v>1265</v>
      </c>
      <c r="M61" s="2" t="s">
        <v>1247</v>
      </c>
      <c r="N61" s="2" t="s">
        <v>1266</v>
      </c>
      <c r="O61" s="2" t="s">
        <v>35</v>
      </c>
      <c r="P61" s="2" t="s">
        <v>59</v>
      </c>
      <c r="Q61" s="2" t="s">
        <v>962</v>
      </c>
      <c r="R61" s="2">
        <v>4</v>
      </c>
      <c r="S61" s="2">
        <v>5</v>
      </c>
      <c r="T61" s="2" t="str">
        <f t="shared" si="3"/>
        <v>4–5</v>
      </c>
      <c r="U61" s="2" t="s">
        <v>260</v>
      </c>
      <c r="V61" s="2" t="s">
        <v>963</v>
      </c>
      <c r="W61" s="2" t="s">
        <v>963</v>
      </c>
      <c r="X61" s="2" t="s">
        <v>1267</v>
      </c>
      <c r="Y61" s="2" t="s">
        <v>965</v>
      </c>
      <c r="Z61" s="2" t="s">
        <v>966</v>
      </c>
      <c r="AA61" s="2" t="s">
        <v>1268</v>
      </c>
      <c r="AB61" s="2" t="s">
        <v>1077</v>
      </c>
      <c r="AC61" s="2" t="s">
        <v>1269</v>
      </c>
      <c r="AD61" s="2" t="s">
        <v>970</v>
      </c>
      <c r="AE61" s="2" t="s">
        <v>971</v>
      </c>
      <c r="AF61" s="2" t="s">
        <v>972</v>
      </c>
      <c r="AG61" s="2" t="s">
        <v>973</v>
      </c>
      <c r="AH61" s="2" t="s">
        <v>974</v>
      </c>
    </row>
    <row r="62" spans="1:34" ht="27" x14ac:dyDescent="0.25">
      <c r="A62" s="2" t="s">
        <v>261</v>
      </c>
      <c r="B62" s="2" t="s">
        <v>34</v>
      </c>
      <c r="C62" s="2" t="s">
        <v>954</v>
      </c>
      <c r="D62" s="2">
        <v>2025</v>
      </c>
      <c r="E62" s="2" t="str">
        <f t="shared" si="2"/>
        <v>2025–2026</v>
      </c>
      <c r="F62" s="2" t="s">
        <v>262</v>
      </c>
      <c r="G62" s="2" t="s">
        <v>1121</v>
      </c>
      <c r="H62" s="2" t="s">
        <v>991</v>
      </c>
      <c r="I62" s="2" t="s">
        <v>1190</v>
      </c>
      <c r="J62" s="2" t="s">
        <v>542</v>
      </c>
      <c r="K62" s="2" t="s">
        <v>536</v>
      </c>
      <c r="L62" s="2" t="s">
        <v>1184</v>
      </c>
      <c r="M62" s="2" t="s">
        <v>1247</v>
      </c>
      <c r="N62" s="2" t="s">
        <v>560</v>
      </c>
      <c r="O62" s="2" t="s">
        <v>43</v>
      </c>
      <c r="P62" s="2" t="s">
        <v>55</v>
      </c>
      <c r="Q62" s="2" t="s">
        <v>962</v>
      </c>
      <c r="R62" s="2" t="s">
        <v>55</v>
      </c>
      <c r="S62" s="2" t="s">
        <v>55</v>
      </c>
      <c r="T62" s="2" t="str">
        <f t="shared" si="3"/>
        <v>NA</v>
      </c>
      <c r="U62" s="2" t="s">
        <v>263</v>
      </c>
      <c r="V62" s="2" t="s">
        <v>963</v>
      </c>
      <c r="W62" s="2" t="s">
        <v>963</v>
      </c>
      <c r="X62" s="2" t="s">
        <v>1270</v>
      </c>
      <c r="Y62" s="2" t="s">
        <v>965</v>
      </c>
      <c r="Z62" s="2" t="s">
        <v>966</v>
      </c>
      <c r="AA62" s="2" t="s">
        <v>1271</v>
      </c>
      <c r="AB62" s="2" t="s">
        <v>968</v>
      </c>
      <c r="AC62" s="2" t="s">
        <v>996</v>
      </c>
      <c r="AD62" s="2" t="s">
        <v>1096</v>
      </c>
      <c r="AE62" s="2" t="s">
        <v>971</v>
      </c>
      <c r="AF62" s="2" t="s">
        <v>1183</v>
      </c>
      <c r="AG62" s="2" t="s">
        <v>1183</v>
      </c>
      <c r="AH62" s="2" t="s">
        <v>974</v>
      </c>
    </row>
    <row r="63" spans="1:34" ht="54" x14ac:dyDescent="0.25">
      <c r="A63" s="2" t="s">
        <v>264</v>
      </c>
      <c r="B63" s="2" t="s">
        <v>34</v>
      </c>
      <c r="C63" s="2" t="s">
        <v>954</v>
      </c>
      <c r="D63" s="2">
        <v>2025</v>
      </c>
      <c r="E63" s="2" t="str">
        <f t="shared" si="2"/>
        <v>2025–2026</v>
      </c>
      <c r="F63" s="2" t="s">
        <v>139</v>
      </c>
      <c r="G63" s="2" t="s">
        <v>1121</v>
      </c>
      <c r="H63" s="2" t="s">
        <v>991</v>
      </c>
      <c r="I63" s="2" t="s">
        <v>1272</v>
      </c>
      <c r="J63" s="2" t="s">
        <v>542</v>
      </c>
      <c r="K63" s="2" t="s">
        <v>536</v>
      </c>
      <c r="L63" s="2" t="s">
        <v>1178</v>
      </c>
      <c r="M63" s="2" t="s">
        <v>1273</v>
      </c>
      <c r="N63" s="2" t="s">
        <v>560</v>
      </c>
      <c r="O63" s="2" t="s">
        <v>43</v>
      </c>
      <c r="P63" s="2" t="s">
        <v>55</v>
      </c>
      <c r="Q63" s="2" t="s">
        <v>962</v>
      </c>
      <c r="R63" s="2" t="s">
        <v>55</v>
      </c>
      <c r="S63" s="2" t="s">
        <v>55</v>
      </c>
      <c r="T63" s="2" t="str">
        <f t="shared" si="3"/>
        <v>NA</v>
      </c>
      <c r="U63" s="2" t="s">
        <v>265</v>
      </c>
      <c r="V63" s="2" t="s">
        <v>963</v>
      </c>
      <c r="W63" s="2" t="s">
        <v>963</v>
      </c>
      <c r="X63" s="2" t="s">
        <v>1274</v>
      </c>
      <c r="Y63" s="2" t="s">
        <v>965</v>
      </c>
      <c r="Z63" s="2" t="s">
        <v>966</v>
      </c>
      <c r="AA63" s="2" t="s">
        <v>1275</v>
      </c>
      <c r="AB63" s="2" t="s">
        <v>1077</v>
      </c>
      <c r="AC63" s="2" t="s">
        <v>1276</v>
      </c>
      <c r="AD63" s="2" t="s">
        <v>983</v>
      </c>
      <c r="AE63" s="2" t="s">
        <v>989</v>
      </c>
      <c r="AF63" s="2" t="s">
        <v>1183</v>
      </c>
      <c r="AG63" s="2" t="s">
        <v>1183</v>
      </c>
      <c r="AH63" s="2" t="s">
        <v>974</v>
      </c>
    </row>
    <row r="64" spans="1:34" ht="40.5" x14ac:dyDescent="0.25">
      <c r="A64" s="2" t="s">
        <v>266</v>
      </c>
      <c r="B64" s="2" t="s">
        <v>34</v>
      </c>
      <c r="C64" s="2" t="s">
        <v>954</v>
      </c>
      <c r="D64" s="2">
        <v>2025</v>
      </c>
      <c r="E64" s="2" t="str">
        <f t="shared" si="2"/>
        <v>2025–2026</v>
      </c>
      <c r="F64" s="2" t="s">
        <v>267</v>
      </c>
      <c r="G64" s="2" t="s">
        <v>1121</v>
      </c>
      <c r="H64" s="2" t="s">
        <v>991</v>
      </c>
      <c r="I64" s="2" t="s">
        <v>1272</v>
      </c>
      <c r="J64" s="2" t="s">
        <v>542</v>
      </c>
      <c r="K64" s="2" t="s">
        <v>534</v>
      </c>
      <c r="L64" s="2" t="s">
        <v>1277</v>
      </c>
      <c r="M64" s="2" t="s">
        <v>1278</v>
      </c>
      <c r="N64" s="2" t="s">
        <v>1241</v>
      </c>
      <c r="O64" s="2" t="s">
        <v>35</v>
      </c>
      <c r="P64" s="2" t="s">
        <v>44</v>
      </c>
      <c r="Q64" s="2" t="s">
        <v>962</v>
      </c>
      <c r="R64" s="2">
        <v>2</v>
      </c>
      <c r="S64" s="2">
        <v>3</v>
      </c>
      <c r="T64" s="2" t="str">
        <f t="shared" si="3"/>
        <v>2–3</v>
      </c>
      <c r="U64" s="2" t="s">
        <v>268</v>
      </c>
      <c r="V64" s="2" t="s">
        <v>963</v>
      </c>
      <c r="W64" s="2" t="s">
        <v>963</v>
      </c>
      <c r="X64" s="2" t="s">
        <v>1036</v>
      </c>
      <c r="Y64" s="2" t="s">
        <v>965</v>
      </c>
      <c r="Z64" s="2" t="s">
        <v>966</v>
      </c>
      <c r="AA64" s="2" t="s">
        <v>1279</v>
      </c>
      <c r="AB64" s="2" t="s">
        <v>1094</v>
      </c>
      <c r="AC64" s="2" t="s">
        <v>1280</v>
      </c>
      <c r="AD64" s="2" t="s">
        <v>1281</v>
      </c>
      <c r="AE64" s="2" t="s">
        <v>971</v>
      </c>
      <c r="AF64" s="2" t="s">
        <v>972</v>
      </c>
      <c r="AG64" s="2" t="s">
        <v>973</v>
      </c>
      <c r="AH64" s="2" t="s">
        <v>974</v>
      </c>
    </row>
    <row r="65" spans="1:34" ht="40.5" x14ac:dyDescent="0.25">
      <c r="A65" s="2" t="s">
        <v>269</v>
      </c>
      <c r="B65" s="2" t="s">
        <v>34</v>
      </c>
      <c r="C65" s="2" t="s">
        <v>954</v>
      </c>
      <c r="D65" s="2">
        <v>2025</v>
      </c>
      <c r="E65" s="2" t="str">
        <f t="shared" si="2"/>
        <v>2025–2026</v>
      </c>
      <c r="F65" s="2" t="s">
        <v>270</v>
      </c>
      <c r="G65" s="2" t="s">
        <v>1121</v>
      </c>
      <c r="H65" s="2" t="s">
        <v>991</v>
      </c>
      <c r="I65" s="2" t="s">
        <v>1190</v>
      </c>
      <c r="J65" s="2" t="s">
        <v>1203</v>
      </c>
      <c r="K65" s="2" t="s">
        <v>958</v>
      </c>
      <c r="L65" s="2" t="s">
        <v>1228</v>
      </c>
      <c r="M65" s="2" t="s">
        <v>1282</v>
      </c>
      <c r="N65" s="2" t="s">
        <v>961</v>
      </c>
      <c r="O65" s="2" t="s">
        <v>35</v>
      </c>
      <c r="P65" s="2" t="s">
        <v>59</v>
      </c>
      <c r="Q65" s="2" t="s">
        <v>962</v>
      </c>
      <c r="R65" s="2">
        <v>4</v>
      </c>
      <c r="S65" s="2">
        <v>5</v>
      </c>
      <c r="T65" s="2" t="str">
        <f t="shared" si="3"/>
        <v>4–5</v>
      </c>
      <c r="U65" s="2" t="s">
        <v>271</v>
      </c>
      <c r="V65" s="2" t="s">
        <v>963</v>
      </c>
      <c r="W65" s="2" t="s">
        <v>963</v>
      </c>
      <c r="X65" s="2" t="s">
        <v>1036</v>
      </c>
      <c r="Y65" s="2" t="s">
        <v>965</v>
      </c>
      <c r="Z65" s="2" t="s">
        <v>966</v>
      </c>
      <c r="AA65" s="2" t="s">
        <v>1283</v>
      </c>
      <c r="AB65" s="2" t="s">
        <v>1181</v>
      </c>
      <c r="AC65" s="2" t="s">
        <v>1284</v>
      </c>
      <c r="AD65" s="2" t="s">
        <v>970</v>
      </c>
      <c r="AE65" s="2" t="s">
        <v>971</v>
      </c>
      <c r="AF65" s="2" t="s">
        <v>972</v>
      </c>
      <c r="AG65" s="2" t="s">
        <v>973</v>
      </c>
      <c r="AH65" s="2" t="s">
        <v>974</v>
      </c>
    </row>
    <row r="66" spans="1:34" ht="54" x14ac:dyDescent="0.25">
      <c r="A66" s="2" t="s">
        <v>272</v>
      </c>
      <c r="B66" s="2" t="s">
        <v>138</v>
      </c>
      <c r="C66" s="2" t="s">
        <v>1049</v>
      </c>
      <c r="D66" s="2">
        <v>2026</v>
      </c>
      <c r="E66" s="2" t="str">
        <f t="shared" si="2"/>
        <v>2025–2026</v>
      </c>
      <c r="F66" s="2" t="s">
        <v>273</v>
      </c>
      <c r="G66" s="2" t="s">
        <v>1121</v>
      </c>
      <c r="H66" s="2" t="s">
        <v>975</v>
      </c>
      <c r="I66" s="2" t="s">
        <v>50</v>
      </c>
      <c r="J66" s="2" t="s">
        <v>50</v>
      </c>
      <c r="K66" s="2" t="s">
        <v>50</v>
      </c>
      <c r="L66" s="2" t="s">
        <v>50</v>
      </c>
      <c r="M66" s="2" t="s">
        <v>50</v>
      </c>
      <c r="N66" s="2" t="s">
        <v>50</v>
      </c>
      <c r="O66" s="2" t="s">
        <v>50</v>
      </c>
      <c r="P66" s="2" t="s">
        <v>50</v>
      </c>
      <c r="Q66" s="2" t="s">
        <v>50</v>
      </c>
      <c r="R66" s="2" t="s">
        <v>50</v>
      </c>
      <c r="S66" s="2" t="s">
        <v>50</v>
      </c>
      <c r="T66" s="2" t="str">
        <f t="shared" si="3"/>
        <v>UNC</v>
      </c>
      <c r="U66" s="2" t="s">
        <v>274</v>
      </c>
      <c r="V66" s="2" t="s">
        <v>963</v>
      </c>
      <c r="W66" s="2" t="s">
        <v>963</v>
      </c>
      <c r="X66" s="2" t="s">
        <v>1036</v>
      </c>
      <c r="Y66" s="2" t="s">
        <v>965</v>
      </c>
      <c r="Z66" s="2" t="s">
        <v>966</v>
      </c>
      <c r="AA66" s="2" t="s">
        <v>1285</v>
      </c>
      <c r="AB66" s="2" t="s">
        <v>968</v>
      </c>
      <c r="AC66" s="2" t="s">
        <v>1286</v>
      </c>
      <c r="AD66" s="2" t="s">
        <v>1056</v>
      </c>
      <c r="AE66" s="2" t="s">
        <v>1056</v>
      </c>
      <c r="AF66" s="2" t="s">
        <v>50</v>
      </c>
      <c r="AG66" s="2" t="s">
        <v>50</v>
      </c>
      <c r="AH66" s="2" t="s">
        <v>1287</v>
      </c>
    </row>
    <row r="67" spans="1:34" ht="40.5" x14ac:dyDescent="0.25">
      <c r="A67" s="2" t="s">
        <v>275</v>
      </c>
      <c r="B67" s="2" t="s">
        <v>34</v>
      </c>
      <c r="C67" s="2" t="s">
        <v>954</v>
      </c>
      <c r="D67" s="2">
        <v>2016</v>
      </c>
      <c r="E67" s="2" t="str">
        <f t="shared" ref="E67:E96" si="4">IF(D67="","",IF(D67&lt;=2019,"2016–2019",IF(D67&lt;=2022,"2020–2022",IF(D67&lt;=2024,"2023–2024","2025–2026"))))</f>
        <v>2016–2019</v>
      </c>
      <c r="F67" s="2" t="s">
        <v>276</v>
      </c>
      <c r="G67" s="2" t="s">
        <v>1136</v>
      </c>
      <c r="H67" s="2" t="s">
        <v>1189</v>
      </c>
      <c r="I67" s="2" t="s">
        <v>1190</v>
      </c>
      <c r="J67" s="2" t="s">
        <v>543</v>
      </c>
      <c r="K67" s="2" t="s">
        <v>958</v>
      </c>
      <c r="L67" s="2" t="s">
        <v>1228</v>
      </c>
      <c r="M67" s="2" t="s">
        <v>548</v>
      </c>
      <c r="N67" s="2" t="s">
        <v>961</v>
      </c>
      <c r="O67" s="2" t="s">
        <v>35</v>
      </c>
      <c r="P67" s="2" t="s">
        <v>59</v>
      </c>
      <c r="Q67" s="2" t="s">
        <v>962</v>
      </c>
      <c r="R67" s="2">
        <v>4</v>
      </c>
      <c r="S67" s="2">
        <v>5</v>
      </c>
      <c r="T67" s="2" t="str">
        <f t="shared" ref="T67:T96" si="5">IF(OR(R67="",S67=""),"",IF(R67=S67,TEXT(R67,"0"),TEXT(R67,"0")&amp;"–"&amp;TEXT(S67,"0")))</f>
        <v>4–5</v>
      </c>
      <c r="U67" s="2" t="s">
        <v>277</v>
      </c>
      <c r="V67" s="2" t="s">
        <v>963</v>
      </c>
      <c r="W67" s="2" t="s">
        <v>963</v>
      </c>
      <c r="X67" s="2" t="s">
        <v>964</v>
      </c>
      <c r="Y67" s="2" t="s">
        <v>965</v>
      </c>
      <c r="Z67" s="2" t="s">
        <v>966</v>
      </c>
      <c r="AA67" s="2" t="s">
        <v>1288</v>
      </c>
      <c r="AB67" s="2" t="s">
        <v>1077</v>
      </c>
      <c r="AC67" s="2" t="s">
        <v>1289</v>
      </c>
      <c r="AD67" s="2" t="s">
        <v>1096</v>
      </c>
      <c r="AE67" s="2" t="s">
        <v>989</v>
      </c>
      <c r="AF67" s="2" t="s">
        <v>972</v>
      </c>
      <c r="AG67" s="2" t="s">
        <v>973</v>
      </c>
      <c r="AH67" s="2" t="s">
        <v>974</v>
      </c>
    </row>
    <row r="68" spans="1:34" ht="40.5" x14ac:dyDescent="0.25">
      <c r="A68" s="2" t="s">
        <v>278</v>
      </c>
      <c r="B68" s="2" t="s">
        <v>34</v>
      </c>
      <c r="C68" s="2" t="s">
        <v>954</v>
      </c>
      <c r="D68" s="2">
        <v>2018</v>
      </c>
      <c r="E68" s="2" t="str">
        <f t="shared" si="4"/>
        <v>2016–2019</v>
      </c>
      <c r="F68" s="2" t="s">
        <v>279</v>
      </c>
      <c r="G68" s="2" t="s">
        <v>1136</v>
      </c>
      <c r="H68" s="2" t="s">
        <v>1189</v>
      </c>
      <c r="I68" s="2" t="s">
        <v>1190</v>
      </c>
      <c r="J68" s="2" t="s">
        <v>543</v>
      </c>
      <c r="K68" s="2" t="s">
        <v>1290</v>
      </c>
      <c r="L68" s="2" t="s">
        <v>1228</v>
      </c>
      <c r="M68" s="2" t="s">
        <v>548</v>
      </c>
      <c r="N68" s="2" t="s">
        <v>1291</v>
      </c>
      <c r="O68" s="2" t="s">
        <v>35</v>
      </c>
      <c r="P68" s="2" t="s">
        <v>62</v>
      </c>
      <c r="Q68" s="2" t="s">
        <v>962</v>
      </c>
      <c r="R68" s="2">
        <v>7</v>
      </c>
      <c r="S68" s="2">
        <v>8</v>
      </c>
      <c r="T68" s="2" t="str">
        <f t="shared" si="5"/>
        <v>7–8</v>
      </c>
      <c r="U68" s="2" t="s">
        <v>280</v>
      </c>
      <c r="V68" s="2" t="s">
        <v>963</v>
      </c>
      <c r="W68" s="2" t="s">
        <v>963</v>
      </c>
      <c r="X68" s="2" t="s">
        <v>1292</v>
      </c>
      <c r="Y68" s="2" t="s">
        <v>965</v>
      </c>
      <c r="Z68" s="2" t="s">
        <v>966</v>
      </c>
      <c r="AA68" s="2" t="s">
        <v>1293</v>
      </c>
      <c r="AB68" s="2" t="s">
        <v>1181</v>
      </c>
      <c r="AC68" s="2" t="s">
        <v>1294</v>
      </c>
      <c r="AD68" s="2" t="s">
        <v>970</v>
      </c>
      <c r="AE68" s="2" t="s">
        <v>971</v>
      </c>
      <c r="AF68" s="2" t="s">
        <v>1202</v>
      </c>
      <c r="AG68" s="2" t="s">
        <v>973</v>
      </c>
      <c r="AH68" s="2" t="s">
        <v>974</v>
      </c>
    </row>
    <row r="69" spans="1:34" ht="27" x14ac:dyDescent="0.25">
      <c r="A69" s="2" t="s">
        <v>281</v>
      </c>
      <c r="B69" s="2" t="s">
        <v>34</v>
      </c>
      <c r="C69" s="2" t="s">
        <v>954</v>
      </c>
      <c r="D69" s="2">
        <v>2018</v>
      </c>
      <c r="E69" s="2" t="str">
        <f t="shared" si="4"/>
        <v>2016–2019</v>
      </c>
      <c r="F69" s="2" t="s">
        <v>282</v>
      </c>
      <c r="G69" s="2" t="s">
        <v>1136</v>
      </c>
      <c r="H69" s="2" t="s">
        <v>1295</v>
      </c>
      <c r="I69" s="2" t="s">
        <v>1190</v>
      </c>
      <c r="J69" s="2" t="s">
        <v>543</v>
      </c>
      <c r="K69" s="2" t="s">
        <v>958</v>
      </c>
      <c r="L69" s="2" t="s">
        <v>1228</v>
      </c>
      <c r="M69" s="2" t="s">
        <v>548</v>
      </c>
      <c r="N69" s="2" t="s">
        <v>961</v>
      </c>
      <c r="O69" s="2" t="s">
        <v>35</v>
      </c>
      <c r="P69" s="2" t="s">
        <v>59</v>
      </c>
      <c r="Q69" s="2" t="s">
        <v>962</v>
      </c>
      <c r="R69" s="2">
        <v>4</v>
      </c>
      <c r="S69" s="2">
        <v>5</v>
      </c>
      <c r="T69" s="2" t="str">
        <f t="shared" si="5"/>
        <v>4–5</v>
      </c>
      <c r="U69" s="2" t="s">
        <v>283</v>
      </c>
      <c r="V69" s="2" t="s">
        <v>963</v>
      </c>
      <c r="W69" s="2" t="s">
        <v>963</v>
      </c>
      <c r="X69" s="2" t="s">
        <v>1296</v>
      </c>
      <c r="Y69" s="2" t="s">
        <v>965</v>
      </c>
      <c r="Z69" s="2" t="s">
        <v>966</v>
      </c>
      <c r="AA69" s="2" t="s">
        <v>1297</v>
      </c>
      <c r="AB69" s="2" t="s">
        <v>968</v>
      </c>
      <c r="AC69" s="2" t="s">
        <v>1298</v>
      </c>
      <c r="AD69" s="2" t="s">
        <v>970</v>
      </c>
      <c r="AE69" s="2" t="s">
        <v>989</v>
      </c>
      <c r="AF69" s="2" t="s">
        <v>972</v>
      </c>
      <c r="AG69" s="2" t="s">
        <v>973</v>
      </c>
      <c r="AH69" s="2" t="s">
        <v>974</v>
      </c>
    </row>
    <row r="70" spans="1:34" ht="40.5" x14ac:dyDescent="0.25">
      <c r="A70" s="2" t="s">
        <v>284</v>
      </c>
      <c r="B70" s="2" t="s">
        <v>34</v>
      </c>
      <c r="C70" s="2" t="s">
        <v>954</v>
      </c>
      <c r="D70" s="2">
        <v>2019</v>
      </c>
      <c r="E70" s="2" t="str">
        <f t="shared" si="4"/>
        <v>2016–2019</v>
      </c>
      <c r="F70" s="2" t="s">
        <v>285</v>
      </c>
      <c r="G70" s="2" t="s">
        <v>1136</v>
      </c>
      <c r="H70" s="2" t="s">
        <v>1189</v>
      </c>
      <c r="I70" s="2" t="s">
        <v>1190</v>
      </c>
      <c r="J70" s="2" t="s">
        <v>543</v>
      </c>
      <c r="K70" s="2" t="s">
        <v>958</v>
      </c>
      <c r="L70" s="2" t="s">
        <v>1299</v>
      </c>
      <c r="M70" s="2" t="s">
        <v>548</v>
      </c>
      <c r="N70" s="2" t="s">
        <v>1300</v>
      </c>
      <c r="O70" s="2" t="s">
        <v>35</v>
      </c>
      <c r="P70" s="2" t="s">
        <v>44</v>
      </c>
      <c r="Q70" s="2" t="s">
        <v>962</v>
      </c>
      <c r="R70" s="2">
        <v>2</v>
      </c>
      <c r="S70" s="2">
        <v>3</v>
      </c>
      <c r="T70" s="2" t="str">
        <f t="shared" si="5"/>
        <v>2–3</v>
      </c>
      <c r="U70" s="2" t="s">
        <v>286</v>
      </c>
      <c r="V70" s="2" t="s">
        <v>963</v>
      </c>
      <c r="W70" s="2" t="s">
        <v>963</v>
      </c>
      <c r="X70" s="2" t="s">
        <v>1301</v>
      </c>
      <c r="Y70" s="2" t="s">
        <v>965</v>
      </c>
      <c r="Z70" s="2" t="s">
        <v>966</v>
      </c>
      <c r="AA70" s="2" t="s">
        <v>1138</v>
      </c>
      <c r="AB70" s="2" t="s">
        <v>1260</v>
      </c>
      <c r="AC70" s="2" t="s">
        <v>1302</v>
      </c>
      <c r="AD70" s="2" t="s">
        <v>983</v>
      </c>
      <c r="AE70" s="2" t="s">
        <v>989</v>
      </c>
      <c r="AF70" s="2" t="s">
        <v>972</v>
      </c>
      <c r="AG70" s="2" t="s">
        <v>973</v>
      </c>
      <c r="AH70" s="2" t="s">
        <v>974</v>
      </c>
    </row>
    <row r="71" spans="1:34" ht="54" x14ac:dyDescent="0.25">
      <c r="A71" s="2" t="s">
        <v>287</v>
      </c>
      <c r="B71" s="2" t="s">
        <v>34</v>
      </c>
      <c r="C71" s="2" t="s">
        <v>954</v>
      </c>
      <c r="D71" s="2">
        <v>2020</v>
      </c>
      <c r="E71" s="2" t="str">
        <f t="shared" si="4"/>
        <v>2020–2022</v>
      </c>
      <c r="F71" s="2" t="s">
        <v>288</v>
      </c>
      <c r="G71" s="2" t="s">
        <v>1136</v>
      </c>
      <c r="H71" s="2" t="s">
        <v>1189</v>
      </c>
      <c r="I71" s="2" t="s">
        <v>1190</v>
      </c>
      <c r="J71" s="2" t="s">
        <v>543</v>
      </c>
      <c r="K71" s="2" t="s">
        <v>958</v>
      </c>
      <c r="L71" s="2" t="s">
        <v>1228</v>
      </c>
      <c r="M71" s="2" t="s">
        <v>548</v>
      </c>
      <c r="N71" s="2" t="s">
        <v>961</v>
      </c>
      <c r="O71" s="2" t="s">
        <v>35</v>
      </c>
      <c r="P71" s="2" t="s">
        <v>59</v>
      </c>
      <c r="Q71" s="2" t="s">
        <v>962</v>
      </c>
      <c r="R71" s="2">
        <v>4</v>
      </c>
      <c r="S71" s="2">
        <v>5</v>
      </c>
      <c r="T71" s="2" t="str">
        <f t="shared" si="5"/>
        <v>4–5</v>
      </c>
      <c r="U71" s="2" t="s">
        <v>289</v>
      </c>
      <c r="V71" s="2" t="s">
        <v>963</v>
      </c>
      <c r="W71" s="2" t="s">
        <v>963</v>
      </c>
      <c r="X71" s="2" t="s">
        <v>1036</v>
      </c>
      <c r="Y71" s="2" t="s">
        <v>965</v>
      </c>
      <c r="Z71" s="2" t="s">
        <v>966</v>
      </c>
      <c r="AA71" s="2" t="s">
        <v>1303</v>
      </c>
      <c r="AB71" s="2" t="s">
        <v>1077</v>
      </c>
      <c r="AC71" s="2" t="s">
        <v>1304</v>
      </c>
      <c r="AD71" s="2" t="s">
        <v>970</v>
      </c>
      <c r="AE71" s="2" t="s">
        <v>971</v>
      </c>
      <c r="AF71" s="2" t="s">
        <v>972</v>
      </c>
      <c r="AG71" s="2" t="s">
        <v>973</v>
      </c>
      <c r="AH71" s="2" t="s">
        <v>974</v>
      </c>
    </row>
    <row r="72" spans="1:34" ht="40.5" x14ac:dyDescent="0.25">
      <c r="A72" s="2" t="s">
        <v>290</v>
      </c>
      <c r="B72" s="2" t="s">
        <v>34</v>
      </c>
      <c r="C72" s="2" t="s">
        <v>954</v>
      </c>
      <c r="D72" s="2">
        <v>2020</v>
      </c>
      <c r="E72" s="2" t="str">
        <f t="shared" si="4"/>
        <v>2020–2022</v>
      </c>
      <c r="F72" s="2" t="s">
        <v>291</v>
      </c>
      <c r="G72" s="2" t="s">
        <v>1136</v>
      </c>
      <c r="H72" s="2" t="s">
        <v>1189</v>
      </c>
      <c r="I72" s="2" t="s">
        <v>1190</v>
      </c>
      <c r="J72" s="2" t="s">
        <v>543</v>
      </c>
      <c r="K72" s="2" t="s">
        <v>958</v>
      </c>
      <c r="L72" s="2" t="s">
        <v>1299</v>
      </c>
      <c r="M72" s="2" t="s">
        <v>548</v>
      </c>
      <c r="N72" s="2" t="s">
        <v>961</v>
      </c>
      <c r="O72" s="2" t="s">
        <v>35</v>
      </c>
      <c r="P72" s="2" t="s">
        <v>59</v>
      </c>
      <c r="Q72" s="2" t="s">
        <v>962</v>
      </c>
      <c r="R72" s="2">
        <v>4</v>
      </c>
      <c r="S72" s="2">
        <v>5</v>
      </c>
      <c r="T72" s="2" t="str">
        <f t="shared" si="5"/>
        <v>4–5</v>
      </c>
      <c r="U72" s="2" t="s">
        <v>292</v>
      </c>
      <c r="V72" s="2" t="s">
        <v>963</v>
      </c>
      <c r="W72" s="2" t="s">
        <v>963</v>
      </c>
      <c r="X72" s="2" t="s">
        <v>1036</v>
      </c>
      <c r="Y72" s="2" t="s">
        <v>965</v>
      </c>
      <c r="Z72" s="2" t="s">
        <v>966</v>
      </c>
      <c r="AA72" s="2" t="s">
        <v>1305</v>
      </c>
      <c r="AB72" s="2" t="s">
        <v>968</v>
      </c>
      <c r="AC72" s="2" t="s">
        <v>996</v>
      </c>
      <c r="AD72" s="2" t="s">
        <v>970</v>
      </c>
      <c r="AE72" s="2" t="s">
        <v>971</v>
      </c>
      <c r="AF72" s="2" t="s">
        <v>972</v>
      </c>
      <c r="AG72" s="2" t="s">
        <v>973</v>
      </c>
      <c r="AH72" s="2" t="s">
        <v>974</v>
      </c>
    </row>
    <row r="73" spans="1:34" ht="40.5" x14ac:dyDescent="0.25">
      <c r="A73" s="2" t="s">
        <v>293</v>
      </c>
      <c r="B73" s="2" t="s">
        <v>34</v>
      </c>
      <c r="C73" s="2" t="s">
        <v>954</v>
      </c>
      <c r="D73" s="2">
        <v>2021</v>
      </c>
      <c r="E73" s="2" t="str">
        <f t="shared" si="4"/>
        <v>2020–2022</v>
      </c>
      <c r="F73" s="2" t="s">
        <v>294</v>
      </c>
      <c r="G73" s="2" t="s">
        <v>1136</v>
      </c>
      <c r="H73" s="2" t="s">
        <v>1189</v>
      </c>
      <c r="I73" s="2" t="s">
        <v>1190</v>
      </c>
      <c r="J73" s="2" t="s">
        <v>543</v>
      </c>
      <c r="K73" s="2" t="s">
        <v>958</v>
      </c>
      <c r="L73" s="2" t="s">
        <v>1228</v>
      </c>
      <c r="M73" s="2" t="s">
        <v>548</v>
      </c>
      <c r="N73" s="2" t="s">
        <v>961</v>
      </c>
      <c r="O73" s="2" t="s">
        <v>35</v>
      </c>
      <c r="P73" s="2" t="s">
        <v>59</v>
      </c>
      <c r="Q73" s="2" t="s">
        <v>962</v>
      </c>
      <c r="R73" s="2">
        <v>4</v>
      </c>
      <c r="S73" s="2">
        <v>5</v>
      </c>
      <c r="T73" s="2" t="str">
        <f t="shared" si="5"/>
        <v>4–5</v>
      </c>
      <c r="U73" s="2" t="s">
        <v>295</v>
      </c>
      <c r="V73" s="2" t="s">
        <v>963</v>
      </c>
      <c r="W73" s="2" t="s">
        <v>963</v>
      </c>
      <c r="X73" s="2" t="s">
        <v>1036</v>
      </c>
      <c r="Y73" s="2" t="s">
        <v>965</v>
      </c>
      <c r="Z73" s="2" t="s">
        <v>966</v>
      </c>
      <c r="AA73" s="2" t="s">
        <v>1306</v>
      </c>
      <c r="AB73" s="2" t="s">
        <v>1077</v>
      </c>
      <c r="AC73" s="2" t="s">
        <v>1307</v>
      </c>
      <c r="AD73" s="2" t="s">
        <v>970</v>
      </c>
      <c r="AE73" s="2" t="s">
        <v>971</v>
      </c>
      <c r="AF73" s="2" t="s">
        <v>972</v>
      </c>
      <c r="AG73" s="2" t="s">
        <v>973</v>
      </c>
      <c r="AH73" s="2" t="s">
        <v>974</v>
      </c>
    </row>
    <row r="74" spans="1:34" ht="27" x14ac:dyDescent="0.25">
      <c r="A74" s="2" t="s">
        <v>296</v>
      </c>
      <c r="B74" s="2" t="s">
        <v>34</v>
      </c>
      <c r="C74" s="2" t="s">
        <v>954</v>
      </c>
      <c r="D74" s="2">
        <v>2022</v>
      </c>
      <c r="E74" s="2" t="str">
        <f t="shared" si="4"/>
        <v>2020–2022</v>
      </c>
      <c r="F74" s="2" t="s">
        <v>297</v>
      </c>
      <c r="G74" s="2" t="s">
        <v>1136</v>
      </c>
      <c r="H74" s="2" t="s">
        <v>1189</v>
      </c>
      <c r="I74" s="2" t="s">
        <v>1190</v>
      </c>
      <c r="J74" s="2" t="s">
        <v>543</v>
      </c>
      <c r="K74" s="2" t="s">
        <v>958</v>
      </c>
      <c r="L74" s="2" t="s">
        <v>1228</v>
      </c>
      <c r="M74" s="2" t="s">
        <v>548</v>
      </c>
      <c r="N74" s="2" t="s">
        <v>961</v>
      </c>
      <c r="O74" s="2" t="s">
        <v>35</v>
      </c>
      <c r="P74" s="2" t="s">
        <v>59</v>
      </c>
      <c r="Q74" s="2" t="s">
        <v>962</v>
      </c>
      <c r="R74" s="2">
        <v>4</v>
      </c>
      <c r="S74" s="2">
        <v>5</v>
      </c>
      <c r="T74" s="2" t="str">
        <f t="shared" si="5"/>
        <v>4–5</v>
      </c>
      <c r="U74" s="2" t="s">
        <v>298</v>
      </c>
      <c r="V74" s="2" t="s">
        <v>963</v>
      </c>
      <c r="W74" s="2" t="s">
        <v>963</v>
      </c>
      <c r="X74" s="2" t="s">
        <v>1308</v>
      </c>
      <c r="Y74" s="2" t="s">
        <v>965</v>
      </c>
      <c r="Z74" s="2" t="s">
        <v>966</v>
      </c>
      <c r="AA74" s="2" t="s">
        <v>1309</v>
      </c>
      <c r="AB74" s="2" t="s">
        <v>1077</v>
      </c>
      <c r="AC74" s="2" t="s">
        <v>1310</v>
      </c>
      <c r="AD74" s="2" t="s">
        <v>970</v>
      </c>
      <c r="AE74" s="2" t="s">
        <v>989</v>
      </c>
      <c r="AF74" s="2" t="s">
        <v>972</v>
      </c>
      <c r="AG74" s="2" t="s">
        <v>973</v>
      </c>
      <c r="AH74" s="2" t="s">
        <v>974</v>
      </c>
    </row>
    <row r="75" spans="1:34" ht="40.5" x14ac:dyDescent="0.25">
      <c r="A75" s="2" t="s">
        <v>299</v>
      </c>
      <c r="B75" s="2" t="s">
        <v>34</v>
      </c>
      <c r="C75" s="2" t="s">
        <v>954</v>
      </c>
      <c r="D75" s="2">
        <v>2022</v>
      </c>
      <c r="E75" s="2" t="str">
        <f t="shared" si="4"/>
        <v>2020–2022</v>
      </c>
      <c r="F75" s="2" t="s">
        <v>300</v>
      </c>
      <c r="G75" s="2" t="s">
        <v>1136</v>
      </c>
      <c r="H75" s="2" t="s">
        <v>1189</v>
      </c>
      <c r="I75" s="2" t="s">
        <v>1252</v>
      </c>
      <c r="J75" s="2" t="s">
        <v>543</v>
      </c>
      <c r="K75" s="2" t="s">
        <v>958</v>
      </c>
      <c r="L75" s="2" t="s">
        <v>1311</v>
      </c>
      <c r="M75" s="2" t="s">
        <v>548</v>
      </c>
      <c r="N75" s="2" t="s">
        <v>961</v>
      </c>
      <c r="O75" s="2" t="s">
        <v>35</v>
      </c>
      <c r="P75" s="2" t="s">
        <v>59</v>
      </c>
      <c r="Q75" s="2" t="s">
        <v>962</v>
      </c>
      <c r="R75" s="2">
        <v>4</v>
      </c>
      <c r="S75" s="2">
        <v>5</v>
      </c>
      <c r="T75" s="2" t="str">
        <f t="shared" si="5"/>
        <v>4–5</v>
      </c>
      <c r="U75" s="2" t="s">
        <v>301</v>
      </c>
      <c r="V75" s="2" t="s">
        <v>963</v>
      </c>
      <c r="W75" s="2" t="s">
        <v>963</v>
      </c>
      <c r="X75" s="2" t="s">
        <v>1036</v>
      </c>
      <c r="Y75" s="2" t="s">
        <v>965</v>
      </c>
      <c r="Z75" s="2" t="s">
        <v>966</v>
      </c>
      <c r="AA75" s="2" t="s">
        <v>1312</v>
      </c>
      <c r="AB75" s="2" t="s">
        <v>1313</v>
      </c>
      <c r="AC75" s="2" t="s">
        <v>1314</v>
      </c>
      <c r="AD75" s="2" t="s">
        <v>970</v>
      </c>
      <c r="AE75" s="2" t="s">
        <v>971</v>
      </c>
      <c r="AF75" s="2" t="s">
        <v>972</v>
      </c>
      <c r="AG75" s="2" t="s">
        <v>973</v>
      </c>
      <c r="AH75" s="2" t="s">
        <v>974</v>
      </c>
    </row>
    <row r="76" spans="1:34" ht="40.5" x14ac:dyDescent="0.25">
      <c r="A76" s="2" t="s">
        <v>302</v>
      </c>
      <c r="B76" s="2" t="s">
        <v>34</v>
      </c>
      <c r="C76" s="2" t="s">
        <v>954</v>
      </c>
      <c r="D76" s="2">
        <v>2022</v>
      </c>
      <c r="E76" s="2" t="str">
        <f t="shared" si="4"/>
        <v>2020–2022</v>
      </c>
      <c r="F76" s="2" t="s">
        <v>303</v>
      </c>
      <c r="G76" s="2" t="s">
        <v>1136</v>
      </c>
      <c r="H76" s="2" t="s">
        <v>1189</v>
      </c>
      <c r="I76" s="2" t="s">
        <v>1190</v>
      </c>
      <c r="J76" s="2" t="s">
        <v>543</v>
      </c>
      <c r="K76" s="2" t="s">
        <v>958</v>
      </c>
      <c r="L76" s="2" t="s">
        <v>1228</v>
      </c>
      <c r="M76" s="2" t="s">
        <v>548</v>
      </c>
      <c r="N76" s="2" t="s">
        <v>961</v>
      </c>
      <c r="O76" s="2" t="s">
        <v>35</v>
      </c>
      <c r="P76" s="2" t="s">
        <v>59</v>
      </c>
      <c r="Q76" s="2" t="s">
        <v>962</v>
      </c>
      <c r="R76" s="2">
        <v>4</v>
      </c>
      <c r="S76" s="2">
        <v>5</v>
      </c>
      <c r="T76" s="2" t="str">
        <f t="shared" si="5"/>
        <v>4–5</v>
      </c>
      <c r="U76" s="2" t="s">
        <v>304</v>
      </c>
      <c r="V76" s="2" t="s">
        <v>963</v>
      </c>
      <c r="W76" s="2" t="s">
        <v>963</v>
      </c>
      <c r="X76" s="2" t="s">
        <v>1315</v>
      </c>
      <c r="Y76" s="2" t="s">
        <v>965</v>
      </c>
      <c r="Z76" s="2" t="s">
        <v>966</v>
      </c>
      <c r="AA76" s="2" t="s">
        <v>1316</v>
      </c>
      <c r="AB76" s="2" t="s">
        <v>987</v>
      </c>
      <c r="AC76" s="2" t="s">
        <v>1317</v>
      </c>
      <c r="AD76" s="2" t="s">
        <v>970</v>
      </c>
      <c r="AE76" s="2" t="s">
        <v>989</v>
      </c>
      <c r="AF76" s="2" t="s">
        <v>972</v>
      </c>
      <c r="AG76" s="2" t="s">
        <v>973</v>
      </c>
      <c r="AH76" s="2" t="s">
        <v>974</v>
      </c>
    </row>
    <row r="77" spans="1:34" ht="27" x14ac:dyDescent="0.25">
      <c r="A77" s="2" t="s">
        <v>305</v>
      </c>
      <c r="B77" s="2" t="s">
        <v>34</v>
      </c>
      <c r="C77" s="2" t="s">
        <v>954</v>
      </c>
      <c r="D77" s="2">
        <v>2022</v>
      </c>
      <c r="E77" s="2" t="str">
        <f t="shared" si="4"/>
        <v>2020–2022</v>
      </c>
      <c r="F77" s="2" t="s">
        <v>306</v>
      </c>
      <c r="G77" s="2" t="s">
        <v>1136</v>
      </c>
      <c r="H77" s="2" t="s">
        <v>1189</v>
      </c>
      <c r="I77" s="2" t="s">
        <v>1252</v>
      </c>
      <c r="J77" s="2" t="s">
        <v>543</v>
      </c>
      <c r="K77" s="2" t="s">
        <v>958</v>
      </c>
      <c r="L77" s="2" t="s">
        <v>1318</v>
      </c>
      <c r="M77" s="2" t="s">
        <v>548</v>
      </c>
      <c r="N77" s="2" t="s">
        <v>961</v>
      </c>
      <c r="O77" s="2" t="s">
        <v>35</v>
      </c>
      <c r="P77" s="2" t="s">
        <v>59</v>
      </c>
      <c r="Q77" s="2" t="s">
        <v>962</v>
      </c>
      <c r="R77" s="2">
        <v>4</v>
      </c>
      <c r="S77" s="2">
        <v>5</v>
      </c>
      <c r="T77" s="2" t="str">
        <f t="shared" si="5"/>
        <v>4–5</v>
      </c>
      <c r="U77" s="2" t="s">
        <v>307</v>
      </c>
      <c r="V77" s="2" t="s">
        <v>963</v>
      </c>
      <c r="W77" s="2" t="s">
        <v>963</v>
      </c>
      <c r="X77" s="2" t="s">
        <v>1319</v>
      </c>
      <c r="Y77" s="2" t="s">
        <v>965</v>
      </c>
      <c r="Z77" s="2" t="s">
        <v>966</v>
      </c>
      <c r="AA77" s="2" t="s">
        <v>1320</v>
      </c>
      <c r="AB77" s="2" t="s">
        <v>1077</v>
      </c>
      <c r="AC77" s="2" t="s">
        <v>1321</v>
      </c>
      <c r="AD77" s="2" t="s">
        <v>970</v>
      </c>
      <c r="AE77" s="2" t="s">
        <v>971</v>
      </c>
      <c r="AF77" s="2" t="s">
        <v>972</v>
      </c>
      <c r="AG77" s="2" t="s">
        <v>973</v>
      </c>
      <c r="AH77" s="2" t="s">
        <v>974</v>
      </c>
    </row>
    <row r="78" spans="1:34" ht="27" x14ac:dyDescent="0.25">
      <c r="A78" s="2" t="s">
        <v>308</v>
      </c>
      <c r="B78" s="2" t="s">
        <v>34</v>
      </c>
      <c r="C78" s="2" t="s">
        <v>954</v>
      </c>
      <c r="D78" s="2">
        <v>2022</v>
      </c>
      <c r="E78" s="2" t="str">
        <f t="shared" si="4"/>
        <v>2020–2022</v>
      </c>
      <c r="F78" s="2" t="s">
        <v>309</v>
      </c>
      <c r="G78" s="2" t="s">
        <v>1136</v>
      </c>
      <c r="H78" s="2" t="s">
        <v>1189</v>
      </c>
      <c r="I78" s="2" t="s">
        <v>1252</v>
      </c>
      <c r="J78" s="2" t="s">
        <v>543</v>
      </c>
      <c r="K78" s="2" t="s">
        <v>958</v>
      </c>
      <c r="L78" s="2" t="s">
        <v>1318</v>
      </c>
      <c r="M78" s="2" t="s">
        <v>548</v>
      </c>
      <c r="N78" s="2" t="s">
        <v>961</v>
      </c>
      <c r="O78" s="2" t="s">
        <v>35</v>
      </c>
      <c r="P78" s="2" t="s">
        <v>59</v>
      </c>
      <c r="Q78" s="2" t="s">
        <v>962</v>
      </c>
      <c r="R78" s="2">
        <v>4</v>
      </c>
      <c r="S78" s="2">
        <v>5</v>
      </c>
      <c r="T78" s="2" t="str">
        <f t="shared" si="5"/>
        <v>4–5</v>
      </c>
      <c r="U78" s="2" t="s">
        <v>310</v>
      </c>
      <c r="V78" s="2" t="s">
        <v>963</v>
      </c>
      <c r="W78" s="2" t="s">
        <v>963</v>
      </c>
      <c r="X78" s="2" t="s">
        <v>1322</v>
      </c>
      <c r="Y78" s="2" t="s">
        <v>965</v>
      </c>
      <c r="Z78" s="2" t="s">
        <v>966</v>
      </c>
      <c r="AA78" s="2" t="s">
        <v>1323</v>
      </c>
      <c r="AB78" s="2" t="s">
        <v>968</v>
      </c>
      <c r="AC78" s="2" t="s">
        <v>1324</v>
      </c>
      <c r="AD78" s="2" t="s">
        <v>970</v>
      </c>
      <c r="AE78" s="2" t="s">
        <v>971</v>
      </c>
      <c r="AF78" s="2" t="s">
        <v>972</v>
      </c>
      <c r="AG78" s="2" t="s">
        <v>973</v>
      </c>
      <c r="AH78" s="2" t="s">
        <v>974</v>
      </c>
    </row>
    <row r="79" spans="1:34" ht="27" x14ac:dyDescent="0.25">
      <c r="A79" s="2" t="s">
        <v>311</v>
      </c>
      <c r="B79" s="2" t="s">
        <v>34</v>
      </c>
      <c r="C79" s="2" t="s">
        <v>954</v>
      </c>
      <c r="D79" s="2">
        <v>2022</v>
      </c>
      <c r="E79" s="2" t="str">
        <f t="shared" si="4"/>
        <v>2020–2022</v>
      </c>
      <c r="F79" s="2" t="s">
        <v>312</v>
      </c>
      <c r="G79" s="2" t="s">
        <v>1136</v>
      </c>
      <c r="H79" s="2" t="s">
        <v>1189</v>
      </c>
      <c r="I79" s="2" t="s">
        <v>1252</v>
      </c>
      <c r="J79" s="2" t="s">
        <v>543</v>
      </c>
      <c r="K79" s="2" t="s">
        <v>958</v>
      </c>
      <c r="L79" s="2" t="s">
        <v>1318</v>
      </c>
      <c r="M79" s="2" t="s">
        <v>548</v>
      </c>
      <c r="N79" s="2" t="s">
        <v>961</v>
      </c>
      <c r="O79" s="2" t="s">
        <v>35</v>
      </c>
      <c r="P79" s="2" t="s">
        <v>59</v>
      </c>
      <c r="Q79" s="2" t="s">
        <v>962</v>
      </c>
      <c r="R79" s="2">
        <v>4</v>
      </c>
      <c r="S79" s="2">
        <v>5</v>
      </c>
      <c r="T79" s="2" t="str">
        <f t="shared" si="5"/>
        <v>4–5</v>
      </c>
      <c r="U79" s="2" t="s">
        <v>313</v>
      </c>
      <c r="V79" s="2" t="s">
        <v>963</v>
      </c>
      <c r="W79" s="2" t="s">
        <v>963</v>
      </c>
      <c r="X79" s="2" t="s">
        <v>1325</v>
      </c>
      <c r="Y79" s="2" t="s">
        <v>965</v>
      </c>
      <c r="Z79" s="2" t="s">
        <v>966</v>
      </c>
      <c r="AA79" s="2" t="s">
        <v>1326</v>
      </c>
      <c r="AB79" s="2" t="s">
        <v>1077</v>
      </c>
      <c r="AC79" s="2" t="s">
        <v>1327</v>
      </c>
      <c r="AD79" s="2" t="s">
        <v>970</v>
      </c>
      <c r="AE79" s="2" t="s">
        <v>971</v>
      </c>
      <c r="AF79" s="2" t="s">
        <v>972</v>
      </c>
      <c r="AG79" s="2" t="s">
        <v>973</v>
      </c>
      <c r="AH79" s="2" t="s">
        <v>974</v>
      </c>
    </row>
    <row r="80" spans="1:34" ht="40.5" x14ac:dyDescent="0.25">
      <c r="A80" s="2" t="s">
        <v>314</v>
      </c>
      <c r="B80" s="2" t="s">
        <v>34</v>
      </c>
      <c r="C80" s="2" t="s">
        <v>954</v>
      </c>
      <c r="D80" s="2">
        <v>2023</v>
      </c>
      <c r="E80" s="2" t="str">
        <f t="shared" si="4"/>
        <v>2023–2024</v>
      </c>
      <c r="F80" s="2" t="s">
        <v>262</v>
      </c>
      <c r="G80" s="2" t="s">
        <v>1136</v>
      </c>
      <c r="H80" s="2" t="s">
        <v>1189</v>
      </c>
      <c r="I80" s="2" t="s">
        <v>1190</v>
      </c>
      <c r="J80" s="2" t="s">
        <v>543</v>
      </c>
      <c r="K80" s="2" t="s">
        <v>958</v>
      </c>
      <c r="L80" s="2" t="s">
        <v>1228</v>
      </c>
      <c r="M80" s="2" t="s">
        <v>548</v>
      </c>
      <c r="N80" s="2" t="s">
        <v>961</v>
      </c>
      <c r="O80" s="2" t="s">
        <v>35</v>
      </c>
      <c r="P80" s="2" t="s">
        <v>59</v>
      </c>
      <c r="Q80" s="2" t="s">
        <v>962</v>
      </c>
      <c r="R80" s="2">
        <v>4</v>
      </c>
      <c r="S80" s="2">
        <v>5</v>
      </c>
      <c r="T80" s="2" t="str">
        <f t="shared" si="5"/>
        <v>4–5</v>
      </c>
      <c r="U80" s="2" t="s">
        <v>315</v>
      </c>
      <c r="V80" s="2" t="s">
        <v>963</v>
      </c>
      <c r="W80" s="2" t="s">
        <v>963</v>
      </c>
      <c r="X80" s="2" t="s">
        <v>1328</v>
      </c>
      <c r="Y80" s="2" t="s">
        <v>965</v>
      </c>
      <c r="Z80" s="2" t="s">
        <v>966</v>
      </c>
      <c r="AA80" s="2" t="s">
        <v>1329</v>
      </c>
      <c r="AB80" s="2" t="s">
        <v>968</v>
      </c>
      <c r="AC80" s="2" t="s">
        <v>1330</v>
      </c>
      <c r="AD80" s="2" t="s">
        <v>970</v>
      </c>
      <c r="AE80" s="2" t="s">
        <v>971</v>
      </c>
      <c r="AF80" s="2" t="s">
        <v>972</v>
      </c>
      <c r="AG80" s="2" t="s">
        <v>973</v>
      </c>
      <c r="AH80" s="2" t="s">
        <v>974</v>
      </c>
    </row>
    <row r="81" spans="1:34" ht="27" x14ac:dyDescent="0.25">
      <c r="A81" s="2" t="s">
        <v>316</v>
      </c>
      <c r="B81" s="2" t="s">
        <v>34</v>
      </c>
      <c r="C81" s="2" t="s">
        <v>954</v>
      </c>
      <c r="D81" s="2">
        <v>2023</v>
      </c>
      <c r="E81" s="2" t="str">
        <f t="shared" si="4"/>
        <v>2023–2024</v>
      </c>
      <c r="F81" s="2" t="s">
        <v>109</v>
      </c>
      <c r="G81" s="2" t="s">
        <v>1136</v>
      </c>
      <c r="H81" s="2" t="s">
        <v>1189</v>
      </c>
      <c r="I81" s="2" t="s">
        <v>1190</v>
      </c>
      <c r="J81" s="2" t="s">
        <v>543</v>
      </c>
      <c r="K81" s="2" t="s">
        <v>958</v>
      </c>
      <c r="L81" s="2" t="s">
        <v>1331</v>
      </c>
      <c r="M81" s="2" t="s">
        <v>548</v>
      </c>
      <c r="N81" s="2" t="s">
        <v>961</v>
      </c>
      <c r="O81" s="2" t="s">
        <v>35</v>
      </c>
      <c r="P81" s="2" t="s">
        <v>59</v>
      </c>
      <c r="Q81" s="2" t="s">
        <v>962</v>
      </c>
      <c r="R81" s="2">
        <v>4</v>
      </c>
      <c r="S81" s="2">
        <v>5</v>
      </c>
      <c r="T81" s="2" t="str">
        <f t="shared" si="5"/>
        <v>4–5</v>
      </c>
      <c r="U81" s="2" t="s">
        <v>317</v>
      </c>
      <c r="V81" s="2" t="s">
        <v>963</v>
      </c>
      <c r="W81" s="2" t="s">
        <v>963</v>
      </c>
      <c r="X81" s="2" t="s">
        <v>1332</v>
      </c>
      <c r="Y81" s="2" t="s">
        <v>965</v>
      </c>
      <c r="Z81" s="2" t="s">
        <v>966</v>
      </c>
      <c r="AA81" s="2" t="s">
        <v>1333</v>
      </c>
      <c r="AB81" s="2" t="s">
        <v>1077</v>
      </c>
      <c r="AC81" s="2" t="s">
        <v>1334</v>
      </c>
      <c r="AD81" s="2" t="s">
        <v>970</v>
      </c>
      <c r="AE81" s="2" t="s">
        <v>989</v>
      </c>
      <c r="AF81" s="2" t="s">
        <v>972</v>
      </c>
      <c r="AG81" s="2" t="s">
        <v>973</v>
      </c>
      <c r="AH81" s="2" t="s">
        <v>974</v>
      </c>
    </row>
    <row r="82" spans="1:34" ht="40.5" x14ac:dyDescent="0.25">
      <c r="A82" s="2" t="s">
        <v>318</v>
      </c>
      <c r="B82" s="2" t="s">
        <v>34</v>
      </c>
      <c r="C82" s="2" t="s">
        <v>954</v>
      </c>
      <c r="D82" s="2">
        <v>2023</v>
      </c>
      <c r="E82" s="2" t="str">
        <f t="shared" si="4"/>
        <v>2023–2024</v>
      </c>
      <c r="F82" s="2" t="s">
        <v>319</v>
      </c>
      <c r="G82" s="2" t="s">
        <v>1136</v>
      </c>
      <c r="H82" s="2" t="s">
        <v>1189</v>
      </c>
      <c r="I82" s="2" t="s">
        <v>1252</v>
      </c>
      <c r="J82" s="2" t="s">
        <v>543</v>
      </c>
      <c r="K82" s="2" t="s">
        <v>958</v>
      </c>
      <c r="L82" s="2" t="s">
        <v>1318</v>
      </c>
      <c r="M82" s="2" t="s">
        <v>548</v>
      </c>
      <c r="N82" s="2" t="s">
        <v>961</v>
      </c>
      <c r="O82" s="2" t="s">
        <v>35</v>
      </c>
      <c r="P82" s="2" t="s">
        <v>59</v>
      </c>
      <c r="Q82" s="2" t="s">
        <v>962</v>
      </c>
      <c r="R82" s="2">
        <v>4</v>
      </c>
      <c r="S82" s="2">
        <v>5</v>
      </c>
      <c r="T82" s="2" t="str">
        <f t="shared" si="5"/>
        <v>4–5</v>
      </c>
      <c r="U82" s="2" t="s">
        <v>320</v>
      </c>
      <c r="V82" s="2" t="s">
        <v>963</v>
      </c>
      <c r="W82" s="2" t="s">
        <v>963</v>
      </c>
      <c r="X82" s="2" t="s">
        <v>1335</v>
      </c>
      <c r="Y82" s="2" t="s">
        <v>965</v>
      </c>
      <c r="Z82" s="2" t="s">
        <v>966</v>
      </c>
      <c r="AA82" s="2" t="s">
        <v>1336</v>
      </c>
      <c r="AB82" s="2" t="s">
        <v>1077</v>
      </c>
      <c r="AC82" s="2" t="s">
        <v>1337</v>
      </c>
      <c r="AD82" s="2" t="s">
        <v>970</v>
      </c>
      <c r="AE82" s="2" t="s">
        <v>989</v>
      </c>
      <c r="AF82" s="2" t="s">
        <v>972</v>
      </c>
      <c r="AG82" s="2" t="s">
        <v>973</v>
      </c>
      <c r="AH82" s="2" t="s">
        <v>974</v>
      </c>
    </row>
    <row r="83" spans="1:34" ht="27" x14ac:dyDescent="0.25">
      <c r="A83" s="2" t="s">
        <v>321</v>
      </c>
      <c r="B83" s="2" t="s">
        <v>34</v>
      </c>
      <c r="C83" s="2" t="s">
        <v>954</v>
      </c>
      <c r="D83" s="2">
        <v>2023</v>
      </c>
      <c r="E83" s="2" t="str">
        <f t="shared" si="4"/>
        <v>2023–2024</v>
      </c>
      <c r="F83" s="2" t="s">
        <v>306</v>
      </c>
      <c r="G83" s="2" t="s">
        <v>1136</v>
      </c>
      <c r="H83" s="2" t="s">
        <v>1189</v>
      </c>
      <c r="I83" s="2" t="s">
        <v>1252</v>
      </c>
      <c r="J83" s="2" t="s">
        <v>543</v>
      </c>
      <c r="K83" s="2" t="s">
        <v>958</v>
      </c>
      <c r="L83" s="2" t="s">
        <v>1318</v>
      </c>
      <c r="M83" s="2" t="s">
        <v>548</v>
      </c>
      <c r="N83" s="2" t="s">
        <v>961</v>
      </c>
      <c r="O83" s="2" t="s">
        <v>35</v>
      </c>
      <c r="P83" s="2" t="s">
        <v>59</v>
      </c>
      <c r="Q83" s="2" t="s">
        <v>962</v>
      </c>
      <c r="R83" s="2">
        <v>4</v>
      </c>
      <c r="S83" s="2">
        <v>5</v>
      </c>
      <c r="T83" s="2" t="str">
        <f t="shared" si="5"/>
        <v>4–5</v>
      </c>
      <c r="U83" s="2" t="s">
        <v>322</v>
      </c>
      <c r="V83" s="2" t="s">
        <v>963</v>
      </c>
      <c r="W83" s="2" t="s">
        <v>963</v>
      </c>
      <c r="X83" s="2" t="s">
        <v>1338</v>
      </c>
      <c r="Y83" s="2" t="s">
        <v>965</v>
      </c>
      <c r="Z83" s="2" t="s">
        <v>966</v>
      </c>
      <c r="AA83" s="2" t="s">
        <v>1339</v>
      </c>
      <c r="AB83" s="2" t="s">
        <v>1077</v>
      </c>
      <c r="AC83" s="2" t="s">
        <v>1340</v>
      </c>
      <c r="AD83" s="2" t="s">
        <v>970</v>
      </c>
      <c r="AE83" s="2" t="s">
        <v>989</v>
      </c>
      <c r="AF83" s="2" t="s">
        <v>972</v>
      </c>
      <c r="AG83" s="2" t="s">
        <v>973</v>
      </c>
      <c r="AH83" s="2" t="s">
        <v>974</v>
      </c>
    </row>
    <row r="84" spans="1:34" ht="40.5" x14ac:dyDescent="0.25">
      <c r="A84" s="2" t="s">
        <v>323</v>
      </c>
      <c r="B84" s="2" t="s">
        <v>34</v>
      </c>
      <c r="C84" s="2" t="s">
        <v>954</v>
      </c>
      <c r="D84" s="2">
        <v>2023</v>
      </c>
      <c r="E84" s="2" t="str">
        <f t="shared" si="4"/>
        <v>2023–2024</v>
      </c>
      <c r="F84" s="2" t="s">
        <v>124</v>
      </c>
      <c r="G84" s="2" t="s">
        <v>1136</v>
      </c>
      <c r="H84" s="2" t="s">
        <v>1189</v>
      </c>
      <c r="I84" s="2" t="s">
        <v>1190</v>
      </c>
      <c r="J84" s="2" t="s">
        <v>1341</v>
      </c>
      <c r="K84" s="2" t="s">
        <v>958</v>
      </c>
      <c r="L84" s="2" t="s">
        <v>1342</v>
      </c>
      <c r="M84" s="2" t="s">
        <v>1205</v>
      </c>
      <c r="N84" s="2" t="s">
        <v>961</v>
      </c>
      <c r="O84" s="2" t="s">
        <v>35</v>
      </c>
      <c r="P84" s="2" t="s">
        <v>59</v>
      </c>
      <c r="Q84" s="2" t="s">
        <v>962</v>
      </c>
      <c r="R84" s="2">
        <v>4</v>
      </c>
      <c r="S84" s="2">
        <v>5</v>
      </c>
      <c r="T84" s="2" t="str">
        <f t="shared" si="5"/>
        <v>4–5</v>
      </c>
      <c r="U84" s="2" t="s">
        <v>324</v>
      </c>
      <c r="V84" s="2" t="s">
        <v>963</v>
      </c>
      <c r="W84" s="2" t="s">
        <v>963</v>
      </c>
      <c r="X84" s="2" t="s">
        <v>1343</v>
      </c>
      <c r="Y84" s="2" t="s">
        <v>965</v>
      </c>
      <c r="Z84" s="2" t="s">
        <v>966</v>
      </c>
      <c r="AA84" s="2" t="s">
        <v>1344</v>
      </c>
      <c r="AB84" s="2" t="s">
        <v>968</v>
      </c>
      <c r="AC84" s="2" t="s">
        <v>1345</v>
      </c>
      <c r="AD84" s="2" t="s">
        <v>1096</v>
      </c>
      <c r="AE84" s="2" t="s">
        <v>971</v>
      </c>
      <c r="AF84" s="2" t="s">
        <v>972</v>
      </c>
      <c r="AG84" s="2" t="s">
        <v>973</v>
      </c>
      <c r="AH84" s="2" t="s">
        <v>974</v>
      </c>
    </row>
    <row r="85" spans="1:34" ht="27" x14ac:dyDescent="0.25">
      <c r="A85" s="2" t="s">
        <v>325</v>
      </c>
      <c r="B85" s="2" t="s">
        <v>34</v>
      </c>
      <c r="C85" s="2" t="s">
        <v>954</v>
      </c>
      <c r="D85" s="2">
        <v>2023</v>
      </c>
      <c r="E85" s="2" t="str">
        <f t="shared" si="4"/>
        <v>2023–2024</v>
      </c>
      <c r="F85" s="2" t="s">
        <v>326</v>
      </c>
      <c r="G85" s="2" t="s">
        <v>1136</v>
      </c>
      <c r="H85" s="2" t="s">
        <v>1189</v>
      </c>
      <c r="I85" s="2" t="s">
        <v>1252</v>
      </c>
      <c r="J85" s="2" t="s">
        <v>543</v>
      </c>
      <c r="K85" s="2" t="s">
        <v>958</v>
      </c>
      <c r="L85" s="2" t="s">
        <v>1318</v>
      </c>
      <c r="M85" s="2" t="s">
        <v>548</v>
      </c>
      <c r="N85" s="2" t="s">
        <v>961</v>
      </c>
      <c r="O85" s="2" t="s">
        <v>35</v>
      </c>
      <c r="P85" s="2" t="s">
        <v>59</v>
      </c>
      <c r="Q85" s="2" t="s">
        <v>962</v>
      </c>
      <c r="R85" s="2">
        <v>4</v>
      </c>
      <c r="S85" s="2">
        <v>5</v>
      </c>
      <c r="T85" s="2" t="str">
        <f t="shared" si="5"/>
        <v>4–5</v>
      </c>
      <c r="U85" s="2" t="s">
        <v>327</v>
      </c>
      <c r="V85" s="2" t="s">
        <v>963</v>
      </c>
      <c r="W85" s="2" t="s">
        <v>963</v>
      </c>
      <c r="X85" s="2" t="s">
        <v>1346</v>
      </c>
      <c r="Y85" s="2" t="s">
        <v>965</v>
      </c>
      <c r="Z85" s="2" t="s">
        <v>966</v>
      </c>
      <c r="AA85" s="2" t="s">
        <v>1138</v>
      </c>
      <c r="AB85" s="2" t="s">
        <v>968</v>
      </c>
      <c r="AC85" s="2" t="s">
        <v>1347</v>
      </c>
      <c r="AD85" s="2" t="s">
        <v>970</v>
      </c>
      <c r="AE85" s="2" t="s">
        <v>971</v>
      </c>
      <c r="AF85" s="2" t="s">
        <v>972</v>
      </c>
      <c r="AG85" s="2" t="s">
        <v>973</v>
      </c>
      <c r="AH85" s="2" t="s">
        <v>974</v>
      </c>
    </row>
    <row r="86" spans="1:34" ht="40.5" x14ac:dyDescent="0.25">
      <c r="A86" s="2" t="s">
        <v>328</v>
      </c>
      <c r="B86" s="2" t="s">
        <v>34</v>
      </c>
      <c r="C86" s="2" t="s">
        <v>954</v>
      </c>
      <c r="D86" s="2">
        <v>2023</v>
      </c>
      <c r="E86" s="2" t="str">
        <f t="shared" si="4"/>
        <v>2023–2024</v>
      </c>
      <c r="F86" s="2" t="s">
        <v>329</v>
      </c>
      <c r="G86" s="2" t="s">
        <v>1136</v>
      </c>
      <c r="H86" s="2" t="s">
        <v>1189</v>
      </c>
      <c r="I86" s="2" t="s">
        <v>1252</v>
      </c>
      <c r="J86" s="2" t="s">
        <v>543</v>
      </c>
      <c r="K86" s="2" t="s">
        <v>958</v>
      </c>
      <c r="L86" s="2" t="s">
        <v>1318</v>
      </c>
      <c r="M86" s="2" t="s">
        <v>548</v>
      </c>
      <c r="N86" s="2" t="s">
        <v>961</v>
      </c>
      <c r="O86" s="2" t="s">
        <v>35</v>
      </c>
      <c r="P86" s="2" t="s">
        <v>59</v>
      </c>
      <c r="Q86" s="2" t="s">
        <v>962</v>
      </c>
      <c r="R86" s="2">
        <v>4</v>
      </c>
      <c r="S86" s="2">
        <v>5</v>
      </c>
      <c r="T86" s="2" t="str">
        <f t="shared" si="5"/>
        <v>4–5</v>
      </c>
      <c r="U86" s="2" t="s">
        <v>330</v>
      </c>
      <c r="V86" s="2" t="s">
        <v>963</v>
      </c>
      <c r="W86" s="2" t="s">
        <v>963</v>
      </c>
      <c r="X86" s="2" t="s">
        <v>1348</v>
      </c>
      <c r="Y86" s="2" t="s">
        <v>965</v>
      </c>
      <c r="Z86" s="2" t="s">
        <v>966</v>
      </c>
      <c r="AA86" s="2" t="s">
        <v>1349</v>
      </c>
      <c r="AB86" s="2" t="s">
        <v>968</v>
      </c>
      <c r="AC86" s="2" t="s">
        <v>1350</v>
      </c>
      <c r="AD86" s="2" t="s">
        <v>970</v>
      </c>
      <c r="AE86" s="2" t="s">
        <v>971</v>
      </c>
      <c r="AF86" s="2" t="s">
        <v>972</v>
      </c>
      <c r="AG86" s="2" t="s">
        <v>973</v>
      </c>
      <c r="AH86" s="2" t="s">
        <v>974</v>
      </c>
    </row>
    <row r="87" spans="1:34" ht="27" x14ac:dyDescent="0.25">
      <c r="A87" s="2" t="s">
        <v>331</v>
      </c>
      <c r="B87" s="2" t="s">
        <v>34</v>
      </c>
      <c r="C87" s="2" t="s">
        <v>954</v>
      </c>
      <c r="D87" s="2">
        <v>2023</v>
      </c>
      <c r="E87" s="2" t="str">
        <f t="shared" si="4"/>
        <v>2023–2024</v>
      </c>
      <c r="F87" s="2" t="s">
        <v>332</v>
      </c>
      <c r="G87" s="2" t="s">
        <v>1136</v>
      </c>
      <c r="H87" s="2" t="s">
        <v>1189</v>
      </c>
      <c r="I87" s="2" t="s">
        <v>1252</v>
      </c>
      <c r="J87" s="2" t="s">
        <v>543</v>
      </c>
      <c r="K87" s="2" t="s">
        <v>958</v>
      </c>
      <c r="L87" s="2" t="s">
        <v>1351</v>
      </c>
      <c r="M87" s="2" t="s">
        <v>548</v>
      </c>
      <c r="N87" s="2" t="s">
        <v>961</v>
      </c>
      <c r="O87" s="2" t="s">
        <v>35</v>
      </c>
      <c r="P87" s="2" t="s">
        <v>59</v>
      </c>
      <c r="Q87" s="2" t="s">
        <v>962</v>
      </c>
      <c r="R87" s="2">
        <v>4</v>
      </c>
      <c r="S87" s="2">
        <v>5</v>
      </c>
      <c r="T87" s="2" t="str">
        <f t="shared" si="5"/>
        <v>4–5</v>
      </c>
      <c r="U87" s="2" t="s">
        <v>333</v>
      </c>
      <c r="V87" s="2" t="s">
        <v>963</v>
      </c>
      <c r="W87" s="2" t="s">
        <v>963</v>
      </c>
      <c r="X87" s="2" t="s">
        <v>1036</v>
      </c>
      <c r="Y87" s="2" t="s">
        <v>965</v>
      </c>
      <c r="Z87" s="2" t="s">
        <v>966</v>
      </c>
      <c r="AA87" s="2" t="s">
        <v>1352</v>
      </c>
      <c r="AB87" s="2" t="s">
        <v>1077</v>
      </c>
      <c r="AC87" s="2" t="s">
        <v>1353</v>
      </c>
      <c r="AD87" s="2" t="s">
        <v>970</v>
      </c>
      <c r="AE87" s="2" t="s">
        <v>971</v>
      </c>
      <c r="AF87" s="2" t="s">
        <v>972</v>
      </c>
      <c r="AG87" s="2" t="s">
        <v>973</v>
      </c>
      <c r="AH87" s="2" t="s">
        <v>974</v>
      </c>
    </row>
    <row r="88" spans="1:34" ht="27" x14ac:dyDescent="0.25">
      <c r="A88" s="2" t="s">
        <v>334</v>
      </c>
      <c r="B88" s="2" t="s">
        <v>34</v>
      </c>
      <c r="C88" s="2" t="s">
        <v>954</v>
      </c>
      <c r="D88" s="2">
        <v>2023</v>
      </c>
      <c r="E88" s="2" t="str">
        <f t="shared" si="4"/>
        <v>2023–2024</v>
      </c>
      <c r="F88" s="2" t="s">
        <v>335</v>
      </c>
      <c r="G88" s="2" t="s">
        <v>1136</v>
      </c>
      <c r="H88" s="2" t="s">
        <v>1189</v>
      </c>
      <c r="I88" s="2" t="s">
        <v>1252</v>
      </c>
      <c r="J88" s="2" t="s">
        <v>543</v>
      </c>
      <c r="K88" s="2" t="s">
        <v>958</v>
      </c>
      <c r="L88" s="2" t="s">
        <v>1318</v>
      </c>
      <c r="M88" s="2" t="s">
        <v>548</v>
      </c>
      <c r="N88" s="2" t="s">
        <v>961</v>
      </c>
      <c r="O88" s="2" t="s">
        <v>35</v>
      </c>
      <c r="P88" s="2" t="s">
        <v>59</v>
      </c>
      <c r="Q88" s="2" t="s">
        <v>962</v>
      </c>
      <c r="R88" s="2">
        <v>4</v>
      </c>
      <c r="S88" s="2">
        <v>5</v>
      </c>
      <c r="T88" s="2" t="str">
        <f t="shared" si="5"/>
        <v>4–5</v>
      </c>
      <c r="U88" s="2" t="s">
        <v>336</v>
      </c>
      <c r="V88" s="2" t="s">
        <v>963</v>
      </c>
      <c r="W88" s="2" t="s">
        <v>963</v>
      </c>
      <c r="X88" s="2" t="s">
        <v>1036</v>
      </c>
      <c r="Y88" s="2" t="s">
        <v>965</v>
      </c>
      <c r="Z88" s="2" t="s">
        <v>966</v>
      </c>
      <c r="AA88" s="2" t="s">
        <v>1138</v>
      </c>
      <c r="AB88" s="2" t="s">
        <v>968</v>
      </c>
      <c r="AC88" s="2" t="s">
        <v>996</v>
      </c>
      <c r="AD88" s="2" t="s">
        <v>970</v>
      </c>
      <c r="AE88" s="2" t="s">
        <v>989</v>
      </c>
      <c r="AF88" s="2" t="s">
        <v>972</v>
      </c>
      <c r="AG88" s="2" t="s">
        <v>973</v>
      </c>
      <c r="AH88" s="2" t="s">
        <v>974</v>
      </c>
    </row>
    <row r="89" spans="1:34" ht="27" x14ac:dyDescent="0.25">
      <c r="A89" s="2" t="s">
        <v>337</v>
      </c>
      <c r="B89" s="2" t="s">
        <v>34</v>
      </c>
      <c r="C89" s="2" t="s">
        <v>954</v>
      </c>
      <c r="D89" s="2">
        <v>2023</v>
      </c>
      <c r="E89" s="2" t="str">
        <f t="shared" si="4"/>
        <v>2023–2024</v>
      </c>
      <c r="F89" s="2" t="s">
        <v>338</v>
      </c>
      <c r="G89" s="2" t="s">
        <v>1136</v>
      </c>
      <c r="H89" s="2" t="s">
        <v>975</v>
      </c>
      <c r="I89" s="2" t="s">
        <v>1198</v>
      </c>
      <c r="J89" s="2" t="s">
        <v>543</v>
      </c>
      <c r="K89" s="2" t="s">
        <v>958</v>
      </c>
      <c r="L89" s="2" t="s">
        <v>1354</v>
      </c>
      <c r="M89" s="2" t="s">
        <v>548</v>
      </c>
      <c r="N89" s="2" t="s">
        <v>556</v>
      </c>
      <c r="O89" s="2" t="s">
        <v>35</v>
      </c>
      <c r="P89" s="2" t="s">
        <v>44</v>
      </c>
      <c r="Q89" s="2" t="s">
        <v>962</v>
      </c>
      <c r="R89" s="2">
        <v>2</v>
      </c>
      <c r="S89" s="2">
        <v>3</v>
      </c>
      <c r="T89" s="2" t="str">
        <f t="shared" si="5"/>
        <v>2–3</v>
      </c>
      <c r="U89" s="2" t="s">
        <v>339</v>
      </c>
      <c r="V89" s="2" t="s">
        <v>963</v>
      </c>
      <c r="W89" s="2" t="s">
        <v>963</v>
      </c>
      <c r="X89" s="2" t="s">
        <v>1355</v>
      </c>
      <c r="Y89" s="2" t="s">
        <v>965</v>
      </c>
      <c r="Z89" s="2" t="s">
        <v>966</v>
      </c>
      <c r="AA89" s="2" t="s">
        <v>1138</v>
      </c>
      <c r="AB89" s="2" t="s">
        <v>1077</v>
      </c>
      <c r="AC89" s="2" t="s">
        <v>1356</v>
      </c>
      <c r="AD89" s="2" t="s">
        <v>983</v>
      </c>
      <c r="AE89" s="2" t="s">
        <v>989</v>
      </c>
      <c r="AF89" s="2" t="s">
        <v>972</v>
      </c>
      <c r="AG89" s="2" t="s">
        <v>973</v>
      </c>
      <c r="AH89" s="2" t="s">
        <v>974</v>
      </c>
    </row>
    <row r="90" spans="1:34" ht="27" x14ac:dyDescent="0.25">
      <c r="A90" s="2" t="s">
        <v>340</v>
      </c>
      <c r="B90" s="2" t="s">
        <v>34</v>
      </c>
      <c r="C90" s="2" t="s">
        <v>954</v>
      </c>
      <c r="D90" s="2">
        <v>2024</v>
      </c>
      <c r="E90" s="2" t="str">
        <f t="shared" si="4"/>
        <v>2023–2024</v>
      </c>
      <c r="F90" s="2" t="s">
        <v>341</v>
      </c>
      <c r="G90" s="2" t="s">
        <v>1136</v>
      </c>
      <c r="H90" s="2" t="s">
        <v>1189</v>
      </c>
      <c r="I90" s="2" t="s">
        <v>1190</v>
      </c>
      <c r="J90" s="2" t="s">
        <v>543</v>
      </c>
      <c r="K90" s="2" t="s">
        <v>958</v>
      </c>
      <c r="L90" s="2" t="s">
        <v>1228</v>
      </c>
      <c r="M90" s="2" t="s">
        <v>548</v>
      </c>
      <c r="N90" s="2" t="s">
        <v>961</v>
      </c>
      <c r="O90" s="2" t="s">
        <v>35</v>
      </c>
      <c r="P90" s="2" t="s">
        <v>59</v>
      </c>
      <c r="Q90" s="2" t="s">
        <v>962</v>
      </c>
      <c r="R90" s="2">
        <v>4</v>
      </c>
      <c r="S90" s="2">
        <v>5</v>
      </c>
      <c r="T90" s="2" t="str">
        <f t="shared" si="5"/>
        <v>4–5</v>
      </c>
      <c r="U90" s="2" t="s">
        <v>342</v>
      </c>
      <c r="V90" s="2" t="s">
        <v>963</v>
      </c>
      <c r="W90" s="2" t="s">
        <v>963</v>
      </c>
      <c r="X90" s="2" t="s">
        <v>1357</v>
      </c>
      <c r="Y90" s="2" t="s">
        <v>965</v>
      </c>
      <c r="Z90" s="2" t="s">
        <v>966</v>
      </c>
      <c r="AA90" s="2" t="s">
        <v>1138</v>
      </c>
      <c r="AB90" s="2" t="s">
        <v>968</v>
      </c>
      <c r="AC90" s="2" t="s">
        <v>1358</v>
      </c>
      <c r="AD90" s="2" t="s">
        <v>983</v>
      </c>
      <c r="AE90" s="2" t="s">
        <v>989</v>
      </c>
      <c r="AF90" s="2" t="s">
        <v>972</v>
      </c>
      <c r="AG90" s="2" t="s">
        <v>973</v>
      </c>
      <c r="AH90" s="2" t="s">
        <v>974</v>
      </c>
    </row>
    <row r="91" spans="1:34" ht="27" x14ac:dyDescent="0.25">
      <c r="A91" s="2" t="s">
        <v>343</v>
      </c>
      <c r="B91" s="2" t="s">
        <v>34</v>
      </c>
      <c r="C91" s="2" t="s">
        <v>954</v>
      </c>
      <c r="D91" s="2">
        <v>2024</v>
      </c>
      <c r="E91" s="2" t="str">
        <f t="shared" si="4"/>
        <v>2023–2024</v>
      </c>
      <c r="F91" s="2" t="s">
        <v>344</v>
      </c>
      <c r="G91" s="2" t="s">
        <v>1136</v>
      </c>
      <c r="H91" s="2" t="s">
        <v>1189</v>
      </c>
      <c r="I91" s="2" t="s">
        <v>1252</v>
      </c>
      <c r="J91" s="2" t="s">
        <v>543</v>
      </c>
      <c r="K91" s="2" t="s">
        <v>958</v>
      </c>
      <c r="L91" s="2" t="s">
        <v>1213</v>
      </c>
      <c r="M91" s="2" t="s">
        <v>548</v>
      </c>
      <c r="N91" s="2" t="s">
        <v>961</v>
      </c>
      <c r="O91" s="2" t="s">
        <v>35</v>
      </c>
      <c r="P91" s="2" t="s">
        <v>59</v>
      </c>
      <c r="Q91" s="2" t="s">
        <v>962</v>
      </c>
      <c r="R91" s="2">
        <v>4</v>
      </c>
      <c r="S91" s="2">
        <v>5</v>
      </c>
      <c r="T91" s="2" t="str">
        <f t="shared" si="5"/>
        <v>4–5</v>
      </c>
      <c r="U91" s="2" t="s">
        <v>345</v>
      </c>
      <c r="V91" s="2" t="s">
        <v>963</v>
      </c>
      <c r="W91" s="2" t="s">
        <v>963</v>
      </c>
      <c r="X91" s="2" t="s">
        <v>1359</v>
      </c>
      <c r="Y91" s="2" t="s">
        <v>965</v>
      </c>
      <c r="Z91" s="2" t="s">
        <v>966</v>
      </c>
      <c r="AA91" s="2" t="s">
        <v>1360</v>
      </c>
      <c r="AB91" s="2" t="s">
        <v>1077</v>
      </c>
      <c r="AC91" s="2" t="s">
        <v>1361</v>
      </c>
      <c r="AD91" s="2" t="s">
        <v>970</v>
      </c>
      <c r="AE91" s="2" t="s">
        <v>971</v>
      </c>
      <c r="AF91" s="2" t="s">
        <v>972</v>
      </c>
      <c r="AG91" s="2" t="s">
        <v>973</v>
      </c>
      <c r="AH91" s="2" t="s">
        <v>974</v>
      </c>
    </row>
    <row r="92" spans="1:34" ht="40.5" x14ac:dyDescent="0.25">
      <c r="A92" s="2" t="s">
        <v>346</v>
      </c>
      <c r="B92" s="2" t="s">
        <v>34</v>
      </c>
      <c r="C92" s="2" t="s">
        <v>954</v>
      </c>
      <c r="D92" s="2">
        <v>2024</v>
      </c>
      <c r="E92" s="2" t="str">
        <f t="shared" si="4"/>
        <v>2023–2024</v>
      </c>
      <c r="F92" s="2" t="s">
        <v>347</v>
      </c>
      <c r="G92" s="2" t="s">
        <v>1136</v>
      </c>
      <c r="H92" s="2" t="s">
        <v>1189</v>
      </c>
      <c r="I92" s="2" t="s">
        <v>1252</v>
      </c>
      <c r="J92" s="2" t="s">
        <v>543</v>
      </c>
      <c r="K92" s="2" t="s">
        <v>958</v>
      </c>
      <c r="L92" s="2" t="s">
        <v>1318</v>
      </c>
      <c r="M92" s="2" t="s">
        <v>548</v>
      </c>
      <c r="N92" s="2" t="s">
        <v>961</v>
      </c>
      <c r="O92" s="2" t="s">
        <v>35</v>
      </c>
      <c r="P92" s="2" t="s">
        <v>59</v>
      </c>
      <c r="Q92" s="2" t="s">
        <v>962</v>
      </c>
      <c r="R92" s="2">
        <v>4</v>
      </c>
      <c r="S92" s="2">
        <v>5</v>
      </c>
      <c r="T92" s="2" t="str">
        <f t="shared" si="5"/>
        <v>4–5</v>
      </c>
      <c r="U92" s="2" t="s">
        <v>348</v>
      </c>
      <c r="V92" s="2" t="s">
        <v>963</v>
      </c>
      <c r="W92" s="2" t="s">
        <v>963</v>
      </c>
      <c r="X92" s="2" t="s">
        <v>1362</v>
      </c>
      <c r="Y92" s="2" t="s">
        <v>965</v>
      </c>
      <c r="Z92" s="2" t="s">
        <v>966</v>
      </c>
      <c r="AA92" s="2" t="s">
        <v>1363</v>
      </c>
      <c r="AB92" s="2" t="s">
        <v>987</v>
      </c>
      <c r="AC92" s="2" t="s">
        <v>1364</v>
      </c>
      <c r="AD92" s="2" t="s">
        <v>970</v>
      </c>
      <c r="AE92" s="2" t="s">
        <v>989</v>
      </c>
      <c r="AF92" s="2" t="s">
        <v>972</v>
      </c>
      <c r="AG92" s="2" t="s">
        <v>973</v>
      </c>
      <c r="AH92" s="2" t="s">
        <v>974</v>
      </c>
    </row>
    <row r="93" spans="1:34" ht="40.5" x14ac:dyDescent="0.25">
      <c r="A93" s="2" t="s">
        <v>349</v>
      </c>
      <c r="B93" s="2" t="s">
        <v>34</v>
      </c>
      <c r="C93" s="2" t="s">
        <v>954</v>
      </c>
      <c r="D93" s="2">
        <v>2025</v>
      </c>
      <c r="E93" s="2" t="str">
        <f t="shared" si="4"/>
        <v>2025–2026</v>
      </c>
      <c r="F93" s="2" t="s">
        <v>350</v>
      </c>
      <c r="G93" s="2" t="s">
        <v>1136</v>
      </c>
      <c r="H93" s="2" t="s">
        <v>1189</v>
      </c>
      <c r="I93" s="2" t="s">
        <v>1190</v>
      </c>
      <c r="J93" s="2" t="s">
        <v>543</v>
      </c>
      <c r="K93" s="2" t="s">
        <v>958</v>
      </c>
      <c r="L93" s="2" t="s">
        <v>1228</v>
      </c>
      <c r="M93" s="2" t="s">
        <v>548</v>
      </c>
      <c r="N93" s="2" t="s">
        <v>961</v>
      </c>
      <c r="O93" s="2" t="s">
        <v>35</v>
      </c>
      <c r="P93" s="2" t="s">
        <v>59</v>
      </c>
      <c r="Q93" s="2" t="s">
        <v>962</v>
      </c>
      <c r="R93" s="2">
        <v>4</v>
      </c>
      <c r="S93" s="2">
        <v>5</v>
      </c>
      <c r="T93" s="2" t="str">
        <f t="shared" si="5"/>
        <v>4–5</v>
      </c>
      <c r="U93" s="2" t="s">
        <v>351</v>
      </c>
      <c r="V93" s="2" t="s">
        <v>963</v>
      </c>
      <c r="W93" s="2" t="s">
        <v>963</v>
      </c>
      <c r="X93" s="2" t="s">
        <v>1365</v>
      </c>
      <c r="Y93" s="2" t="s">
        <v>965</v>
      </c>
      <c r="Z93" s="2" t="s">
        <v>966</v>
      </c>
      <c r="AA93" s="2" t="s">
        <v>1366</v>
      </c>
      <c r="AB93" s="2" t="s">
        <v>1077</v>
      </c>
      <c r="AC93" s="2" t="s">
        <v>1367</v>
      </c>
      <c r="AD93" s="2" t="s">
        <v>970</v>
      </c>
      <c r="AE93" s="2" t="s">
        <v>989</v>
      </c>
      <c r="AF93" s="2" t="s">
        <v>972</v>
      </c>
      <c r="AG93" s="2" t="s">
        <v>973</v>
      </c>
      <c r="AH93" s="2" t="s">
        <v>974</v>
      </c>
    </row>
    <row r="94" spans="1:34" ht="40.5" x14ac:dyDescent="0.25">
      <c r="A94" s="2" t="s">
        <v>352</v>
      </c>
      <c r="B94" s="2" t="s">
        <v>34</v>
      </c>
      <c r="C94" s="2" t="s">
        <v>954</v>
      </c>
      <c r="D94" s="2">
        <v>2025</v>
      </c>
      <c r="E94" s="2" t="str">
        <f t="shared" si="4"/>
        <v>2025–2026</v>
      </c>
      <c r="F94" s="2" t="s">
        <v>214</v>
      </c>
      <c r="G94" s="2" t="s">
        <v>1136</v>
      </c>
      <c r="H94" s="2" t="s">
        <v>1189</v>
      </c>
      <c r="I94" s="2" t="s">
        <v>1190</v>
      </c>
      <c r="J94" s="2" t="s">
        <v>543</v>
      </c>
      <c r="K94" s="2" t="s">
        <v>958</v>
      </c>
      <c r="L94" s="2" t="s">
        <v>1228</v>
      </c>
      <c r="M94" s="2" t="s">
        <v>548</v>
      </c>
      <c r="N94" s="2" t="s">
        <v>961</v>
      </c>
      <c r="O94" s="2" t="s">
        <v>35</v>
      </c>
      <c r="P94" s="2" t="s">
        <v>59</v>
      </c>
      <c r="Q94" s="2" t="s">
        <v>962</v>
      </c>
      <c r="R94" s="2">
        <v>4</v>
      </c>
      <c r="S94" s="2">
        <v>5</v>
      </c>
      <c r="T94" s="2" t="str">
        <f t="shared" si="5"/>
        <v>4–5</v>
      </c>
      <c r="U94" s="2" t="s">
        <v>353</v>
      </c>
      <c r="V94" s="2" t="s">
        <v>963</v>
      </c>
      <c r="W94" s="2" t="s">
        <v>963</v>
      </c>
      <c r="X94" s="2" t="s">
        <v>1368</v>
      </c>
      <c r="Y94" s="2" t="s">
        <v>965</v>
      </c>
      <c r="Z94" s="2" t="s">
        <v>966</v>
      </c>
      <c r="AA94" s="2" t="s">
        <v>1369</v>
      </c>
      <c r="AB94" s="2" t="s">
        <v>1077</v>
      </c>
      <c r="AC94" s="2" t="s">
        <v>1370</v>
      </c>
      <c r="AD94" s="2" t="s">
        <v>970</v>
      </c>
      <c r="AE94" s="2" t="s">
        <v>989</v>
      </c>
      <c r="AF94" s="2" t="s">
        <v>972</v>
      </c>
      <c r="AG94" s="2" t="s">
        <v>973</v>
      </c>
      <c r="AH94" s="2" t="s">
        <v>974</v>
      </c>
    </row>
    <row r="95" spans="1:34" ht="40.5" x14ac:dyDescent="0.25">
      <c r="A95" s="2" t="s">
        <v>354</v>
      </c>
      <c r="B95" s="2" t="s">
        <v>34</v>
      </c>
      <c r="C95" s="2" t="s">
        <v>954</v>
      </c>
      <c r="D95" s="2">
        <v>2025</v>
      </c>
      <c r="E95" s="2" t="str">
        <f t="shared" si="4"/>
        <v>2025–2026</v>
      </c>
      <c r="F95" s="2" t="s">
        <v>121</v>
      </c>
      <c r="G95" s="2" t="s">
        <v>1136</v>
      </c>
      <c r="H95" s="2" t="s">
        <v>1189</v>
      </c>
      <c r="I95" s="2" t="s">
        <v>1190</v>
      </c>
      <c r="J95" s="2" t="s">
        <v>543</v>
      </c>
      <c r="K95" s="2" t="s">
        <v>958</v>
      </c>
      <c r="L95" s="2" t="s">
        <v>1228</v>
      </c>
      <c r="M95" s="2" t="s">
        <v>548</v>
      </c>
      <c r="N95" s="2" t="s">
        <v>961</v>
      </c>
      <c r="O95" s="2" t="s">
        <v>35</v>
      </c>
      <c r="P95" s="2" t="s">
        <v>59</v>
      </c>
      <c r="Q95" s="2" t="s">
        <v>962</v>
      </c>
      <c r="R95" s="2">
        <v>4</v>
      </c>
      <c r="S95" s="2">
        <v>5</v>
      </c>
      <c r="T95" s="2" t="str">
        <f t="shared" si="5"/>
        <v>4–5</v>
      </c>
      <c r="U95" s="2" t="s">
        <v>355</v>
      </c>
      <c r="V95" s="2" t="s">
        <v>963</v>
      </c>
      <c r="W95" s="2" t="s">
        <v>963</v>
      </c>
      <c r="X95" s="2" t="s">
        <v>1371</v>
      </c>
      <c r="Y95" s="2" t="s">
        <v>965</v>
      </c>
      <c r="Z95" s="2" t="s">
        <v>966</v>
      </c>
      <c r="AA95" s="2" t="s">
        <v>1372</v>
      </c>
      <c r="AB95" s="2" t="s">
        <v>1077</v>
      </c>
      <c r="AC95" s="2" t="s">
        <v>1373</v>
      </c>
      <c r="AD95" s="2" t="s">
        <v>970</v>
      </c>
      <c r="AE95" s="2" t="s">
        <v>971</v>
      </c>
      <c r="AF95" s="2" t="s">
        <v>972</v>
      </c>
      <c r="AG95" s="2" t="s">
        <v>973</v>
      </c>
      <c r="AH95" s="2" t="s">
        <v>974</v>
      </c>
    </row>
    <row r="96" spans="1:34" ht="54" x14ac:dyDescent="0.25">
      <c r="A96" s="2" t="s">
        <v>356</v>
      </c>
      <c r="B96" s="2" t="s">
        <v>34</v>
      </c>
      <c r="C96" s="2" t="s">
        <v>954</v>
      </c>
      <c r="D96" s="2">
        <v>2026</v>
      </c>
      <c r="E96" s="2" t="str">
        <f t="shared" si="4"/>
        <v>2025–2026</v>
      </c>
      <c r="F96" s="2" t="s">
        <v>270</v>
      </c>
      <c r="G96" s="2" t="s">
        <v>1136</v>
      </c>
      <c r="H96" s="2" t="s">
        <v>1189</v>
      </c>
      <c r="I96" s="2" t="s">
        <v>1252</v>
      </c>
      <c r="J96" s="2" t="s">
        <v>543</v>
      </c>
      <c r="K96" s="2" t="s">
        <v>958</v>
      </c>
      <c r="L96" s="2" t="s">
        <v>1228</v>
      </c>
      <c r="M96" s="2" t="s">
        <v>960</v>
      </c>
      <c r="N96" s="2" t="s">
        <v>961</v>
      </c>
      <c r="O96" s="2" t="s">
        <v>35</v>
      </c>
      <c r="P96" s="2" t="s">
        <v>59</v>
      </c>
      <c r="Q96" s="2" t="s">
        <v>962</v>
      </c>
      <c r="R96" s="2">
        <v>4</v>
      </c>
      <c r="S96" s="2">
        <v>5</v>
      </c>
      <c r="T96" s="2" t="str">
        <f t="shared" si="5"/>
        <v>4–5</v>
      </c>
      <c r="U96" s="2" t="s">
        <v>357</v>
      </c>
      <c r="V96" s="2" t="s">
        <v>963</v>
      </c>
      <c r="W96" s="2" t="s">
        <v>963</v>
      </c>
      <c r="X96" s="2" t="s">
        <v>1036</v>
      </c>
      <c r="Y96" s="2" t="s">
        <v>965</v>
      </c>
      <c r="Z96" s="2" t="s">
        <v>966</v>
      </c>
      <c r="AA96" s="2" t="s">
        <v>1374</v>
      </c>
      <c r="AB96" s="2" t="s">
        <v>1375</v>
      </c>
      <c r="AC96" s="2" t="s">
        <v>996</v>
      </c>
      <c r="AD96" s="2" t="s">
        <v>970</v>
      </c>
      <c r="AE96" s="2" t="s">
        <v>971</v>
      </c>
      <c r="AF96" s="2" t="s">
        <v>972</v>
      </c>
      <c r="AG96" s="2" t="s">
        <v>973</v>
      </c>
      <c r="AH96" s="2" t="s">
        <v>974</v>
      </c>
    </row>
  </sheetData>
  <mergeCells count="1">
    <mergeCell ref="A1:AH1"/>
  </mergeCells>
  <dataValidations count="3">
    <dataValidation type="list" allowBlank="1" sqref="C3:C96 AD3:AG96" xr:uid="{00000000-0002-0000-0200-000000000000}">
      <formula1>"Yes,No"</formula1>
    </dataValidation>
    <dataValidation type="list" allowBlank="1" sqref="O3:O96" xr:uid="{00000000-0002-0000-0200-000001000000}">
      <formula1>"Applicable,Not applicable,UNC"</formula1>
    </dataValidation>
    <dataValidation type="list" allowBlank="1" sqref="P3:P96" xr:uid="{00000000-0002-0000-0200-000002000000}">
      <formula1>"EM0,EM1,EM2,EM3,EM4,EM5,EM6,EM7"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F10"/>
  <sheetViews>
    <sheetView workbookViewId="0">
      <selection activeCell="A2" sqref="A2:XFD2"/>
    </sheetView>
  </sheetViews>
  <sheetFormatPr defaultRowHeight="15" x14ac:dyDescent="0.25"/>
  <cols>
    <col min="1" max="1" width="36" customWidth="1"/>
    <col min="2" max="2" width="38" customWidth="1"/>
    <col min="3" max="3" width="52" customWidth="1"/>
    <col min="4" max="5" width="38" customWidth="1"/>
    <col min="6" max="6" width="66" customWidth="1"/>
  </cols>
  <sheetData>
    <row r="1" spans="1:6" ht="18.75" x14ac:dyDescent="0.3">
      <c r="A1" s="15" t="s">
        <v>358</v>
      </c>
      <c r="B1" s="16"/>
      <c r="C1" s="16"/>
      <c r="D1" s="16"/>
      <c r="E1" s="16"/>
      <c r="F1" s="16"/>
    </row>
    <row r="2" spans="1:6" x14ac:dyDescent="0.25">
      <c r="A2" s="3" t="s">
        <v>359</v>
      </c>
      <c r="B2" s="3" t="s">
        <v>360</v>
      </c>
      <c r="C2" s="3" t="s">
        <v>361</v>
      </c>
      <c r="D2" s="3" t="s">
        <v>362</v>
      </c>
      <c r="E2" s="3" t="s">
        <v>363</v>
      </c>
      <c r="F2" s="3" t="s">
        <v>364</v>
      </c>
    </row>
    <row r="3" spans="1:6" x14ac:dyDescent="0.25">
      <c r="A3" s="2" t="s">
        <v>365</v>
      </c>
      <c r="B3" s="2" t="s">
        <v>366</v>
      </c>
      <c r="C3" s="2" t="s">
        <v>367</v>
      </c>
      <c r="D3" s="2" t="s">
        <v>43</v>
      </c>
      <c r="E3" s="2" t="s">
        <v>368</v>
      </c>
      <c r="F3" s="2" t="s">
        <v>369</v>
      </c>
    </row>
    <row r="4" spans="1:6" x14ac:dyDescent="0.25">
      <c r="A4" s="2" t="s">
        <v>370</v>
      </c>
      <c r="B4" s="2" t="s">
        <v>366</v>
      </c>
      <c r="C4" s="2" t="s">
        <v>371</v>
      </c>
      <c r="D4" s="2" t="s">
        <v>372</v>
      </c>
      <c r="E4" s="2" t="s">
        <v>368</v>
      </c>
      <c r="F4" s="2" t="s">
        <v>373</v>
      </c>
    </row>
    <row r="5" spans="1:6" x14ac:dyDescent="0.25">
      <c r="A5" s="2" t="s">
        <v>374</v>
      </c>
      <c r="B5" s="2" t="s">
        <v>366</v>
      </c>
      <c r="C5" s="2" t="s">
        <v>375</v>
      </c>
      <c r="D5" s="2" t="s">
        <v>376</v>
      </c>
      <c r="E5" s="2" t="s">
        <v>377</v>
      </c>
      <c r="F5" s="2" t="s">
        <v>378</v>
      </c>
    </row>
    <row r="6" spans="1:6" x14ac:dyDescent="0.25">
      <c r="A6" s="2" t="s">
        <v>379</v>
      </c>
      <c r="B6" s="2" t="s">
        <v>380</v>
      </c>
      <c r="C6" s="2" t="s">
        <v>381</v>
      </c>
      <c r="D6" s="2" t="s">
        <v>382</v>
      </c>
      <c r="E6" s="2" t="s">
        <v>383</v>
      </c>
      <c r="F6" s="2" t="s">
        <v>384</v>
      </c>
    </row>
    <row r="7" spans="1:6" ht="27" x14ac:dyDescent="0.25">
      <c r="A7" s="2" t="s">
        <v>385</v>
      </c>
      <c r="B7" s="2" t="s">
        <v>386</v>
      </c>
      <c r="C7" s="2" t="s">
        <v>387</v>
      </c>
      <c r="D7" s="2" t="s">
        <v>388</v>
      </c>
      <c r="E7" s="2" t="s">
        <v>389</v>
      </c>
      <c r="F7" s="2" t="s">
        <v>390</v>
      </c>
    </row>
    <row r="8" spans="1:6" x14ac:dyDescent="0.25">
      <c r="A8" s="2" t="s">
        <v>391</v>
      </c>
      <c r="B8" s="2" t="s">
        <v>392</v>
      </c>
      <c r="C8" s="2" t="s">
        <v>393</v>
      </c>
      <c r="D8" s="2" t="s">
        <v>394</v>
      </c>
      <c r="E8" s="2" t="s">
        <v>395</v>
      </c>
      <c r="F8" s="2" t="s">
        <v>396</v>
      </c>
    </row>
    <row r="9" spans="1:6" x14ac:dyDescent="0.25">
      <c r="A9" s="2" t="s">
        <v>397</v>
      </c>
      <c r="B9" s="2" t="s">
        <v>398</v>
      </c>
      <c r="C9" s="2" t="s">
        <v>399</v>
      </c>
      <c r="D9" s="2" t="s">
        <v>400</v>
      </c>
      <c r="E9" s="2" t="s">
        <v>401</v>
      </c>
      <c r="F9" s="2" t="s">
        <v>402</v>
      </c>
    </row>
    <row r="10" spans="1:6" ht="27" x14ac:dyDescent="0.25">
      <c r="A10" s="2" t="s">
        <v>403</v>
      </c>
      <c r="B10" s="2" t="s">
        <v>404</v>
      </c>
      <c r="C10" s="2" t="s">
        <v>405</v>
      </c>
      <c r="D10" s="2" t="s">
        <v>406</v>
      </c>
      <c r="E10" s="2" t="s">
        <v>407</v>
      </c>
      <c r="F10" s="2" t="s">
        <v>408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15"/>
  <sheetViews>
    <sheetView workbookViewId="0">
      <selection activeCell="A2" sqref="A2:XFD2"/>
    </sheetView>
  </sheetViews>
  <sheetFormatPr defaultRowHeight="15" x14ac:dyDescent="0.25"/>
  <cols>
    <col min="1" max="1" width="34" customWidth="1"/>
    <col min="2" max="2" width="32" customWidth="1"/>
    <col min="3" max="3" width="34" customWidth="1"/>
    <col min="4" max="4" width="22" customWidth="1"/>
    <col min="5" max="5" width="44" customWidth="1"/>
    <col min="6" max="6" width="36" customWidth="1"/>
    <col min="7" max="7" width="18" customWidth="1"/>
    <col min="8" max="8" width="80" customWidth="1"/>
  </cols>
  <sheetData>
    <row r="1" spans="1:8" ht="18.75" x14ac:dyDescent="0.3">
      <c r="A1" s="15" t="s">
        <v>409</v>
      </c>
      <c r="B1" s="16"/>
      <c r="C1" s="16"/>
      <c r="D1" s="16"/>
      <c r="E1" s="16"/>
      <c r="F1" s="16"/>
      <c r="G1" s="16"/>
      <c r="H1" s="16"/>
    </row>
    <row r="2" spans="1:8" x14ac:dyDescent="0.25">
      <c r="A2" s="3" t="s">
        <v>410</v>
      </c>
      <c r="B2" s="3" t="s">
        <v>411</v>
      </c>
      <c r="C2" s="3" t="s">
        <v>412</v>
      </c>
      <c r="D2" s="3" t="s">
        <v>413</v>
      </c>
      <c r="E2" s="3" t="s">
        <v>414</v>
      </c>
      <c r="F2" s="3" t="s">
        <v>415</v>
      </c>
      <c r="G2" s="3" t="s">
        <v>416</v>
      </c>
      <c r="H2" s="3" t="s">
        <v>417</v>
      </c>
    </row>
    <row r="3" spans="1:8" ht="27" x14ac:dyDescent="0.25">
      <c r="A3" s="2" t="s">
        <v>418</v>
      </c>
      <c r="B3" s="2" t="s">
        <v>419</v>
      </c>
      <c r="C3" s="2" t="s">
        <v>420</v>
      </c>
      <c r="D3" s="2" t="s">
        <v>42</v>
      </c>
      <c r="E3" s="2" t="s">
        <v>421</v>
      </c>
      <c r="F3" s="2" t="s">
        <v>422</v>
      </c>
      <c r="G3" s="2" t="s">
        <v>423</v>
      </c>
      <c r="H3" s="2" t="s">
        <v>1376</v>
      </c>
    </row>
    <row r="4" spans="1:8" ht="54" x14ac:dyDescent="0.25">
      <c r="A4" s="2" t="s">
        <v>70</v>
      </c>
      <c r="B4" s="2" t="s">
        <v>419</v>
      </c>
      <c r="C4" s="2" t="s">
        <v>420</v>
      </c>
      <c r="D4" s="2" t="s">
        <v>42</v>
      </c>
      <c r="E4" s="2" t="s">
        <v>424</v>
      </c>
      <c r="F4" s="2" t="s">
        <v>425</v>
      </c>
      <c r="G4" s="2" t="s">
        <v>423</v>
      </c>
      <c r="H4" s="2" t="s">
        <v>1377</v>
      </c>
    </row>
    <row r="5" spans="1:8" ht="81" x14ac:dyDescent="0.25">
      <c r="A5" s="2" t="s">
        <v>370</v>
      </c>
      <c r="B5" s="2" t="s">
        <v>419</v>
      </c>
      <c r="C5" s="2" t="s">
        <v>420</v>
      </c>
      <c r="D5" s="2" t="s">
        <v>426</v>
      </c>
      <c r="E5" s="2" t="s">
        <v>424</v>
      </c>
      <c r="F5" s="2" t="s">
        <v>425</v>
      </c>
      <c r="G5" s="2" t="s">
        <v>423</v>
      </c>
      <c r="H5" s="2" t="s">
        <v>1378</v>
      </c>
    </row>
    <row r="6" spans="1:8" ht="27" x14ac:dyDescent="0.25">
      <c r="A6" s="2" t="s">
        <v>427</v>
      </c>
      <c r="B6" s="2" t="s">
        <v>419</v>
      </c>
      <c r="C6" s="2" t="s">
        <v>420</v>
      </c>
      <c r="D6" s="2" t="s">
        <v>428</v>
      </c>
      <c r="E6" s="2" t="s">
        <v>424</v>
      </c>
      <c r="F6" s="2" t="s">
        <v>429</v>
      </c>
      <c r="G6" s="2" t="s">
        <v>423</v>
      </c>
      <c r="H6" s="2" t="s">
        <v>1379</v>
      </c>
    </row>
    <row r="7" spans="1:8" x14ac:dyDescent="0.25">
      <c r="A7" s="2" t="s">
        <v>430</v>
      </c>
      <c r="B7" s="2" t="s">
        <v>419</v>
      </c>
      <c r="C7" s="2" t="s">
        <v>420</v>
      </c>
      <c r="D7" s="2" t="s">
        <v>34</v>
      </c>
      <c r="E7" s="2" t="s">
        <v>431</v>
      </c>
      <c r="F7" s="2" t="s">
        <v>432</v>
      </c>
      <c r="G7" s="2" t="s">
        <v>433</v>
      </c>
      <c r="H7" s="2" t="s">
        <v>1380</v>
      </c>
    </row>
    <row r="8" spans="1:8" x14ac:dyDescent="0.25">
      <c r="A8" s="2" t="s">
        <v>434</v>
      </c>
      <c r="B8" s="2" t="s">
        <v>419</v>
      </c>
      <c r="C8" s="2" t="s">
        <v>420</v>
      </c>
      <c r="D8" s="2" t="s">
        <v>34</v>
      </c>
      <c r="E8" s="2" t="s">
        <v>431</v>
      </c>
      <c r="F8" s="2" t="s">
        <v>435</v>
      </c>
      <c r="G8" s="2" t="s">
        <v>436</v>
      </c>
      <c r="H8" s="2" t="s">
        <v>1381</v>
      </c>
    </row>
    <row r="9" spans="1:8" ht="27" x14ac:dyDescent="0.25">
      <c r="A9" s="2" t="s">
        <v>437</v>
      </c>
      <c r="B9" s="2" t="s">
        <v>419</v>
      </c>
      <c r="C9" s="2" t="s">
        <v>420</v>
      </c>
      <c r="D9" s="2" t="s">
        <v>34</v>
      </c>
      <c r="E9" s="2" t="s">
        <v>431</v>
      </c>
      <c r="F9" s="2" t="s">
        <v>435</v>
      </c>
      <c r="G9" s="2" t="s">
        <v>438</v>
      </c>
      <c r="H9" s="2" t="s">
        <v>1382</v>
      </c>
    </row>
    <row r="10" spans="1:8" ht="27" x14ac:dyDescent="0.25">
      <c r="A10" s="2" t="s">
        <v>439</v>
      </c>
      <c r="B10" s="2" t="s">
        <v>419</v>
      </c>
      <c r="C10" s="2" t="s">
        <v>420</v>
      </c>
      <c r="D10" s="2" t="s">
        <v>34</v>
      </c>
      <c r="E10" s="2" t="s">
        <v>431</v>
      </c>
      <c r="F10" s="2" t="s">
        <v>440</v>
      </c>
      <c r="G10" s="2" t="s">
        <v>441</v>
      </c>
      <c r="H10" s="2" t="s">
        <v>1383</v>
      </c>
    </row>
    <row r="11" spans="1:8" ht="27" x14ac:dyDescent="0.25">
      <c r="A11" s="2" t="s">
        <v>442</v>
      </c>
      <c r="B11" s="2" t="s">
        <v>419</v>
      </c>
      <c r="C11" s="2" t="s">
        <v>420</v>
      </c>
      <c r="D11" s="2" t="s">
        <v>34</v>
      </c>
      <c r="E11" s="2" t="s">
        <v>431</v>
      </c>
      <c r="F11" s="2" t="s">
        <v>435</v>
      </c>
      <c r="G11" s="2" t="s">
        <v>443</v>
      </c>
      <c r="H11" s="2" t="s">
        <v>1384</v>
      </c>
    </row>
    <row r="12" spans="1:8" x14ac:dyDescent="0.25">
      <c r="A12" s="2" t="s">
        <v>444</v>
      </c>
      <c r="B12" s="2" t="s">
        <v>419</v>
      </c>
      <c r="C12" s="2" t="s">
        <v>445</v>
      </c>
      <c r="D12" s="2" t="s">
        <v>42</v>
      </c>
      <c r="E12" s="2" t="s">
        <v>446</v>
      </c>
      <c r="F12" s="2" t="s">
        <v>447</v>
      </c>
      <c r="G12" s="2" t="s">
        <v>448</v>
      </c>
      <c r="H12" s="2" t="s">
        <v>1385</v>
      </c>
    </row>
    <row r="13" spans="1:8" ht="27" x14ac:dyDescent="0.25">
      <c r="A13" s="2" t="s">
        <v>385</v>
      </c>
      <c r="B13" s="2" t="s">
        <v>449</v>
      </c>
      <c r="C13" s="2" t="s">
        <v>450</v>
      </c>
      <c r="D13" s="2" t="s">
        <v>42</v>
      </c>
      <c r="E13" s="2" t="s">
        <v>451</v>
      </c>
      <c r="F13" s="2" t="s">
        <v>452</v>
      </c>
      <c r="G13" s="2" t="s">
        <v>453</v>
      </c>
      <c r="H13" s="2" t="s">
        <v>1386</v>
      </c>
    </row>
    <row r="14" spans="1:8" x14ac:dyDescent="0.25">
      <c r="A14" s="2" t="s">
        <v>391</v>
      </c>
      <c r="B14" s="2" t="s">
        <v>454</v>
      </c>
      <c r="C14" s="2" t="s">
        <v>455</v>
      </c>
      <c r="D14" s="2" t="s">
        <v>42</v>
      </c>
      <c r="E14" s="2" t="s">
        <v>456</v>
      </c>
      <c r="F14" s="2" t="s">
        <v>457</v>
      </c>
      <c r="G14" s="2" t="s">
        <v>453</v>
      </c>
      <c r="H14" s="2" t="s">
        <v>1387</v>
      </c>
    </row>
    <row r="15" spans="1:8" ht="27" x14ac:dyDescent="0.25">
      <c r="A15" s="2" t="s">
        <v>89</v>
      </c>
      <c r="B15" s="2" t="s">
        <v>458</v>
      </c>
      <c r="C15" s="2" t="s">
        <v>459</v>
      </c>
      <c r="D15" s="2" t="s">
        <v>42</v>
      </c>
      <c r="E15" s="2" t="s">
        <v>460</v>
      </c>
      <c r="F15" s="2" t="s">
        <v>461</v>
      </c>
      <c r="G15" s="2" t="s">
        <v>462</v>
      </c>
      <c r="H15" s="2" t="s">
        <v>1388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12"/>
  <sheetViews>
    <sheetView workbookViewId="0">
      <selection activeCell="A2" sqref="A2:XFD2"/>
    </sheetView>
  </sheetViews>
  <sheetFormatPr defaultRowHeight="15" x14ac:dyDescent="0.25"/>
  <cols>
    <col min="1" max="1" width="10" customWidth="1"/>
    <col min="2" max="2" width="42" customWidth="1"/>
    <col min="3" max="3" width="18" customWidth="1"/>
    <col min="4" max="4" width="44" customWidth="1"/>
    <col min="5" max="5" width="52" customWidth="1"/>
    <col min="6" max="6" width="34" customWidth="1"/>
    <col min="7" max="7" width="62" customWidth="1"/>
    <col min="8" max="8" width="24" customWidth="1"/>
  </cols>
  <sheetData>
    <row r="1" spans="1:8" ht="18.75" x14ac:dyDescent="0.3">
      <c r="A1" s="15" t="s">
        <v>463</v>
      </c>
      <c r="B1" s="16"/>
      <c r="C1" s="16"/>
      <c r="D1" s="16"/>
      <c r="E1" s="16"/>
      <c r="F1" s="16"/>
      <c r="G1" s="16"/>
      <c r="H1" s="16"/>
    </row>
    <row r="2" spans="1:8" ht="30" x14ac:dyDescent="0.25">
      <c r="A2" s="3" t="s">
        <v>464</v>
      </c>
      <c r="B2" s="3" t="s">
        <v>465</v>
      </c>
      <c r="C2" s="3" t="s">
        <v>416</v>
      </c>
      <c r="D2" s="3" t="s">
        <v>466</v>
      </c>
      <c r="E2" s="3" t="s">
        <v>467</v>
      </c>
      <c r="F2" s="3" t="s">
        <v>415</v>
      </c>
      <c r="G2" s="3" t="s">
        <v>468</v>
      </c>
      <c r="H2" s="3" t="s">
        <v>469</v>
      </c>
    </row>
    <row r="3" spans="1:8" x14ac:dyDescent="0.25">
      <c r="A3" s="2" t="s">
        <v>470</v>
      </c>
      <c r="B3" s="2" t="s">
        <v>471</v>
      </c>
      <c r="C3" s="2" t="s">
        <v>472</v>
      </c>
      <c r="D3" s="2" t="s">
        <v>473</v>
      </c>
      <c r="E3" s="2" t="s">
        <v>474</v>
      </c>
      <c r="F3" s="2" t="s">
        <v>475</v>
      </c>
      <c r="G3" s="2" t="s">
        <v>476</v>
      </c>
      <c r="H3" s="2" t="s">
        <v>477</v>
      </c>
    </row>
    <row r="4" spans="1:8" x14ac:dyDescent="0.25">
      <c r="A4" s="2" t="s">
        <v>478</v>
      </c>
      <c r="B4" s="2" t="s">
        <v>479</v>
      </c>
      <c r="C4" s="2" t="s">
        <v>480</v>
      </c>
      <c r="D4" s="2" t="s">
        <v>481</v>
      </c>
      <c r="E4" s="2" t="s">
        <v>482</v>
      </c>
      <c r="F4" s="2" t="s">
        <v>475</v>
      </c>
      <c r="G4" s="2" t="s">
        <v>483</v>
      </c>
      <c r="H4" s="2" t="s">
        <v>477</v>
      </c>
    </row>
    <row r="5" spans="1:8" x14ac:dyDescent="0.25">
      <c r="A5" s="2" t="s">
        <v>484</v>
      </c>
      <c r="B5" s="2" t="s">
        <v>485</v>
      </c>
      <c r="C5" s="2" t="s">
        <v>486</v>
      </c>
      <c r="D5" s="2" t="s">
        <v>487</v>
      </c>
      <c r="E5" s="2" t="s">
        <v>482</v>
      </c>
      <c r="F5" s="2" t="s">
        <v>488</v>
      </c>
      <c r="G5" s="2" t="s">
        <v>489</v>
      </c>
      <c r="H5" s="2" t="s">
        <v>477</v>
      </c>
    </row>
    <row r="6" spans="1:8" x14ac:dyDescent="0.25">
      <c r="A6" s="2" t="s">
        <v>490</v>
      </c>
      <c r="B6" s="2" t="s">
        <v>491</v>
      </c>
      <c r="C6" s="2" t="s">
        <v>492</v>
      </c>
      <c r="D6" s="2" t="s">
        <v>493</v>
      </c>
      <c r="E6" s="2" t="s">
        <v>482</v>
      </c>
      <c r="F6" s="2" t="s">
        <v>494</v>
      </c>
      <c r="G6" s="2" t="s">
        <v>495</v>
      </c>
      <c r="H6" s="2" t="s">
        <v>477</v>
      </c>
    </row>
    <row r="7" spans="1:8" x14ac:dyDescent="0.25">
      <c r="A7" s="2" t="s">
        <v>496</v>
      </c>
      <c r="B7" s="2" t="s">
        <v>497</v>
      </c>
      <c r="C7" s="2" t="s">
        <v>498</v>
      </c>
      <c r="D7" s="2" t="s">
        <v>499</v>
      </c>
      <c r="E7" s="2" t="s">
        <v>500</v>
      </c>
      <c r="F7" s="2" t="s">
        <v>501</v>
      </c>
      <c r="G7" s="2" t="s">
        <v>502</v>
      </c>
      <c r="H7" s="2" t="s">
        <v>477</v>
      </c>
    </row>
    <row r="8" spans="1:8" ht="27" x14ac:dyDescent="0.25">
      <c r="A8" s="2" t="s">
        <v>503</v>
      </c>
      <c r="B8" s="2" t="s">
        <v>504</v>
      </c>
      <c r="C8" s="2" t="s">
        <v>505</v>
      </c>
      <c r="D8" s="2" t="s">
        <v>506</v>
      </c>
      <c r="E8" s="2" t="s">
        <v>500</v>
      </c>
      <c r="F8" s="2" t="s">
        <v>475</v>
      </c>
      <c r="G8" s="2" t="s">
        <v>507</v>
      </c>
      <c r="H8" s="2" t="s">
        <v>477</v>
      </c>
    </row>
    <row r="9" spans="1:8" ht="27" x14ac:dyDescent="0.25">
      <c r="A9" s="2" t="s">
        <v>508</v>
      </c>
      <c r="B9" s="2" t="s">
        <v>509</v>
      </c>
      <c r="C9" s="2" t="s">
        <v>505</v>
      </c>
      <c r="D9" s="2" t="s">
        <v>510</v>
      </c>
      <c r="E9" s="2" t="s">
        <v>511</v>
      </c>
      <c r="F9" s="2" t="s">
        <v>512</v>
      </c>
      <c r="G9" s="2" t="s">
        <v>513</v>
      </c>
      <c r="H9" s="2" t="s">
        <v>477</v>
      </c>
    </row>
    <row r="10" spans="1:8" x14ac:dyDescent="0.25">
      <c r="A10" s="2" t="s">
        <v>514</v>
      </c>
      <c r="B10" s="2" t="s">
        <v>515</v>
      </c>
      <c r="C10" s="2" t="s">
        <v>516</v>
      </c>
      <c r="D10" s="2" t="s">
        <v>517</v>
      </c>
      <c r="E10" s="2" t="s">
        <v>518</v>
      </c>
      <c r="F10" s="2" t="s">
        <v>475</v>
      </c>
      <c r="G10" s="2" t="s">
        <v>519</v>
      </c>
      <c r="H10" s="2" t="s">
        <v>477</v>
      </c>
    </row>
    <row r="11" spans="1:8" x14ac:dyDescent="0.25">
      <c r="A11" s="2" t="s">
        <v>520</v>
      </c>
      <c r="B11" s="2" t="s">
        <v>521</v>
      </c>
      <c r="C11" s="2" t="s">
        <v>505</v>
      </c>
      <c r="D11" s="2" t="s">
        <v>522</v>
      </c>
      <c r="E11" s="2" t="s">
        <v>523</v>
      </c>
      <c r="F11" s="2" t="s">
        <v>512</v>
      </c>
      <c r="G11" s="2" t="s">
        <v>524</v>
      </c>
      <c r="H11" s="2" t="s">
        <v>477</v>
      </c>
    </row>
    <row r="12" spans="1:8" x14ac:dyDescent="0.25">
      <c r="A12" s="2" t="s">
        <v>525</v>
      </c>
      <c r="B12" s="2" t="s">
        <v>526</v>
      </c>
      <c r="C12" s="2" t="s">
        <v>527</v>
      </c>
      <c r="D12" s="2" t="s">
        <v>528</v>
      </c>
      <c r="E12" s="2" t="s">
        <v>380</v>
      </c>
      <c r="F12" s="2" t="s">
        <v>529</v>
      </c>
      <c r="G12" s="2" t="s">
        <v>530</v>
      </c>
      <c r="H12" s="2" t="s">
        <v>477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N98"/>
  <sheetViews>
    <sheetView workbookViewId="0">
      <selection activeCell="A2" sqref="A2:XFD2"/>
    </sheetView>
  </sheetViews>
  <sheetFormatPr defaultRowHeight="15" x14ac:dyDescent="0.25"/>
  <cols>
    <col min="1" max="1" width="38" customWidth="1"/>
    <col min="2" max="13" width="12" customWidth="1"/>
    <col min="14" max="14" width="14" customWidth="1"/>
  </cols>
  <sheetData>
    <row r="1" spans="1:14" x14ac:dyDescent="0.25">
      <c r="A1" s="22" t="s">
        <v>531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25">
      <c r="A2" s="20" t="s">
        <v>532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x14ac:dyDescent="0.25">
      <c r="A3" s="1" t="s">
        <v>533</v>
      </c>
      <c r="B3" s="1" t="s">
        <v>534</v>
      </c>
      <c r="C3" s="1" t="s">
        <v>535</v>
      </c>
      <c r="D3" s="1" t="s">
        <v>536</v>
      </c>
      <c r="E3" s="1" t="s">
        <v>537</v>
      </c>
      <c r="F3" s="1" t="s">
        <v>538</v>
      </c>
      <c r="G3" s="1" t="s">
        <v>539</v>
      </c>
      <c r="H3" s="2"/>
      <c r="I3" s="2"/>
      <c r="J3" s="2"/>
      <c r="K3" s="2"/>
      <c r="L3" s="2"/>
      <c r="M3" s="2"/>
      <c r="N3" s="2"/>
    </row>
    <row r="4" spans="1:14" x14ac:dyDescent="0.25">
      <c r="A4" s="2" t="s">
        <v>540</v>
      </c>
      <c r="B4" s="2">
        <v>23</v>
      </c>
      <c r="C4" s="2">
        <v>23</v>
      </c>
      <c r="D4" s="2">
        <v>0</v>
      </c>
      <c r="E4" s="2">
        <v>0</v>
      </c>
      <c r="F4" s="2">
        <v>0</v>
      </c>
      <c r="G4" s="2">
        <v>0</v>
      </c>
      <c r="H4" s="2"/>
      <c r="I4" s="2"/>
      <c r="J4" s="2"/>
      <c r="K4" s="2"/>
      <c r="L4" s="2"/>
      <c r="M4" s="2"/>
      <c r="N4" s="2"/>
    </row>
    <row r="5" spans="1:14" x14ac:dyDescent="0.25">
      <c r="A5" s="2" t="s">
        <v>541</v>
      </c>
      <c r="B5" s="2">
        <v>13</v>
      </c>
      <c r="C5" s="2">
        <v>12</v>
      </c>
      <c r="D5" s="2">
        <v>0</v>
      </c>
      <c r="E5" s="2">
        <v>0</v>
      </c>
      <c r="F5" s="2">
        <v>0</v>
      </c>
      <c r="G5" s="2">
        <v>0</v>
      </c>
      <c r="H5" s="2"/>
      <c r="I5" s="2"/>
      <c r="J5" s="2"/>
      <c r="K5" s="2"/>
      <c r="L5" s="2"/>
      <c r="M5" s="2"/>
      <c r="N5" s="2"/>
    </row>
    <row r="6" spans="1:14" x14ac:dyDescent="0.25">
      <c r="A6" s="2" t="s">
        <v>542</v>
      </c>
      <c r="B6" s="2">
        <v>13</v>
      </c>
      <c r="C6" s="2">
        <v>11</v>
      </c>
      <c r="D6" s="2">
        <v>11</v>
      </c>
      <c r="E6" s="2">
        <v>0</v>
      </c>
      <c r="F6" s="2">
        <v>1</v>
      </c>
      <c r="G6" s="2">
        <v>0</v>
      </c>
      <c r="H6" s="2"/>
      <c r="I6" s="2"/>
      <c r="J6" s="2"/>
      <c r="K6" s="2"/>
      <c r="L6" s="2"/>
      <c r="M6" s="2"/>
      <c r="N6" s="2"/>
    </row>
    <row r="7" spans="1:14" x14ac:dyDescent="0.25">
      <c r="A7" s="2" t="s">
        <v>543</v>
      </c>
      <c r="B7" s="2">
        <v>32</v>
      </c>
      <c r="C7" s="2">
        <v>33</v>
      </c>
      <c r="D7" s="2">
        <v>1</v>
      </c>
      <c r="E7" s="2">
        <v>0</v>
      </c>
      <c r="F7" s="2">
        <v>1</v>
      </c>
      <c r="G7" s="2">
        <v>0</v>
      </c>
      <c r="H7" s="2"/>
      <c r="I7" s="2"/>
      <c r="J7" s="2"/>
      <c r="K7" s="2"/>
      <c r="L7" s="2"/>
      <c r="M7" s="2"/>
      <c r="N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0" t="s">
        <v>544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 x14ac:dyDescent="0.25">
      <c r="A11" s="1" t="s">
        <v>533</v>
      </c>
      <c r="B11" s="1" t="s">
        <v>545</v>
      </c>
      <c r="C11" s="1" t="s">
        <v>546</v>
      </c>
      <c r="D11" s="1" t="s">
        <v>547</v>
      </c>
      <c r="E11" s="1" t="s">
        <v>548</v>
      </c>
      <c r="F11" s="1" t="s">
        <v>549</v>
      </c>
      <c r="G11" s="1" t="s">
        <v>550</v>
      </c>
      <c r="H11" s="1" t="s">
        <v>551</v>
      </c>
      <c r="I11" s="1" t="s">
        <v>552</v>
      </c>
      <c r="J11" s="2"/>
      <c r="K11" s="2"/>
      <c r="L11" s="2"/>
      <c r="M11" s="2"/>
      <c r="N11" s="2"/>
    </row>
    <row r="12" spans="1:14" x14ac:dyDescent="0.25">
      <c r="A12" s="2" t="s">
        <v>540</v>
      </c>
      <c r="B12" s="2">
        <v>1</v>
      </c>
      <c r="C12" s="2">
        <v>21</v>
      </c>
      <c r="D12" s="2">
        <v>22</v>
      </c>
      <c r="E12" s="2">
        <v>23</v>
      </c>
      <c r="F12" s="2">
        <v>0</v>
      </c>
      <c r="G12" s="2">
        <v>0</v>
      </c>
      <c r="H12" s="2">
        <v>0</v>
      </c>
      <c r="I12" s="2">
        <v>0</v>
      </c>
      <c r="J12" s="2"/>
      <c r="K12" s="2"/>
      <c r="L12" s="2"/>
      <c r="M12" s="2"/>
      <c r="N12" s="2"/>
    </row>
    <row r="13" spans="1:14" x14ac:dyDescent="0.25">
      <c r="A13" s="2" t="s">
        <v>541</v>
      </c>
      <c r="B13" s="2">
        <v>0</v>
      </c>
      <c r="C13" s="2">
        <v>13</v>
      </c>
      <c r="D13" s="2">
        <v>13</v>
      </c>
      <c r="E13" s="2">
        <v>12</v>
      </c>
      <c r="F13" s="2">
        <v>0</v>
      </c>
      <c r="G13" s="2">
        <v>0</v>
      </c>
      <c r="H13" s="2">
        <v>0</v>
      </c>
      <c r="I13" s="2">
        <v>0</v>
      </c>
      <c r="J13" s="2"/>
      <c r="K13" s="2"/>
      <c r="L13" s="2"/>
      <c r="M13" s="2"/>
      <c r="N13" s="2"/>
    </row>
    <row r="14" spans="1:14" x14ac:dyDescent="0.25">
      <c r="A14" s="2" t="s">
        <v>542</v>
      </c>
      <c r="B14" s="2">
        <v>5</v>
      </c>
      <c r="C14" s="2">
        <v>12</v>
      </c>
      <c r="D14" s="2">
        <v>17</v>
      </c>
      <c r="E14" s="2">
        <v>10</v>
      </c>
      <c r="F14" s="2">
        <v>10</v>
      </c>
      <c r="G14" s="2">
        <v>2</v>
      </c>
      <c r="H14" s="2">
        <v>7</v>
      </c>
      <c r="I14" s="2">
        <v>0</v>
      </c>
      <c r="J14" s="2"/>
      <c r="K14" s="2"/>
      <c r="L14" s="2"/>
      <c r="M14" s="2"/>
      <c r="N14" s="2"/>
    </row>
    <row r="15" spans="1:14" x14ac:dyDescent="0.25">
      <c r="A15" s="2" t="s">
        <v>543</v>
      </c>
      <c r="B15" s="2">
        <v>0</v>
      </c>
      <c r="C15" s="2">
        <v>3</v>
      </c>
      <c r="D15" s="2">
        <v>6</v>
      </c>
      <c r="E15" s="2">
        <v>33</v>
      </c>
      <c r="F15" s="2">
        <v>1</v>
      </c>
      <c r="G15" s="2">
        <v>0</v>
      </c>
      <c r="H15" s="2">
        <v>1</v>
      </c>
      <c r="I15" s="2">
        <v>0</v>
      </c>
      <c r="J15" s="2"/>
      <c r="K15" s="2"/>
      <c r="L15" s="2"/>
      <c r="M15" s="2"/>
      <c r="N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20" t="s">
        <v>553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x14ac:dyDescent="0.25">
      <c r="A19" s="1" t="s">
        <v>533</v>
      </c>
      <c r="B19" s="1" t="s">
        <v>554</v>
      </c>
      <c r="C19" s="1" t="s">
        <v>555</v>
      </c>
      <c r="D19" s="1" t="s">
        <v>556</v>
      </c>
      <c r="E19" s="1" t="s">
        <v>557</v>
      </c>
      <c r="F19" s="1" t="s">
        <v>558</v>
      </c>
      <c r="G19" s="1" t="s">
        <v>559</v>
      </c>
      <c r="H19" s="1" t="s">
        <v>560</v>
      </c>
      <c r="I19" s="1" t="s">
        <v>561</v>
      </c>
      <c r="J19" s="1" t="s">
        <v>562</v>
      </c>
      <c r="K19" s="1" t="s">
        <v>563</v>
      </c>
      <c r="L19" s="1" t="s">
        <v>564</v>
      </c>
      <c r="M19" s="1" t="s">
        <v>565</v>
      </c>
      <c r="N19" s="2"/>
    </row>
    <row r="20" spans="1:14" x14ac:dyDescent="0.25">
      <c r="A20" s="2" t="s">
        <v>540</v>
      </c>
      <c r="B20" s="2">
        <v>0</v>
      </c>
      <c r="C20" s="2">
        <v>0</v>
      </c>
      <c r="D20" s="2">
        <v>0</v>
      </c>
      <c r="E20" s="2">
        <v>7</v>
      </c>
      <c r="F20" s="2">
        <v>17</v>
      </c>
      <c r="G20" s="2">
        <v>13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/>
    </row>
    <row r="21" spans="1:14" x14ac:dyDescent="0.25">
      <c r="A21" s="2" t="s">
        <v>541</v>
      </c>
      <c r="B21" s="2">
        <v>1</v>
      </c>
      <c r="C21" s="2">
        <v>1</v>
      </c>
      <c r="D21" s="2">
        <v>0</v>
      </c>
      <c r="E21" s="2">
        <v>0</v>
      </c>
      <c r="F21" s="2">
        <v>11</v>
      </c>
      <c r="G21" s="2">
        <v>11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/>
    </row>
    <row r="22" spans="1:14" x14ac:dyDescent="0.25">
      <c r="A22" s="2" t="s">
        <v>542</v>
      </c>
      <c r="B22" s="2">
        <v>2</v>
      </c>
      <c r="C22" s="2">
        <v>1</v>
      </c>
      <c r="D22" s="2">
        <v>5</v>
      </c>
      <c r="E22" s="2">
        <v>0</v>
      </c>
      <c r="F22" s="2">
        <v>7</v>
      </c>
      <c r="G22" s="2">
        <v>6</v>
      </c>
      <c r="H22" s="2">
        <v>13</v>
      </c>
      <c r="I22" s="2">
        <v>3</v>
      </c>
      <c r="J22" s="2">
        <v>1</v>
      </c>
      <c r="K22" s="2">
        <v>1</v>
      </c>
      <c r="L22" s="2">
        <v>0</v>
      </c>
      <c r="M22" s="2">
        <v>0</v>
      </c>
      <c r="N22" s="2"/>
    </row>
    <row r="23" spans="1:14" x14ac:dyDescent="0.25">
      <c r="A23" s="2" t="s">
        <v>543</v>
      </c>
      <c r="B23" s="2">
        <v>1</v>
      </c>
      <c r="C23" s="2">
        <v>1</v>
      </c>
      <c r="D23" s="2">
        <v>1</v>
      </c>
      <c r="E23" s="2">
        <v>0</v>
      </c>
      <c r="F23" s="2">
        <v>30</v>
      </c>
      <c r="G23" s="2">
        <v>31</v>
      </c>
      <c r="H23" s="2">
        <v>1</v>
      </c>
      <c r="I23" s="2">
        <v>0</v>
      </c>
      <c r="J23" s="2">
        <v>0</v>
      </c>
      <c r="K23" s="2">
        <v>1</v>
      </c>
      <c r="L23" s="2">
        <v>0</v>
      </c>
      <c r="M23" s="2">
        <v>0</v>
      </c>
      <c r="N23" s="2"/>
    </row>
    <row r="24" spans="1:1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20" t="s">
        <v>566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x14ac:dyDescent="0.25">
      <c r="A27" s="1" t="s">
        <v>533</v>
      </c>
      <c r="B27" s="1" t="s">
        <v>36</v>
      </c>
      <c r="C27" s="1" t="s">
        <v>44</v>
      </c>
      <c r="D27" s="1" t="s">
        <v>51</v>
      </c>
      <c r="E27" s="1" t="s">
        <v>56</v>
      </c>
      <c r="F27" s="1" t="s">
        <v>59</v>
      </c>
      <c r="G27" s="1" t="s">
        <v>61</v>
      </c>
      <c r="H27" s="1" t="s">
        <v>62</v>
      </c>
      <c r="I27" s="1" t="s">
        <v>63</v>
      </c>
      <c r="J27" s="2"/>
      <c r="K27" s="2"/>
      <c r="L27" s="2"/>
      <c r="M27" s="2"/>
      <c r="N27" s="2"/>
    </row>
    <row r="28" spans="1:14" x14ac:dyDescent="0.25">
      <c r="A28" s="2" t="s">
        <v>540</v>
      </c>
      <c r="B28" s="2">
        <v>0</v>
      </c>
      <c r="C28" s="2">
        <v>0</v>
      </c>
      <c r="D28" s="2">
        <v>6</v>
      </c>
      <c r="E28" s="2">
        <v>3</v>
      </c>
      <c r="F28" s="2">
        <v>13</v>
      </c>
      <c r="G28" s="2">
        <v>1</v>
      </c>
      <c r="H28" s="2">
        <v>0</v>
      </c>
      <c r="I28" s="2">
        <v>0</v>
      </c>
      <c r="J28" s="2"/>
      <c r="K28" s="2"/>
      <c r="L28" s="2"/>
      <c r="M28" s="2"/>
      <c r="N28" s="2"/>
    </row>
    <row r="29" spans="1:14" x14ac:dyDescent="0.25">
      <c r="A29" s="2" t="s">
        <v>541</v>
      </c>
      <c r="B29" s="2">
        <v>2</v>
      </c>
      <c r="C29" s="2">
        <v>0</v>
      </c>
      <c r="D29" s="2">
        <v>0</v>
      </c>
      <c r="E29" s="2">
        <v>0</v>
      </c>
      <c r="F29" s="2">
        <v>11</v>
      </c>
      <c r="G29" s="2">
        <v>0</v>
      </c>
      <c r="H29" s="2">
        <v>0</v>
      </c>
      <c r="I29" s="2">
        <v>0</v>
      </c>
      <c r="J29" s="2"/>
      <c r="K29" s="2"/>
      <c r="L29" s="2"/>
      <c r="M29" s="2"/>
      <c r="N29" s="2"/>
    </row>
    <row r="30" spans="1:14" x14ac:dyDescent="0.25">
      <c r="A30" s="2" t="s">
        <v>542</v>
      </c>
      <c r="B30" s="2">
        <v>2</v>
      </c>
      <c r="C30" s="2">
        <v>3</v>
      </c>
      <c r="D30" s="2">
        <v>0</v>
      </c>
      <c r="E30" s="2">
        <v>3</v>
      </c>
      <c r="F30" s="2">
        <v>7</v>
      </c>
      <c r="G30" s="2">
        <v>1</v>
      </c>
      <c r="H30" s="2">
        <v>1</v>
      </c>
      <c r="I30" s="2">
        <v>0</v>
      </c>
      <c r="J30" s="2"/>
      <c r="K30" s="2"/>
      <c r="L30" s="2"/>
      <c r="M30" s="2"/>
      <c r="N30" s="2"/>
    </row>
    <row r="31" spans="1:14" x14ac:dyDescent="0.25">
      <c r="A31" s="2" t="s">
        <v>543</v>
      </c>
      <c r="B31" s="2">
        <v>1</v>
      </c>
      <c r="C31" s="2">
        <v>2</v>
      </c>
      <c r="D31" s="2">
        <v>0</v>
      </c>
      <c r="E31" s="2">
        <v>0</v>
      </c>
      <c r="F31" s="2">
        <v>30</v>
      </c>
      <c r="G31" s="2">
        <v>0</v>
      </c>
      <c r="H31" s="2">
        <v>1</v>
      </c>
      <c r="I31" s="2">
        <v>0</v>
      </c>
      <c r="J31" s="2"/>
      <c r="K31" s="2"/>
      <c r="L31" s="2"/>
      <c r="M31" s="2"/>
      <c r="N31" s="2"/>
    </row>
    <row r="32" spans="1:1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20" t="s">
        <v>567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 x14ac:dyDescent="0.25">
      <c r="A35" s="1" t="s">
        <v>533</v>
      </c>
      <c r="B35" s="1" t="s">
        <v>554</v>
      </c>
      <c r="C35" s="1" t="s">
        <v>555</v>
      </c>
      <c r="D35" s="1" t="s">
        <v>556</v>
      </c>
      <c r="E35" s="1" t="s">
        <v>557</v>
      </c>
      <c r="F35" s="1" t="s">
        <v>558</v>
      </c>
      <c r="G35" s="1" t="s">
        <v>559</v>
      </c>
      <c r="H35" s="1" t="s">
        <v>560</v>
      </c>
      <c r="I35" s="1" t="s">
        <v>561</v>
      </c>
      <c r="J35" s="1" t="s">
        <v>562</v>
      </c>
      <c r="K35" s="1" t="s">
        <v>563</v>
      </c>
      <c r="L35" s="1" t="s">
        <v>564</v>
      </c>
      <c r="M35" s="1" t="s">
        <v>565</v>
      </c>
      <c r="N35" s="2"/>
    </row>
    <row r="36" spans="1:14" x14ac:dyDescent="0.25">
      <c r="A36" s="2" t="s">
        <v>545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1</v>
      </c>
      <c r="H36" s="2">
        <v>4</v>
      </c>
      <c r="I36" s="2">
        <v>2</v>
      </c>
      <c r="J36" s="2">
        <v>1</v>
      </c>
      <c r="K36" s="2">
        <v>0</v>
      </c>
      <c r="L36" s="2">
        <v>0</v>
      </c>
      <c r="M36" s="2">
        <v>0</v>
      </c>
      <c r="N36" s="2"/>
    </row>
    <row r="37" spans="1:14" x14ac:dyDescent="0.25">
      <c r="A37" s="2" t="s">
        <v>546</v>
      </c>
      <c r="B37" s="2">
        <v>2</v>
      </c>
      <c r="C37" s="2">
        <v>2</v>
      </c>
      <c r="D37" s="2">
        <v>4</v>
      </c>
      <c r="E37" s="2">
        <v>7</v>
      </c>
      <c r="F37" s="2">
        <v>31</v>
      </c>
      <c r="G37" s="2">
        <v>24</v>
      </c>
      <c r="H37" s="2">
        <v>5</v>
      </c>
      <c r="I37" s="2">
        <v>1</v>
      </c>
      <c r="J37" s="2">
        <v>2</v>
      </c>
      <c r="K37" s="2">
        <v>0</v>
      </c>
      <c r="L37" s="2">
        <v>0</v>
      </c>
      <c r="M37" s="2">
        <v>0</v>
      </c>
      <c r="N37" s="2"/>
    </row>
    <row r="38" spans="1:14" x14ac:dyDescent="0.25">
      <c r="A38" s="2" t="s">
        <v>547</v>
      </c>
      <c r="B38" s="2">
        <v>2</v>
      </c>
      <c r="C38" s="2">
        <v>2</v>
      </c>
      <c r="D38" s="2">
        <v>4</v>
      </c>
      <c r="E38" s="2">
        <v>7</v>
      </c>
      <c r="F38" s="2">
        <v>35</v>
      </c>
      <c r="G38" s="2">
        <v>28</v>
      </c>
      <c r="H38" s="2">
        <v>6</v>
      </c>
      <c r="I38" s="2">
        <v>2</v>
      </c>
      <c r="J38" s="2">
        <v>2</v>
      </c>
      <c r="K38" s="2">
        <v>1</v>
      </c>
      <c r="L38" s="2">
        <v>0</v>
      </c>
      <c r="M38" s="2">
        <v>0</v>
      </c>
      <c r="N38" s="2"/>
    </row>
    <row r="39" spans="1:14" x14ac:dyDescent="0.25">
      <c r="A39" s="2" t="s">
        <v>548</v>
      </c>
      <c r="B39" s="2">
        <v>1</v>
      </c>
      <c r="C39" s="2">
        <v>2</v>
      </c>
      <c r="D39" s="2">
        <v>1</v>
      </c>
      <c r="E39" s="2">
        <v>7</v>
      </c>
      <c r="F39" s="2">
        <v>57</v>
      </c>
      <c r="G39" s="2">
        <v>55</v>
      </c>
      <c r="H39" s="2">
        <v>8</v>
      </c>
      <c r="I39" s="2">
        <v>2</v>
      </c>
      <c r="J39" s="2">
        <v>2</v>
      </c>
      <c r="K39" s="2">
        <v>1</v>
      </c>
      <c r="L39" s="2">
        <v>0</v>
      </c>
      <c r="M39" s="2">
        <v>0</v>
      </c>
      <c r="N39" s="2"/>
    </row>
    <row r="40" spans="1:14" x14ac:dyDescent="0.25">
      <c r="A40" s="2" t="s">
        <v>549</v>
      </c>
      <c r="B40" s="2">
        <v>0</v>
      </c>
      <c r="C40" s="2">
        <v>1</v>
      </c>
      <c r="D40" s="2">
        <v>3</v>
      </c>
      <c r="E40" s="2">
        <v>0</v>
      </c>
      <c r="F40" s="2">
        <v>5</v>
      </c>
      <c r="G40" s="2">
        <v>2</v>
      </c>
      <c r="H40" s="2">
        <v>4</v>
      </c>
      <c r="I40" s="2">
        <v>1</v>
      </c>
      <c r="J40" s="2">
        <v>1</v>
      </c>
      <c r="K40" s="2">
        <v>1</v>
      </c>
      <c r="L40" s="2">
        <v>0</v>
      </c>
      <c r="M40" s="2">
        <v>0</v>
      </c>
      <c r="N40" s="2"/>
    </row>
    <row r="41" spans="1:14" x14ac:dyDescent="0.25">
      <c r="A41" s="2" t="s">
        <v>550</v>
      </c>
      <c r="B41" s="2">
        <v>0</v>
      </c>
      <c r="C41" s="2">
        <v>0</v>
      </c>
      <c r="D41" s="2">
        <v>2</v>
      </c>
      <c r="E41" s="2">
        <v>0</v>
      </c>
      <c r="F41" s="2">
        <v>0</v>
      </c>
      <c r="G41" s="2">
        <v>0</v>
      </c>
      <c r="H41" s="2">
        <v>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/>
    </row>
    <row r="42" spans="1:14" x14ac:dyDescent="0.25">
      <c r="A42" s="2" t="s">
        <v>551</v>
      </c>
      <c r="B42" s="2">
        <v>0</v>
      </c>
      <c r="C42" s="2">
        <v>0</v>
      </c>
      <c r="D42" s="2">
        <v>1</v>
      </c>
      <c r="E42" s="2">
        <v>0</v>
      </c>
      <c r="F42" s="2">
        <v>1</v>
      </c>
      <c r="G42" s="2">
        <v>3</v>
      </c>
      <c r="H42" s="2">
        <v>6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/>
    </row>
    <row r="43" spans="1:14" x14ac:dyDescent="0.25">
      <c r="A43" s="2" t="s">
        <v>552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/>
    </row>
    <row r="44" spans="1:1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0" t="s">
        <v>568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14" x14ac:dyDescent="0.25">
      <c r="A47" s="1" t="s">
        <v>533</v>
      </c>
      <c r="B47" s="1" t="s">
        <v>36</v>
      </c>
      <c r="C47" s="1" t="s">
        <v>44</v>
      </c>
      <c r="D47" s="1" t="s">
        <v>51</v>
      </c>
      <c r="E47" s="1" t="s">
        <v>56</v>
      </c>
      <c r="F47" s="1" t="s">
        <v>59</v>
      </c>
      <c r="G47" s="1" t="s">
        <v>61</v>
      </c>
      <c r="H47" s="1" t="s">
        <v>62</v>
      </c>
      <c r="I47" s="1" t="s">
        <v>63</v>
      </c>
      <c r="J47" s="2"/>
      <c r="K47" s="2"/>
      <c r="L47" s="2"/>
      <c r="M47" s="2"/>
      <c r="N47" s="2"/>
    </row>
    <row r="48" spans="1:14" x14ac:dyDescent="0.25">
      <c r="A48" s="2" t="s">
        <v>569</v>
      </c>
      <c r="B48" s="2">
        <v>1</v>
      </c>
      <c r="C48" s="2">
        <v>1</v>
      </c>
      <c r="D48" s="2">
        <v>0</v>
      </c>
      <c r="E48" s="2">
        <v>0</v>
      </c>
      <c r="F48" s="2">
        <v>7</v>
      </c>
      <c r="G48" s="2">
        <v>0</v>
      </c>
      <c r="H48" s="2">
        <v>1</v>
      </c>
      <c r="I48" s="2">
        <v>0</v>
      </c>
      <c r="J48" s="2"/>
      <c r="K48" s="2"/>
      <c r="L48" s="2"/>
      <c r="M48" s="2"/>
      <c r="N48" s="2"/>
    </row>
    <row r="49" spans="1:14" x14ac:dyDescent="0.25">
      <c r="A49" s="2" t="s">
        <v>570</v>
      </c>
      <c r="B49" s="2">
        <v>2</v>
      </c>
      <c r="C49" s="2">
        <v>1</v>
      </c>
      <c r="D49" s="2">
        <v>2</v>
      </c>
      <c r="E49" s="2">
        <v>2</v>
      </c>
      <c r="F49" s="2">
        <v>13</v>
      </c>
      <c r="G49" s="2">
        <v>1</v>
      </c>
      <c r="H49" s="2">
        <v>1</v>
      </c>
      <c r="I49" s="2">
        <v>0</v>
      </c>
      <c r="J49" s="2"/>
      <c r="K49" s="2"/>
      <c r="L49" s="2"/>
      <c r="M49" s="2"/>
      <c r="N49" s="2"/>
    </row>
    <row r="50" spans="1:14" x14ac:dyDescent="0.25">
      <c r="A50" s="2" t="s">
        <v>571</v>
      </c>
      <c r="B50" s="2">
        <v>0</v>
      </c>
      <c r="C50" s="2">
        <v>2</v>
      </c>
      <c r="D50" s="2">
        <v>2</v>
      </c>
      <c r="E50" s="2">
        <v>3</v>
      </c>
      <c r="F50" s="2">
        <v>22</v>
      </c>
      <c r="G50" s="2">
        <v>1</v>
      </c>
      <c r="H50" s="2">
        <v>0</v>
      </c>
      <c r="I50" s="2">
        <v>0</v>
      </c>
      <c r="J50" s="2"/>
      <c r="K50" s="2"/>
      <c r="L50" s="2"/>
      <c r="M50" s="2"/>
      <c r="N50" s="2"/>
    </row>
    <row r="51" spans="1:14" x14ac:dyDescent="0.25">
      <c r="A51" s="2" t="s">
        <v>572</v>
      </c>
      <c r="B51" s="2">
        <v>0</v>
      </c>
      <c r="C51" s="2">
        <v>1</v>
      </c>
      <c r="D51" s="2">
        <v>2</v>
      </c>
      <c r="E51" s="2">
        <v>1</v>
      </c>
      <c r="F51" s="2">
        <v>15</v>
      </c>
      <c r="G51" s="2">
        <v>0</v>
      </c>
      <c r="H51" s="2">
        <v>0</v>
      </c>
      <c r="I51" s="2">
        <v>0</v>
      </c>
      <c r="J51" s="2"/>
      <c r="K51" s="2"/>
      <c r="L51" s="2"/>
      <c r="M51" s="2"/>
      <c r="N51" s="2"/>
    </row>
    <row r="52" spans="1:1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10" t="s">
        <v>1389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2"/>
    </row>
    <row r="55" spans="1:14" x14ac:dyDescent="0.25">
      <c r="A55" s="11" t="s">
        <v>533</v>
      </c>
      <c r="B55" s="11" t="s">
        <v>1311</v>
      </c>
      <c r="C55" s="11" t="s">
        <v>1204</v>
      </c>
      <c r="D55" s="11" t="s">
        <v>1390</v>
      </c>
      <c r="E55" s="11" t="s">
        <v>1209</v>
      </c>
      <c r="F55" s="11" t="s">
        <v>1391</v>
      </c>
      <c r="G55" s="11" t="s">
        <v>1069</v>
      </c>
      <c r="H55" s="11" t="s">
        <v>1354</v>
      </c>
      <c r="I55" s="11" t="s">
        <v>1392</v>
      </c>
      <c r="J55" s="11" t="s">
        <v>1393</v>
      </c>
      <c r="K55" s="11" t="s">
        <v>1394</v>
      </c>
      <c r="L55" s="11" t="s">
        <v>1395</v>
      </c>
      <c r="M55" s="11" t="s">
        <v>1184</v>
      </c>
    </row>
    <row r="56" spans="1:14" x14ac:dyDescent="0.25">
      <c r="A56" t="s">
        <v>540</v>
      </c>
      <c r="B56">
        <v>5</v>
      </c>
      <c r="C56">
        <v>0</v>
      </c>
      <c r="D56">
        <v>5</v>
      </c>
      <c r="E56">
        <v>14</v>
      </c>
      <c r="F56">
        <v>11</v>
      </c>
      <c r="G56">
        <v>14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</row>
    <row r="57" spans="1:14" x14ac:dyDescent="0.25">
      <c r="A57" t="s">
        <v>541</v>
      </c>
      <c r="B57">
        <v>4</v>
      </c>
      <c r="C57">
        <v>3</v>
      </c>
      <c r="D57">
        <v>5</v>
      </c>
      <c r="E57">
        <v>6</v>
      </c>
      <c r="F57">
        <v>0</v>
      </c>
      <c r="G57">
        <v>12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4" x14ac:dyDescent="0.25">
      <c r="A58" t="s">
        <v>542</v>
      </c>
      <c r="B58">
        <v>1</v>
      </c>
      <c r="C58">
        <v>12</v>
      </c>
      <c r="D58">
        <v>2</v>
      </c>
      <c r="E58">
        <v>1</v>
      </c>
      <c r="F58">
        <v>1</v>
      </c>
      <c r="G58">
        <v>0</v>
      </c>
      <c r="H58">
        <v>12</v>
      </c>
      <c r="I58">
        <v>0</v>
      </c>
      <c r="J58">
        <v>3</v>
      </c>
      <c r="K58">
        <v>5</v>
      </c>
      <c r="L58">
        <v>1</v>
      </c>
      <c r="M58">
        <v>9</v>
      </c>
    </row>
    <row r="59" spans="1:14" x14ac:dyDescent="0.25">
      <c r="A59" t="s">
        <v>543</v>
      </c>
      <c r="B59">
        <v>13</v>
      </c>
      <c r="C59">
        <v>19</v>
      </c>
      <c r="D59">
        <v>2</v>
      </c>
      <c r="E59">
        <v>1</v>
      </c>
      <c r="F59">
        <v>9</v>
      </c>
      <c r="G59">
        <v>1</v>
      </c>
      <c r="H59">
        <v>20</v>
      </c>
      <c r="I59">
        <v>0</v>
      </c>
      <c r="J59">
        <v>1</v>
      </c>
      <c r="K59">
        <v>1</v>
      </c>
      <c r="L59">
        <v>0</v>
      </c>
      <c r="M59">
        <v>0</v>
      </c>
    </row>
    <row r="61" spans="1:14" x14ac:dyDescent="0.25">
      <c r="A61" s="12" t="s">
        <v>1396</v>
      </c>
      <c r="B61" s="12"/>
      <c r="C61" s="12"/>
      <c r="D61" s="12"/>
      <c r="E61" s="12"/>
      <c r="F61" s="12"/>
      <c r="G61" s="12"/>
      <c r="H61" s="12"/>
      <c r="I61" s="12"/>
    </row>
    <row r="62" spans="1:14" x14ac:dyDescent="0.25">
      <c r="A62" s="11" t="s">
        <v>533</v>
      </c>
      <c r="B62" s="11" t="s">
        <v>36</v>
      </c>
      <c r="C62" s="11" t="s">
        <v>44</v>
      </c>
      <c r="D62" s="11" t="s">
        <v>51</v>
      </c>
      <c r="E62" s="11" t="s">
        <v>56</v>
      </c>
      <c r="F62" s="11" t="s">
        <v>59</v>
      </c>
      <c r="G62" s="11" t="s">
        <v>61</v>
      </c>
      <c r="H62" s="11" t="s">
        <v>62</v>
      </c>
      <c r="I62" s="11" t="s">
        <v>63</v>
      </c>
    </row>
    <row r="63" spans="1:14" x14ac:dyDescent="0.25">
      <c r="A63" t="s">
        <v>1190</v>
      </c>
      <c r="B63">
        <v>0</v>
      </c>
      <c r="C63">
        <v>3</v>
      </c>
      <c r="D63">
        <v>0</v>
      </c>
      <c r="E63">
        <v>3</v>
      </c>
      <c r="F63">
        <v>38</v>
      </c>
      <c r="G63">
        <v>1</v>
      </c>
      <c r="H63">
        <v>1</v>
      </c>
      <c r="I63">
        <v>0</v>
      </c>
    </row>
    <row r="64" spans="1:14" x14ac:dyDescent="0.25">
      <c r="A64" t="s">
        <v>1397</v>
      </c>
      <c r="B64">
        <v>0</v>
      </c>
      <c r="C64">
        <v>0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</row>
    <row r="65" spans="1:9" x14ac:dyDescent="0.25">
      <c r="A65" t="s">
        <v>1198</v>
      </c>
      <c r="B65">
        <v>0</v>
      </c>
      <c r="C65">
        <v>1</v>
      </c>
      <c r="D65">
        <v>0</v>
      </c>
      <c r="E65">
        <v>2</v>
      </c>
      <c r="F65">
        <v>9</v>
      </c>
      <c r="G65">
        <v>0</v>
      </c>
      <c r="H65">
        <v>1</v>
      </c>
      <c r="I65">
        <v>0</v>
      </c>
    </row>
    <row r="66" spans="1:9" x14ac:dyDescent="0.25">
      <c r="A66" t="s">
        <v>1398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1014</v>
      </c>
      <c r="B67">
        <v>0</v>
      </c>
      <c r="C67">
        <v>0</v>
      </c>
      <c r="D67">
        <v>6</v>
      </c>
      <c r="E67">
        <v>3</v>
      </c>
      <c r="F67">
        <v>12</v>
      </c>
      <c r="G67">
        <v>1</v>
      </c>
      <c r="H67">
        <v>0</v>
      </c>
      <c r="I67">
        <v>0</v>
      </c>
    </row>
    <row r="68" spans="1:9" x14ac:dyDescent="0.25">
      <c r="A68" t="s">
        <v>1029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</row>
    <row r="69" spans="1:9" x14ac:dyDescent="0.25">
      <c r="A69" t="s">
        <v>1105</v>
      </c>
      <c r="B69">
        <v>2</v>
      </c>
      <c r="C69">
        <v>0</v>
      </c>
      <c r="D69">
        <v>0</v>
      </c>
      <c r="E69">
        <v>0</v>
      </c>
      <c r="F69">
        <v>12</v>
      </c>
      <c r="G69">
        <v>0</v>
      </c>
      <c r="H69">
        <v>0</v>
      </c>
      <c r="I69">
        <v>0</v>
      </c>
    </row>
    <row r="71" spans="1:9" ht="30" x14ac:dyDescent="0.25">
      <c r="A71" s="12" t="s">
        <v>1399</v>
      </c>
      <c r="B71" s="12"/>
      <c r="C71" s="12"/>
      <c r="D71" s="12"/>
      <c r="E71" s="12"/>
      <c r="F71" s="12"/>
      <c r="G71" s="12"/>
    </row>
    <row r="72" spans="1:9" x14ac:dyDescent="0.25">
      <c r="A72" s="11" t="s">
        <v>533</v>
      </c>
      <c r="B72" s="11" t="s">
        <v>1400</v>
      </c>
      <c r="C72" s="11" t="s">
        <v>1401</v>
      </c>
      <c r="D72" s="11" t="s">
        <v>1402</v>
      </c>
      <c r="E72" s="11" t="s">
        <v>1403</v>
      </c>
      <c r="F72" s="11" t="s">
        <v>1404</v>
      </c>
      <c r="G72" s="11" t="s">
        <v>1405</v>
      </c>
    </row>
    <row r="73" spans="1:9" x14ac:dyDescent="0.25">
      <c r="A73" t="s">
        <v>997</v>
      </c>
      <c r="B73">
        <v>0</v>
      </c>
      <c r="C73">
        <v>3</v>
      </c>
      <c r="D73">
        <v>3</v>
      </c>
      <c r="E73">
        <v>7</v>
      </c>
      <c r="F73">
        <v>0</v>
      </c>
      <c r="G73">
        <v>0</v>
      </c>
    </row>
    <row r="74" spans="1:9" x14ac:dyDescent="0.25">
      <c r="A74" t="s">
        <v>1121</v>
      </c>
      <c r="B74">
        <v>2</v>
      </c>
      <c r="C74">
        <v>3</v>
      </c>
      <c r="D74">
        <v>3</v>
      </c>
      <c r="E74">
        <v>5</v>
      </c>
      <c r="F74">
        <v>0</v>
      </c>
      <c r="G74">
        <v>1</v>
      </c>
    </row>
    <row r="75" spans="1:9" x14ac:dyDescent="0.25">
      <c r="A75" t="s">
        <v>1087</v>
      </c>
      <c r="B75">
        <v>1</v>
      </c>
      <c r="C75">
        <v>0</v>
      </c>
      <c r="D75">
        <v>0</v>
      </c>
      <c r="E75">
        <v>10</v>
      </c>
      <c r="F75">
        <v>0</v>
      </c>
      <c r="G75">
        <v>0</v>
      </c>
    </row>
    <row r="76" spans="1:9" x14ac:dyDescent="0.25">
      <c r="A76" t="s">
        <v>1074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</row>
    <row r="77" spans="1:9" x14ac:dyDescent="0.25">
      <c r="A77" t="s">
        <v>955</v>
      </c>
      <c r="B77">
        <v>0</v>
      </c>
      <c r="C77">
        <v>0</v>
      </c>
      <c r="D77">
        <v>0</v>
      </c>
      <c r="E77">
        <v>4</v>
      </c>
      <c r="F77">
        <v>0</v>
      </c>
      <c r="G77">
        <v>0</v>
      </c>
    </row>
    <row r="78" spans="1:9" x14ac:dyDescent="0.25">
      <c r="A78" t="s">
        <v>1028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</row>
    <row r="79" spans="1:9" x14ac:dyDescent="0.25">
      <c r="A79" t="s">
        <v>990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</row>
    <row r="80" spans="1:9" x14ac:dyDescent="0.25">
      <c r="A80" t="s">
        <v>1136</v>
      </c>
      <c r="B80">
        <v>0</v>
      </c>
      <c r="C80">
        <v>2</v>
      </c>
      <c r="D80">
        <v>0</v>
      </c>
      <c r="E80">
        <v>28</v>
      </c>
      <c r="F80">
        <v>1</v>
      </c>
      <c r="G80">
        <v>1</v>
      </c>
    </row>
    <row r="81" spans="1:7" x14ac:dyDescent="0.25">
      <c r="A81" t="s">
        <v>1033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</row>
    <row r="82" spans="1:7" x14ac:dyDescent="0.25">
      <c r="A82" t="s">
        <v>1020</v>
      </c>
      <c r="B82">
        <v>0</v>
      </c>
      <c r="C82">
        <v>1</v>
      </c>
      <c r="D82">
        <v>0</v>
      </c>
      <c r="E82">
        <v>2</v>
      </c>
      <c r="F82">
        <v>0</v>
      </c>
      <c r="G82">
        <v>0</v>
      </c>
    </row>
    <row r="85" spans="1:7" ht="30" x14ac:dyDescent="0.25">
      <c r="A85" s="12" t="s">
        <v>1406</v>
      </c>
      <c r="B85" s="12"/>
      <c r="C85" s="12"/>
      <c r="D85" s="12"/>
      <c r="E85" s="12"/>
      <c r="F85" s="12"/>
      <c r="G85" s="12"/>
    </row>
    <row r="86" spans="1:7" x14ac:dyDescent="0.25">
      <c r="A86" s="11" t="s">
        <v>533</v>
      </c>
      <c r="B86" s="11" t="s">
        <v>1400</v>
      </c>
      <c r="C86" s="11" t="s">
        <v>1401</v>
      </c>
      <c r="D86" s="11" t="s">
        <v>1402</v>
      </c>
      <c r="E86" s="11" t="s">
        <v>1403</v>
      </c>
      <c r="F86" s="11" t="s">
        <v>1404</v>
      </c>
      <c r="G86" s="11" t="s">
        <v>1405</v>
      </c>
    </row>
    <row r="87" spans="1:7" x14ac:dyDescent="0.25">
      <c r="A87" t="s">
        <v>1311</v>
      </c>
      <c r="B87">
        <v>0</v>
      </c>
      <c r="C87">
        <v>4</v>
      </c>
      <c r="D87">
        <v>0</v>
      </c>
      <c r="E87">
        <v>18</v>
      </c>
      <c r="F87">
        <v>0</v>
      </c>
      <c r="G87">
        <v>0</v>
      </c>
    </row>
    <row r="88" spans="1:7" x14ac:dyDescent="0.25">
      <c r="A88" t="s">
        <v>1204</v>
      </c>
      <c r="B88">
        <v>2</v>
      </c>
      <c r="C88">
        <v>2</v>
      </c>
      <c r="D88">
        <v>3</v>
      </c>
      <c r="E88">
        <v>21</v>
      </c>
      <c r="F88">
        <v>1</v>
      </c>
      <c r="G88">
        <v>1</v>
      </c>
    </row>
    <row r="89" spans="1:7" x14ac:dyDescent="0.25">
      <c r="A89" t="s">
        <v>1390</v>
      </c>
      <c r="B89">
        <v>1</v>
      </c>
      <c r="C89">
        <v>2</v>
      </c>
      <c r="D89">
        <v>0</v>
      </c>
      <c r="E89">
        <v>8</v>
      </c>
      <c r="F89">
        <v>0</v>
      </c>
      <c r="G89">
        <v>1</v>
      </c>
    </row>
    <row r="90" spans="1:7" x14ac:dyDescent="0.25">
      <c r="A90" t="s">
        <v>1209</v>
      </c>
      <c r="B90">
        <v>0</v>
      </c>
      <c r="C90">
        <v>3</v>
      </c>
      <c r="D90">
        <v>2</v>
      </c>
      <c r="E90">
        <v>15</v>
      </c>
      <c r="F90">
        <v>1</v>
      </c>
      <c r="G90">
        <v>0</v>
      </c>
    </row>
    <row r="91" spans="1:7" x14ac:dyDescent="0.25">
      <c r="A91" t="s">
        <v>1391</v>
      </c>
      <c r="B91">
        <v>0</v>
      </c>
      <c r="C91">
        <v>5</v>
      </c>
      <c r="D91">
        <v>1</v>
      </c>
      <c r="E91">
        <v>15</v>
      </c>
      <c r="F91">
        <v>0</v>
      </c>
      <c r="G91">
        <v>0</v>
      </c>
    </row>
    <row r="92" spans="1:7" x14ac:dyDescent="0.25">
      <c r="A92" t="s">
        <v>1069</v>
      </c>
      <c r="B92">
        <v>1</v>
      </c>
      <c r="C92">
        <v>3</v>
      </c>
      <c r="D92">
        <v>3</v>
      </c>
      <c r="E92">
        <v>18</v>
      </c>
      <c r="F92">
        <v>1</v>
      </c>
      <c r="G92">
        <v>0</v>
      </c>
    </row>
    <row r="93" spans="1:7" x14ac:dyDescent="0.25">
      <c r="A93" t="s">
        <v>1354</v>
      </c>
      <c r="B93">
        <v>0</v>
      </c>
      <c r="C93">
        <v>3</v>
      </c>
      <c r="D93">
        <v>3</v>
      </c>
      <c r="E93">
        <v>23</v>
      </c>
      <c r="F93">
        <v>0</v>
      </c>
      <c r="G93">
        <v>2</v>
      </c>
    </row>
    <row r="94" spans="1:7" x14ac:dyDescent="0.25">
      <c r="A94" t="s">
        <v>1392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</row>
    <row r="95" spans="1:7" x14ac:dyDescent="0.25">
      <c r="A95" t="s">
        <v>1393</v>
      </c>
      <c r="B95">
        <v>0</v>
      </c>
      <c r="C95">
        <v>1</v>
      </c>
      <c r="D95">
        <v>0</v>
      </c>
      <c r="E95">
        <v>2</v>
      </c>
      <c r="F95">
        <v>0</v>
      </c>
      <c r="G95">
        <v>0</v>
      </c>
    </row>
    <row r="96" spans="1:7" x14ac:dyDescent="0.25">
      <c r="A96" t="s">
        <v>1394</v>
      </c>
      <c r="B96">
        <v>0</v>
      </c>
      <c r="C96">
        <v>0</v>
      </c>
      <c r="D96">
        <v>0</v>
      </c>
      <c r="E96">
        <v>1</v>
      </c>
      <c r="F96">
        <v>1</v>
      </c>
      <c r="G96">
        <v>0</v>
      </c>
    </row>
    <row r="97" spans="1:7" x14ac:dyDescent="0.25">
      <c r="A97" t="s">
        <v>1395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</row>
    <row r="98" spans="1:7" x14ac:dyDescent="0.25">
      <c r="A98" t="s">
        <v>1184</v>
      </c>
      <c r="B98">
        <v>0</v>
      </c>
      <c r="C98">
        <v>0</v>
      </c>
      <c r="D98">
        <v>0</v>
      </c>
      <c r="E98">
        <v>2</v>
      </c>
      <c r="F98">
        <v>0</v>
      </c>
      <c r="G98">
        <v>0</v>
      </c>
    </row>
  </sheetData>
  <mergeCells count="7">
    <mergeCell ref="A46:N46"/>
    <mergeCell ref="A1:N1"/>
    <mergeCell ref="A26:N26"/>
    <mergeCell ref="A2:N2"/>
    <mergeCell ref="A34:N34"/>
    <mergeCell ref="A18:N18"/>
    <mergeCell ref="A10:N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J13"/>
  <sheetViews>
    <sheetView workbookViewId="0">
      <selection activeCell="A2" sqref="A2:XFD2"/>
    </sheetView>
  </sheetViews>
  <sheetFormatPr defaultRowHeight="15" x14ac:dyDescent="0.25"/>
  <cols>
    <col min="1" max="1" width="10" customWidth="1"/>
    <col min="2" max="2" width="34" customWidth="1"/>
    <col min="3" max="3" width="36" customWidth="1"/>
    <col min="4" max="4" width="38" customWidth="1"/>
    <col min="5" max="5" width="34" customWidth="1"/>
    <col min="6" max="6" width="44" customWidth="1"/>
    <col min="7" max="8" width="55" customWidth="1"/>
    <col min="9" max="9" width="14" customWidth="1"/>
    <col min="10" max="10" width="22" customWidth="1"/>
  </cols>
  <sheetData>
    <row r="1" spans="1:10" ht="18.75" x14ac:dyDescent="0.3">
      <c r="A1" s="15" t="s">
        <v>573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30" x14ac:dyDescent="0.25">
      <c r="A2" s="3" t="s">
        <v>574</v>
      </c>
      <c r="B2" s="3" t="s">
        <v>575</v>
      </c>
      <c r="C2" s="3" t="s">
        <v>576</v>
      </c>
      <c r="D2" s="3" t="s">
        <v>577</v>
      </c>
      <c r="E2" s="3" t="s">
        <v>578</v>
      </c>
      <c r="F2" s="3" t="s">
        <v>3</v>
      </c>
      <c r="G2" s="3" t="s">
        <v>579</v>
      </c>
      <c r="H2" s="3" t="s">
        <v>580</v>
      </c>
      <c r="I2" s="3" t="s">
        <v>581</v>
      </c>
      <c r="J2" s="3" t="s">
        <v>582</v>
      </c>
    </row>
    <row r="3" spans="1:10" ht="81" x14ac:dyDescent="0.25">
      <c r="A3" s="2" t="s">
        <v>583</v>
      </c>
      <c r="B3" s="2" t="s">
        <v>584</v>
      </c>
      <c r="C3" s="2" t="s">
        <v>585</v>
      </c>
      <c r="D3" s="2" t="s">
        <v>586</v>
      </c>
      <c r="E3" s="2" t="s">
        <v>587</v>
      </c>
      <c r="F3" s="2" t="s">
        <v>588</v>
      </c>
      <c r="G3" s="2" t="s">
        <v>589</v>
      </c>
      <c r="H3" s="2" t="s">
        <v>590</v>
      </c>
      <c r="I3" s="2" t="s">
        <v>1407</v>
      </c>
      <c r="J3" s="2" t="s">
        <v>591</v>
      </c>
    </row>
    <row r="4" spans="1:10" ht="27" x14ac:dyDescent="0.25">
      <c r="A4" s="2" t="s">
        <v>592</v>
      </c>
      <c r="B4" s="2" t="s">
        <v>593</v>
      </c>
      <c r="C4" s="2" t="s">
        <v>594</v>
      </c>
      <c r="D4" s="2" t="s">
        <v>595</v>
      </c>
      <c r="E4" s="2" t="s">
        <v>420</v>
      </c>
      <c r="F4" s="2" t="s">
        <v>596</v>
      </c>
      <c r="G4" s="2" t="s">
        <v>597</v>
      </c>
      <c r="H4" s="2" t="s">
        <v>598</v>
      </c>
      <c r="I4" s="2" t="s">
        <v>1408</v>
      </c>
      <c r="J4" s="2" t="s">
        <v>423</v>
      </c>
    </row>
    <row r="5" spans="1:10" ht="40.5" x14ac:dyDescent="0.25">
      <c r="A5" s="2" t="s">
        <v>599</v>
      </c>
      <c r="B5" s="2" t="s">
        <v>600</v>
      </c>
      <c r="C5" s="2" t="s">
        <v>601</v>
      </c>
      <c r="D5" s="2" t="s">
        <v>602</v>
      </c>
      <c r="E5" s="2" t="s">
        <v>603</v>
      </c>
      <c r="F5" s="2" t="s">
        <v>604</v>
      </c>
      <c r="G5" s="2" t="s">
        <v>605</v>
      </c>
      <c r="H5" s="2" t="s">
        <v>606</v>
      </c>
      <c r="I5" s="2" t="s">
        <v>1409</v>
      </c>
      <c r="J5" s="2" t="s">
        <v>607</v>
      </c>
    </row>
    <row r="6" spans="1:10" ht="27" x14ac:dyDescent="0.25">
      <c r="A6" s="2" t="s">
        <v>608</v>
      </c>
      <c r="B6" s="2" t="s">
        <v>609</v>
      </c>
      <c r="C6" s="2" t="s">
        <v>610</v>
      </c>
      <c r="D6" s="2" t="s">
        <v>611</v>
      </c>
      <c r="E6" s="2" t="s">
        <v>612</v>
      </c>
      <c r="F6" s="2" t="s">
        <v>613</v>
      </c>
      <c r="G6" s="2" t="s">
        <v>614</v>
      </c>
      <c r="H6" s="2" t="s">
        <v>615</v>
      </c>
      <c r="I6" s="2" t="s">
        <v>1408</v>
      </c>
      <c r="J6" s="2" t="s">
        <v>505</v>
      </c>
    </row>
    <row r="7" spans="1:10" ht="67.5" x14ac:dyDescent="0.25">
      <c r="A7" s="2" t="s">
        <v>616</v>
      </c>
      <c r="B7" s="2" t="s">
        <v>475</v>
      </c>
      <c r="C7" s="2" t="s">
        <v>617</v>
      </c>
      <c r="D7" s="2" t="s">
        <v>618</v>
      </c>
      <c r="E7" s="2" t="s">
        <v>619</v>
      </c>
      <c r="F7" s="2" t="s">
        <v>620</v>
      </c>
      <c r="G7" s="2" t="s">
        <v>621</v>
      </c>
      <c r="H7" s="2" t="s">
        <v>622</v>
      </c>
      <c r="I7" s="2" t="s">
        <v>1410</v>
      </c>
      <c r="J7" s="2" t="s">
        <v>472</v>
      </c>
    </row>
    <row r="8" spans="1:10" ht="54" x14ac:dyDescent="0.25">
      <c r="A8" s="2" t="s">
        <v>623</v>
      </c>
      <c r="B8" s="2" t="s">
        <v>624</v>
      </c>
      <c r="C8" s="2" t="s">
        <v>625</v>
      </c>
      <c r="D8" s="2" t="s">
        <v>626</v>
      </c>
      <c r="E8" s="2" t="s">
        <v>627</v>
      </c>
      <c r="F8" s="2" t="s">
        <v>628</v>
      </c>
      <c r="G8" s="2" t="s">
        <v>629</v>
      </c>
      <c r="H8" s="2" t="s">
        <v>630</v>
      </c>
      <c r="I8" s="2" t="s">
        <v>1411</v>
      </c>
      <c r="J8" s="2" t="s">
        <v>486</v>
      </c>
    </row>
    <row r="9" spans="1:10" ht="54" x14ac:dyDescent="0.25">
      <c r="A9" s="2" t="s">
        <v>631</v>
      </c>
      <c r="B9" s="2" t="s">
        <v>501</v>
      </c>
      <c r="C9" s="2" t="s">
        <v>632</v>
      </c>
      <c r="D9" s="2" t="s">
        <v>633</v>
      </c>
      <c r="E9" s="2" t="s">
        <v>634</v>
      </c>
      <c r="F9" s="2" t="s">
        <v>635</v>
      </c>
      <c r="G9" s="2" t="s">
        <v>636</v>
      </c>
      <c r="H9" s="2" t="s">
        <v>637</v>
      </c>
      <c r="I9" s="2" t="s">
        <v>1411</v>
      </c>
      <c r="J9" s="2" t="s">
        <v>498</v>
      </c>
    </row>
    <row r="10" spans="1:10" ht="27" x14ac:dyDescent="0.25">
      <c r="A10" s="2" t="s">
        <v>638</v>
      </c>
      <c r="B10" s="2" t="s">
        <v>639</v>
      </c>
      <c r="C10" s="2" t="s">
        <v>640</v>
      </c>
      <c r="D10" s="2" t="s">
        <v>641</v>
      </c>
      <c r="E10" s="2" t="s">
        <v>619</v>
      </c>
      <c r="F10" s="2" t="s">
        <v>642</v>
      </c>
      <c r="G10" s="2" t="s">
        <v>643</v>
      </c>
      <c r="H10" s="2" t="s">
        <v>644</v>
      </c>
      <c r="I10" s="2" t="s">
        <v>1412</v>
      </c>
      <c r="J10" s="2" t="s">
        <v>472</v>
      </c>
    </row>
    <row r="11" spans="1:10" ht="54" x14ac:dyDescent="0.25">
      <c r="A11" s="2" t="s">
        <v>645</v>
      </c>
      <c r="B11" s="2" t="s">
        <v>646</v>
      </c>
      <c r="C11" s="2" t="s">
        <v>647</v>
      </c>
      <c r="D11" s="2" t="s">
        <v>648</v>
      </c>
      <c r="E11" s="2" t="s">
        <v>649</v>
      </c>
      <c r="F11" s="2" t="s">
        <v>650</v>
      </c>
      <c r="G11" s="2" t="s">
        <v>651</v>
      </c>
      <c r="H11" s="2" t="s">
        <v>652</v>
      </c>
      <c r="I11" s="2" t="s">
        <v>1413</v>
      </c>
      <c r="J11" s="2" t="s">
        <v>15</v>
      </c>
    </row>
    <row r="12" spans="1:10" ht="54" x14ac:dyDescent="0.25">
      <c r="A12" s="2" t="s">
        <v>653</v>
      </c>
      <c r="B12" s="2" t="s">
        <v>654</v>
      </c>
      <c r="C12" s="2" t="s">
        <v>88</v>
      </c>
      <c r="D12" s="2" t="s">
        <v>655</v>
      </c>
      <c r="E12" s="2" t="s">
        <v>649</v>
      </c>
      <c r="F12" s="2" t="s">
        <v>656</v>
      </c>
      <c r="G12" s="2" t="s">
        <v>657</v>
      </c>
      <c r="H12" s="2" t="s">
        <v>658</v>
      </c>
      <c r="I12" s="2" t="s">
        <v>1414</v>
      </c>
      <c r="J12" s="2" t="s">
        <v>15</v>
      </c>
    </row>
    <row r="13" spans="1:10" ht="54" x14ac:dyDescent="0.25">
      <c r="A13" s="2" t="s">
        <v>659</v>
      </c>
      <c r="B13" s="2" t="s">
        <v>660</v>
      </c>
      <c r="C13" s="2" t="s">
        <v>661</v>
      </c>
      <c r="D13" s="2" t="s">
        <v>662</v>
      </c>
      <c r="E13" s="2" t="s">
        <v>663</v>
      </c>
      <c r="F13" s="2" t="s">
        <v>664</v>
      </c>
      <c r="G13" s="2" t="s">
        <v>665</v>
      </c>
      <c r="H13" s="2" t="s">
        <v>666</v>
      </c>
      <c r="I13" s="2" t="s">
        <v>1415</v>
      </c>
      <c r="J13" s="2" t="s">
        <v>667</v>
      </c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N96"/>
  <sheetViews>
    <sheetView workbookViewId="0">
      <selection activeCell="A2" sqref="A2:XFD2"/>
    </sheetView>
  </sheetViews>
  <sheetFormatPr defaultRowHeight="15" x14ac:dyDescent="0.25"/>
  <cols>
    <col min="1" max="1" width="11" customWidth="1"/>
    <col min="2" max="2" width="24" customWidth="1"/>
    <col min="3" max="3" width="9" customWidth="1"/>
    <col min="4" max="4" width="50" customWidth="1"/>
    <col min="5" max="5" width="28" customWidth="1"/>
    <col min="6" max="6" width="45" customWidth="1"/>
    <col min="7" max="8" width="34" customWidth="1"/>
    <col min="9" max="9" width="52" customWidth="1"/>
    <col min="10" max="10" width="40" customWidth="1"/>
    <col min="11" max="11" width="48" customWidth="1"/>
    <col min="12" max="12" width="18" customWidth="1"/>
    <col min="13" max="13" width="24" customWidth="1"/>
    <col min="14" max="14" width="58" customWidth="1"/>
  </cols>
  <sheetData>
    <row r="1" spans="1:14" ht="18.75" x14ac:dyDescent="0.3">
      <c r="A1" s="15" t="s">
        <v>668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25">
      <c r="A2" s="3" t="s">
        <v>65</v>
      </c>
      <c r="B2" s="3" t="s">
        <v>669</v>
      </c>
      <c r="C2" s="3" t="s">
        <v>68</v>
      </c>
      <c r="D2" s="3" t="s">
        <v>670</v>
      </c>
      <c r="E2" s="3" t="s">
        <v>671</v>
      </c>
      <c r="F2" s="3" t="s">
        <v>672</v>
      </c>
      <c r="G2" s="3" t="s">
        <v>673</v>
      </c>
      <c r="H2" s="3" t="s">
        <v>87</v>
      </c>
      <c r="I2" s="3" t="s">
        <v>674</v>
      </c>
      <c r="J2" s="3" t="s">
        <v>675</v>
      </c>
      <c r="K2" s="3" t="s">
        <v>676</v>
      </c>
      <c r="L2" s="3" t="s">
        <v>89</v>
      </c>
      <c r="M2" s="3" t="s">
        <v>90</v>
      </c>
      <c r="N2" s="3" t="s">
        <v>677</v>
      </c>
    </row>
    <row r="3" spans="1:14" ht="27" x14ac:dyDescent="0.25">
      <c r="A3" s="2" t="s">
        <v>99</v>
      </c>
      <c r="B3" s="2" t="s">
        <v>954</v>
      </c>
      <c r="C3" s="2">
        <v>2017</v>
      </c>
      <c r="D3" s="2" t="s">
        <v>678</v>
      </c>
      <c r="E3" s="2" t="s">
        <v>1416</v>
      </c>
      <c r="F3" s="2" t="s">
        <v>101</v>
      </c>
      <c r="G3" s="2" t="s">
        <v>963</v>
      </c>
      <c r="H3" s="2" t="s">
        <v>963</v>
      </c>
      <c r="I3" s="2" t="s">
        <v>1417</v>
      </c>
      <c r="J3" s="2" t="s">
        <v>1418</v>
      </c>
      <c r="K3" s="2" t="s">
        <v>1419</v>
      </c>
      <c r="L3" s="2" t="s">
        <v>965</v>
      </c>
      <c r="M3" s="2" t="s">
        <v>966</v>
      </c>
      <c r="N3" s="2" t="s">
        <v>1420</v>
      </c>
    </row>
    <row r="4" spans="1:14" ht="27" x14ac:dyDescent="0.25">
      <c r="A4" s="2" t="s">
        <v>102</v>
      </c>
      <c r="B4" s="2" t="s">
        <v>954</v>
      </c>
      <c r="C4" s="2">
        <v>2018</v>
      </c>
      <c r="D4" s="2" t="s">
        <v>679</v>
      </c>
      <c r="E4" s="2" t="s">
        <v>1421</v>
      </c>
      <c r="F4" s="2" t="s">
        <v>104</v>
      </c>
      <c r="G4" s="2" t="s">
        <v>963</v>
      </c>
      <c r="H4" s="2" t="s">
        <v>963</v>
      </c>
      <c r="I4" s="2" t="s">
        <v>1417</v>
      </c>
      <c r="J4" s="2" t="s">
        <v>1418</v>
      </c>
      <c r="K4" s="2" t="s">
        <v>1419</v>
      </c>
      <c r="L4" s="2" t="s">
        <v>965</v>
      </c>
      <c r="M4" s="2" t="s">
        <v>966</v>
      </c>
      <c r="N4" s="2" t="s">
        <v>1420</v>
      </c>
    </row>
    <row r="5" spans="1:14" ht="27" x14ac:dyDescent="0.25">
      <c r="A5" s="2" t="s">
        <v>105</v>
      </c>
      <c r="B5" s="2" t="s">
        <v>954</v>
      </c>
      <c r="C5" s="2">
        <v>2019</v>
      </c>
      <c r="D5" s="2" t="s">
        <v>680</v>
      </c>
      <c r="E5" s="2" t="s">
        <v>1422</v>
      </c>
      <c r="F5" s="2" t="s">
        <v>107</v>
      </c>
      <c r="G5" s="2" t="s">
        <v>963</v>
      </c>
      <c r="H5" s="2" t="s">
        <v>963</v>
      </c>
      <c r="I5" s="2" t="s">
        <v>985</v>
      </c>
      <c r="J5" s="2" t="s">
        <v>1418</v>
      </c>
      <c r="K5" s="2" t="s">
        <v>1419</v>
      </c>
      <c r="L5" s="2" t="s">
        <v>965</v>
      </c>
      <c r="M5" s="2" t="s">
        <v>966</v>
      </c>
      <c r="N5" s="2" t="s">
        <v>1420</v>
      </c>
    </row>
    <row r="6" spans="1:14" ht="54" x14ac:dyDescent="0.25">
      <c r="A6" s="2" t="s">
        <v>108</v>
      </c>
      <c r="B6" s="2" t="s">
        <v>954</v>
      </c>
      <c r="C6" s="2">
        <v>2020</v>
      </c>
      <c r="D6" s="2" t="s">
        <v>681</v>
      </c>
      <c r="E6" s="2" t="s">
        <v>1423</v>
      </c>
      <c r="F6" s="2" t="s">
        <v>110</v>
      </c>
      <c r="G6" s="2" t="s">
        <v>963</v>
      </c>
      <c r="H6" s="2" t="s">
        <v>963</v>
      </c>
      <c r="I6" s="2" t="s">
        <v>994</v>
      </c>
      <c r="J6" s="2" t="s">
        <v>1418</v>
      </c>
      <c r="K6" s="2" t="s">
        <v>1419</v>
      </c>
      <c r="L6" s="2" t="s">
        <v>965</v>
      </c>
      <c r="M6" s="2" t="s">
        <v>966</v>
      </c>
      <c r="N6" s="2" t="s">
        <v>1420</v>
      </c>
    </row>
    <row r="7" spans="1:14" ht="40.5" x14ac:dyDescent="0.25">
      <c r="A7" s="2" t="s">
        <v>111</v>
      </c>
      <c r="B7" s="2" t="s">
        <v>954</v>
      </c>
      <c r="C7" s="2">
        <v>2021</v>
      </c>
      <c r="D7" s="2" t="s">
        <v>682</v>
      </c>
      <c r="E7" s="2" t="s">
        <v>1424</v>
      </c>
      <c r="F7" s="2" t="s">
        <v>113</v>
      </c>
      <c r="G7" s="2" t="s">
        <v>963</v>
      </c>
      <c r="H7" s="2" t="s">
        <v>963</v>
      </c>
      <c r="I7" s="2" t="s">
        <v>1000</v>
      </c>
      <c r="J7" s="2" t="s">
        <v>1418</v>
      </c>
      <c r="K7" s="2" t="s">
        <v>1419</v>
      </c>
      <c r="L7" s="2" t="s">
        <v>965</v>
      </c>
      <c r="M7" s="2" t="s">
        <v>966</v>
      </c>
      <c r="N7" s="2" t="s">
        <v>1420</v>
      </c>
    </row>
    <row r="8" spans="1:14" ht="27" x14ac:dyDescent="0.25">
      <c r="A8" s="2" t="s">
        <v>114</v>
      </c>
      <c r="B8" s="2" t="s">
        <v>954</v>
      </c>
      <c r="C8" s="2">
        <v>2021</v>
      </c>
      <c r="D8" s="2" t="s">
        <v>683</v>
      </c>
      <c r="E8" s="2" t="s">
        <v>1425</v>
      </c>
      <c r="F8" s="2" t="s">
        <v>116</v>
      </c>
      <c r="G8" s="2" t="s">
        <v>963</v>
      </c>
      <c r="H8" s="2" t="s">
        <v>963</v>
      </c>
      <c r="I8" s="2" t="s">
        <v>1004</v>
      </c>
      <c r="J8" s="2" t="s">
        <v>1418</v>
      </c>
      <c r="K8" s="2" t="s">
        <v>1419</v>
      </c>
      <c r="L8" s="2" t="s">
        <v>965</v>
      </c>
      <c r="M8" s="2" t="s">
        <v>966</v>
      </c>
      <c r="N8" s="2" t="s">
        <v>1420</v>
      </c>
    </row>
    <row r="9" spans="1:14" ht="54" x14ac:dyDescent="0.25">
      <c r="A9" s="2" t="s">
        <v>117</v>
      </c>
      <c r="B9" s="2" t="s">
        <v>954</v>
      </c>
      <c r="C9" s="2">
        <v>2022</v>
      </c>
      <c r="D9" s="2" t="s">
        <v>684</v>
      </c>
      <c r="E9" s="2" t="s">
        <v>1426</v>
      </c>
      <c r="F9" s="2" t="s">
        <v>119</v>
      </c>
      <c r="G9" s="2" t="s">
        <v>963</v>
      </c>
      <c r="H9" s="2" t="s">
        <v>963</v>
      </c>
      <c r="I9" s="2" t="s">
        <v>1010</v>
      </c>
      <c r="J9" s="2" t="s">
        <v>1418</v>
      </c>
      <c r="K9" s="2" t="s">
        <v>1419</v>
      </c>
      <c r="L9" s="2" t="s">
        <v>965</v>
      </c>
      <c r="M9" s="2" t="s">
        <v>966</v>
      </c>
      <c r="N9" s="2" t="s">
        <v>1420</v>
      </c>
    </row>
    <row r="10" spans="1:14" ht="40.5" x14ac:dyDescent="0.25">
      <c r="A10" s="2" t="s">
        <v>120</v>
      </c>
      <c r="B10" s="2" t="s">
        <v>954</v>
      </c>
      <c r="C10" s="2">
        <v>2023</v>
      </c>
      <c r="D10" s="2" t="s">
        <v>685</v>
      </c>
      <c r="E10" s="2" t="s">
        <v>1427</v>
      </c>
      <c r="F10" s="2" t="s">
        <v>122</v>
      </c>
      <c r="G10" s="2" t="s">
        <v>963</v>
      </c>
      <c r="H10" s="2" t="s">
        <v>963</v>
      </c>
      <c r="I10" s="2" t="s">
        <v>1015</v>
      </c>
      <c r="J10" s="2" t="s">
        <v>1418</v>
      </c>
      <c r="K10" s="2" t="s">
        <v>1419</v>
      </c>
      <c r="L10" s="2" t="s">
        <v>965</v>
      </c>
      <c r="M10" s="2" t="s">
        <v>966</v>
      </c>
      <c r="N10" s="2" t="s">
        <v>1420</v>
      </c>
    </row>
    <row r="11" spans="1:14" ht="40.5" x14ac:dyDescent="0.25">
      <c r="A11" s="2" t="s">
        <v>123</v>
      </c>
      <c r="B11" s="2" t="s">
        <v>954</v>
      </c>
      <c r="C11" s="2">
        <v>2023</v>
      </c>
      <c r="D11" s="2" t="s">
        <v>686</v>
      </c>
      <c r="E11" s="2" t="s">
        <v>1428</v>
      </c>
      <c r="F11" s="2" t="s">
        <v>125</v>
      </c>
      <c r="G11" s="2" t="s">
        <v>963</v>
      </c>
      <c r="H11" s="2" t="s">
        <v>963</v>
      </c>
      <c r="I11" s="2" t="s">
        <v>1018</v>
      </c>
      <c r="J11" s="2" t="s">
        <v>1418</v>
      </c>
      <c r="K11" s="2" t="s">
        <v>1419</v>
      </c>
      <c r="L11" s="2" t="s">
        <v>965</v>
      </c>
      <c r="M11" s="2" t="s">
        <v>966</v>
      </c>
      <c r="N11" s="2" t="s">
        <v>1420</v>
      </c>
    </row>
    <row r="12" spans="1:14" ht="54" x14ac:dyDescent="0.25">
      <c r="A12" s="2" t="s">
        <v>126</v>
      </c>
      <c r="B12" s="2" t="s">
        <v>954</v>
      </c>
      <c r="C12" s="2">
        <v>2024</v>
      </c>
      <c r="D12" s="2" t="s">
        <v>687</v>
      </c>
      <c r="E12" s="2" t="s">
        <v>1429</v>
      </c>
      <c r="F12" s="2" t="s">
        <v>128</v>
      </c>
      <c r="G12" s="2" t="s">
        <v>963</v>
      </c>
      <c r="H12" s="2" t="s">
        <v>963</v>
      </c>
      <c r="I12" s="2" t="s">
        <v>1023</v>
      </c>
      <c r="J12" s="2" t="s">
        <v>1418</v>
      </c>
      <c r="K12" s="2" t="s">
        <v>1419</v>
      </c>
      <c r="L12" s="2" t="s">
        <v>965</v>
      </c>
      <c r="M12" s="2" t="s">
        <v>966</v>
      </c>
      <c r="N12" s="2" t="s">
        <v>1420</v>
      </c>
    </row>
    <row r="13" spans="1:14" ht="40.5" x14ac:dyDescent="0.25">
      <c r="A13" s="2" t="s">
        <v>129</v>
      </c>
      <c r="B13" s="2" t="s">
        <v>954</v>
      </c>
      <c r="C13" s="2">
        <v>2024</v>
      </c>
      <c r="D13" s="2" t="s">
        <v>688</v>
      </c>
      <c r="E13" s="2" t="s">
        <v>1430</v>
      </c>
      <c r="F13" s="2" t="s">
        <v>130</v>
      </c>
      <c r="G13" s="2" t="s">
        <v>963</v>
      </c>
      <c r="H13" s="2" t="s">
        <v>963</v>
      </c>
      <c r="I13" s="2" t="s">
        <v>1026</v>
      </c>
      <c r="J13" s="2" t="s">
        <v>1418</v>
      </c>
      <c r="K13" s="2" t="s">
        <v>1419</v>
      </c>
      <c r="L13" s="2" t="s">
        <v>965</v>
      </c>
      <c r="M13" s="2" t="s">
        <v>966</v>
      </c>
      <c r="N13" s="2" t="s">
        <v>1420</v>
      </c>
    </row>
    <row r="14" spans="1:14" ht="40.5" x14ac:dyDescent="0.25">
      <c r="A14" s="2" t="s">
        <v>131</v>
      </c>
      <c r="B14" s="2" t="s">
        <v>954</v>
      </c>
      <c r="C14" s="2">
        <v>2024</v>
      </c>
      <c r="D14" s="2" t="s">
        <v>689</v>
      </c>
      <c r="E14" s="2" t="s">
        <v>1431</v>
      </c>
      <c r="F14" s="2" t="s">
        <v>133</v>
      </c>
      <c r="G14" s="2" t="s">
        <v>963</v>
      </c>
      <c r="H14" s="2" t="s">
        <v>963</v>
      </c>
      <c r="I14" s="2" t="s">
        <v>1030</v>
      </c>
      <c r="J14" s="2" t="s">
        <v>1418</v>
      </c>
      <c r="K14" s="2" t="s">
        <v>1419</v>
      </c>
      <c r="L14" s="2" t="s">
        <v>965</v>
      </c>
      <c r="M14" s="2" t="s">
        <v>966</v>
      </c>
      <c r="N14" s="2" t="s">
        <v>1420</v>
      </c>
    </row>
    <row r="15" spans="1:14" ht="40.5" x14ac:dyDescent="0.25">
      <c r="A15" s="2" t="s">
        <v>134</v>
      </c>
      <c r="B15" s="2" t="s">
        <v>954</v>
      </c>
      <c r="C15" s="2">
        <v>2024</v>
      </c>
      <c r="D15" s="2" t="s">
        <v>690</v>
      </c>
      <c r="E15" s="2" t="s">
        <v>1432</v>
      </c>
      <c r="F15" s="2" t="s">
        <v>136</v>
      </c>
      <c r="G15" s="2" t="s">
        <v>963</v>
      </c>
      <c r="H15" s="2" t="s">
        <v>963</v>
      </c>
      <c r="I15" s="2" t="s">
        <v>1417</v>
      </c>
      <c r="J15" s="2" t="s">
        <v>1418</v>
      </c>
      <c r="K15" s="2" t="s">
        <v>1419</v>
      </c>
      <c r="L15" s="2" t="s">
        <v>965</v>
      </c>
      <c r="M15" s="2" t="s">
        <v>966</v>
      </c>
      <c r="N15" s="2" t="s">
        <v>1420</v>
      </c>
    </row>
    <row r="16" spans="1:14" ht="67.5" x14ac:dyDescent="0.25">
      <c r="A16" s="2" t="s">
        <v>137</v>
      </c>
      <c r="B16" s="2" t="s">
        <v>1041</v>
      </c>
      <c r="C16" s="2">
        <v>2024</v>
      </c>
      <c r="D16" s="2" t="s">
        <v>691</v>
      </c>
      <c r="E16" s="2" t="s">
        <v>1433</v>
      </c>
      <c r="F16" s="2" t="s">
        <v>140</v>
      </c>
      <c r="G16" s="2" t="s">
        <v>963</v>
      </c>
      <c r="H16" s="2" t="s">
        <v>963</v>
      </c>
      <c r="I16" s="2" t="s">
        <v>1044</v>
      </c>
      <c r="J16" s="2" t="s">
        <v>1418</v>
      </c>
      <c r="K16" s="2" t="s">
        <v>1419</v>
      </c>
      <c r="L16" s="2" t="s">
        <v>965</v>
      </c>
      <c r="M16" s="2" t="s">
        <v>966</v>
      </c>
      <c r="N16" s="2" t="s">
        <v>1434</v>
      </c>
    </row>
    <row r="17" spans="1:14" ht="54" x14ac:dyDescent="0.25">
      <c r="A17" s="2" t="s">
        <v>141</v>
      </c>
      <c r="B17" s="2" t="s">
        <v>1049</v>
      </c>
      <c r="C17" s="2">
        <v>2024</v>
      </c>
      <c r="D17" s="2" t="s">
        <v>692</v>
      </c>
      <c r="E17" s="2" t="s">
        <v>1435</v>
      </c>
      <c r="F17" s="2" t="s">
        <v>142</v>
      </c>
      <c r="G17" s="2" t="s">
        <v>963</v>
      </c>
      <c r="H17" s="2" t="s">
        <v>963</v>
      </c>
      <c r="I17" s="2" t="s">
        <v>1052</v>
      </c>
      <c r="J17" s="2" t="s">
        <v>1418</v>
      </c>
      <c r="K17" s="2" t="s">
        <v>1419</v>
      </c>
      <c r="L17" s="2" t="s">
        <v>965</v>
      </c>
      <c r="M17" s="2" t="s">
        <v>966</v>
      </c>
      <c r="N17" s="2" t="s">
        <v>1436</v>
      </c>
    </row>
    <row r="18" spans="1:14" ht="54" x14ac:dyDescent="0.25">
      <c r="A18" s="2" t="s">
        <v>143</v>
      </c>
      <c r="B18" s="2" t="s">
        <v>954</v>
      </c>
      <c r="C18" s="2">
        <v>2024</v>
      </c>
      <c r="D18" s="2" t="s">
        <v>693</v>
      </c>
      <c r="E18" s="2" t="s">
        <v>1437</v>
      </c>
      <c r="F18" s="2" t="s">
        <v>144</v>
      </c>
      <c r="G18" s="2" t="s">
        <v>963</v>
      </c>
      <c r="H18" s="2" t="s">
        <v>963</v>
      </c>
      <c r="I18" s="2" t="s">
        <v>1059</v>
      </c>
      <c r="J18" s="2" t="s">
        <v>1418</v>
      </c>
      <c r="K18" s="2" t="s">
        <v>1419</v>
      </c>
      <c r="L18" s="2" t="s">
        <v>965</v>
      </c>
      <c r="M18" s="2" t="s">
        <v>966</v>
      </c>
      <c r="N18" s="2" t="s">
        <v>1420</v>
      </c>
    </row>
    <row r="19" spans="1:14" ht="40.5" x14ac:dyDescent="0.25">
      <c r="A19" s="2" t="s">
        <v>145</v>
      </c>
      <c r="B19" s="2" t="s">
        <v>954</v>
      </c>
      <c r="C19" s="2">
        <v>2024</v>
      </c>
      <c r="D19" s="2" t="s">
        <v>694</v>
      </c>
      <c r="E19" s="2" t="s">
        <v>1438</v>
      </c>
      <c r="F19" s="2" t="s">
        <v>146</v>
      </c>
      <c r="G19" s="2" t="s">
        <v>963</v>
      </c>
      <c r="H19" s="2" t="s">
        <v>963</v>
      </c>
      <c r="I19" s="2" t="s">
        <v>1064</v>
      </c>
      <c r="J19" s="2" t="s">
        <v>1418</v>
      </c>
      <c r="K19" s="2" t="s">
        <v>1419</v>
      </c>
      <c r="L19" s="2" t="s">
        <v>965</v>
      </c>
      <c r="M19" s="2" t="s">
        <v>966</v>
      </c>
      <c r="N19" s="2" t="s">
        <v>1420</v>
      </c>
    </row>
    <row r="20" spans="1:14" ht="40.5" x14ac:dyDescent="0.25">
      <c r="A20" s="2" t="s">
        <v>147</v>
      </c>
      <c r="B20" s="2" t="s">
        <v>954</v>
      </c>
      <c r="C20" s="2">
        <v>2024</v>
      </c>
      <c r="D20" s="2" t="s">
        <v>695</v>
      </c>
      <c r="E20" s="2" t="s">
        <v>1439</v>
      </c>
      <c r="F20" s="2" t="s">
        <v>148</v>
      </c>
      <c r="G20" s="2" t="s">
        <v>963</v>
      </c>
      <c r="H20" s="2" t="s">
        <v>963</v>
      </c>
      <c r="I20" s="2" t="s">
        <v>1066</v>
      </c>
      <c r="J20" s="2" t="s">
        <v>1418</v>
      </c>
      <c r="K20" s="2" t="s">
        <v>1419</v>
      </c>
      <c r="L20" s="2" t="s">
        <v>965</v>
      </c>
      <c r="M20" s="2" t="s">
        <v>966</v>
      </c>
      <c r="N20" s="2" t="s">
        <v>1420</v>
      </c>
    </row>
    <row r="21" spans="1:14" ht="54" x14ac:dyDescent="0.25">
      <c r="A21" s="2" t="s">
        <v>149</v>
      </c>
      <c r="B21" s="2" t="s">
        <v>954</v>
      </c>
      <c r="C21" s="2">
        <v>2025</v>
      </c>
      <c r="D21" s="2" t="s">
        <v>696</v>
      </c>
      <c r="E21" s="2" t="s">
        <v>1440</v>
      </c>
      <c r="F21" s="2" t="s">
        <v>150</v>
      </c>
      <c r="G21" s="2" t="s">
        <v>963</v>
      </c>
      <c r="H21" s="2" t="s">
        <v>963</v>
      </c>
      <c r="I21" s="2" t="s">
        <v>1070</v>
      </c>
      <c r="J21" s="2" t="s">
        <v>1418</v>
      </c>
      <c r="K21" s="2" t="s">
        <v>1419</v>
      </c>
      <c r="L21" s="2" t="s">
        <v>965</v>
      </c>
      <c r="M21" s="2" t="s">
        <v>966</v>
      </c>
      <c r="N21" s="2" t="s">
        <v>1420</v>
      </c>
    </row>
    <row r="22" spans="1:14" ht="54" x14ac:dyDescent="0.25">
      <c r="A22" s="2" t="s">
        <v>151</v>
      </c>
      <c r="B22" s="2" t="s">
        <v>954</v>
      </c>
      <c r="C22" s="2">
        <v>2025</v>
      </c>
      <c r="D22" s="2" t="s">
        <v>697</v>
      </c>
      <c r="E22" s="2" t="s">
        <v>1441</v>
      </c>
      <c r="F22" s="2" t="s">
        <v>152</v>
      </c>
      <c r="G22" s="2" t="s">
        <v>963</v>
      </c>
      <c r="H22" s="2" t="s">
        <v>963</v>
      </c>
      <c r="I22" s="2" t="s">
        <v>1075</v>
      </c>
      <c r="J22" s="2" t="s">
        <v>1418</v>
      </c>
      <c r="K22" s="2" t="s">
        <v>1419</v>
      </c>
      <c r="L22" s="2" t="s">
        <v>965</v>
      </c>
      <c r="M22" s="2" t="s">
        <v>966</v>
      </c>
      <c r="N22" s="2" t="s">
        <v>1420</v>
      </c>
    </row>
    <row r="23" spans="1:14" ht="54" x14ac:dyDescent="0.25">
      <c r="A23" s="2" t="s">
        <v>153</v>
      </c>
      <c r="B23" s="2" t="s">
        <v>954</v>
      </c>
      <c r="C23" s="2">
        <v>2025</v>
      </c>
      <c r="D23" s="2" t="s">
        <v>698</v>
      </c>
      <c r="E23" s="2" t="s">
        <v>1442</v>
      </c>
      <c r="F23" s="2" t="s">
        <v>154</v>
      </c>
      <c r="G23" s="2" t="s">
        <v>963</v>
      </c>
      <c r="H23" s="2" t="s">
        <v>963</v>
      </c>
      <c r="I23" s="2" t="s">
        <v>1079</v>
      </c>
      <c r="J23" s="2" t="s">
        <v>1418</v>
      </c>
      <c r="K23" s="2" t="s">
        <v>1419</v>
      </c>
      <c r="L23" s="2" t="s">
        <v>965</v>
      </c>
      <c r="M23" s="2" t="s">
        <v>966</v>
      </c>
      <c r="N23" s="2" t="s">
        <v>1420</v>
      </c>
    </row>
    <row r="24" spans="1:14" ht="54" x14ac:dyDescent="0.25">
      <c r="A24" s="2" t="s">
        <v>155</v>
      </c>
      <c r="B24" s="2" t="s">
        <v>954</v>
      </c>
      <c r="C24" s="2">
        <v>2025</v>
      </c>
      <c r="D24" s="2" t="s">
        <v>699</v>
      </c>
      <c r="E24" s="2" t="s">
        <v>1443</v>
      </c>
      <c r="F24" s="2" t="s">
        <v>156</v>
      </c>
      <c r="G24" s="2" t="s">
        <v>963</v>
      </c>
      <c r="H24" s="2" t="s">
        <v>963</v>
      </c>
      <c r="I24" s="2" t="s">
        <v>1084</v>
      </c>
      <c r="J24" s="2" t="s">
        <v>1418</v>
      </c>
      <c r="K24" s="2" t="s">
        <v>1419</v>
      </c>
      <c r="L24" s="2" t="s">
        <v>965</v>
      </c>
      <c r="M24" s="2" t="s">
        <v>966</v>
      </c>
      <c r="N24" s="2" t="s">
        <v>1420</v>
      </c>
    </row>
    <row r="25" spans="1:14" ht="54" x14ac:dyDescent="0.25">
      <c r="A25" s="2" t="s">
        <v>157</v>
      </c>
      <c r="B25" s="2" t="s">
        <v>954</v>
      </c>
      <c r="C25" s="2">
        <v>2025</v>
      </c>
      <c r="D25" s="2" t="s">
        <v>700</v>
      </c>
      <c r="E25" s="2" t="s">
        <v>1444</v>
      </c>
      <c r="F25" s="2" t="s">
        <v>159</v>
      </c>
      <c r="G25" s="2" t="s">
        <v>963</v>
      </c>
      <c r="H25" s="2" t="s">
        <v>963</v>
      </c>
      <c r="I25" s="2" t="s">
        <v>1092</v>
      </c>
      <c r="J25" s="2" t="s">
        <v>1418</v>
      </c>
      <c r="K25" s="2" t="s">
        <v>1419</v>
      </c>
      <c r="L25" s="2" t="s">
        <v>965</v>
      </c>
      <c r="M25" s="2" t="s">
        <v>966</v>
      </c>
      <c r="N25" s="2" t="s">
        <v>1420</v>
      </c>
    </row>
    <row r="26" spans="1:14" ht="27" x14ac:dyDescent="0.25">
      <c r="A26" s="2" t="s">
        <v>160</v>
      </c>
      <c r="B26" s="2" t="s">
        <v>954</v>
      </c>
      <c r="C26" s="2">
        <v>2025</v>
      </c>
      <c r="D26" s="2" t="s">
        <v>701</v>
      </c>
      <c r="E26" s="2" t="s">
        <v>1445</v>
      </c>
      <c r="F26" s="2" t="s">
        <v>161</v>
      </c>
      <c r="G26" s="2" t="s">
        <v>963</v>
      </c>
      <c r="H26" s="2" t="s">
        <v>963</v>
      </c>
      <c r="I26" s="2" t="s">
        <v>1098</v>
      </c>
      <c r="J26" s="2" t="s">
        <v>1418</v>
      </c>
      <c r="K26" s="2" t="s">
        <v>1419</v>
      </c>
      <c r="L26" s="2" t="s">
        <v>965</v>
      </c>
      <c r="M26" s="2" t="s">
        <v>966</v>
      </c>
      <c r="N26" s="2" t="s">
        <v>1420</v>
      </c>
    </row>
    <row r="27" spans="1:14" ht="67.5" x14ac:dyDescent="0.25">
      <c r="A27" s="2" t="s">
        <v>162</v>
      </c>
      <c r="B27" s="2" t="s">
        <v>954</v>
      </c>
      <c r="C27" s="2">
        <v>2026</v>
      </c>
      <c r="D27" s="2" t="s">
        <v>702</v>
      </c>
      <c r="E27" s="2" t="s">
        <v>1446</v>
      </c>
      <c r="F27" s="2" t="s">
        <v>163</v>
      </c>
      <c r="G27" s="2" t="s">
        <v>963</v>
      </c>
      <c r="H27" s="2" t="s">
        <v>963</v>
      </c>
      <c r="I27" s="2" t="s">
        <v>1101</v>
      </c>
      <c r="J27" s="2" t="s">
        <v>1418</v>
      </c>
      <c r="K27" s="2" t="s">
        <v>1419</v>
      </c>
      <c r="L27" s="2" t="s">
        <v>965</v>
      </c>
      <c r="M27" s="2" t="s">
        <v>966</v>
      </c>
      <c r="N27" s="2" t="s">
        <v>1420</v>
      </c>
    </row>
    <row r="28" spans="1:14" ht="27" x14ac:dyDescent="0.25">
      <c r="A28" s="2" t="s">
        <v>164</v>
      </c>
      <c r="B28" s="2" t="s">
        <v>954</v>
      </c>
      <c r="C28" s="2">
        <v>2018</v>
      </c>
      <c r="D28" s="2" t="s">
        <v>703</v>
      </c>
      <c r="E28" s="2" t="s">
        <v>1447</v>
      </c>
      <c r="F28" s="2" t="s">
        <v>166</v>
      </c>
      <c r="G28" s="2" t="s">
        <v>963</v>
      </c>
      <c r="H28" s="2" t="s">
        <v>963</v>
      </c>
      <c r="I28" s="2" t="s">
        <v>1417</v>
      </c>
      <c r="J28" s="2" t="s">
        <v>1418</v>
      </c>
      <c r="K28" s="2" t="s">
        <v>1419</v>
      </c>
      <c r="L28" s="2" t="s">
        <v>965</v>
      </c>
      <c r="M28" s="2" t="s">
        <v>966</v>
      </c>
      <c r="N28" s="2" t="s">
        <v>1420</v>
      </c>
    </row>
    <row r="29" spans="1:14" ht="40.5" x14ac:dyDescent="0.25">
      <c r="A29" s="2" t="s">
        <v>167</v>
      </c>
      <c r="B29" s="2" t="s">
        <v>954</v>
      </c>
      <c r="C29" s="2">
        <v>2019</v>
      </c>
      <c r="D29" s="2" t="s">
        <v>704</v>
      </c>
      <c r="E29" s="2" t="s">
        <v>1448</v>
      </c>
      <c r="F29" s="2" t="s">
        <v>169</v>
      </c>
      <c r="G29" s="2" t="s">
        <v>963</v>
      </c>
      <c r="H29" s="2" t="s">
        <v>963</v>
      </c>
      <c r="I29" s="2" t="s">
        <v>1111</v>
      </c>
      <c r="J29" s="2" t="s">
        <v>1418</v>
      </c>
      <c r="K29" s="2" t="s">
        <v>1419</v>
      </c>
      <c r="L29" s="2" t="s">
        <v>965</v>
      </c>
      <c r="M29" s="2" t="s">
        <v>966</v>
      </c>
      <c r="N29" s="2" t="s">
        <v>1420</v>
      </c>
    </row>
    <row r="30" spans="1:14" ht="40.5" x14ac:dyDescent="0.25">
      <c r="A30" s="2" t="s">
        <v>170</v>
      </c>
      <c r="B30" s="2" t="s">
        <v>954</v>
      </c>
      <c r="C30" s="2">
        <v>2019</v>
      </c>
      <c r="D30" s="2" t="s">
        <v>705</v>
      </c>
      <c r="E30" s="2" t="s">
        <v>1449</v>
      </c>
      <c r="F30" s="2" t="s">
        <v>172</v>
      </c>
      <c r="G30" s="2" t="s">
        <v>963</v>
      </c>
      <c r="H30" s="2" t="s">
        <v>963</v>
      </c>
      <c r="I30" s="2" t="s">
        <v>1118</v>
      </c>
      <c r="J30" s="2" t="s">
        <v>1418</v>
      </c>
      <c r="K30" s="2" t="s">
        <v>1419</v>
      </c>
      <c r="L30" s="2" t="s">
        <v>965</v>
      </c>
      <c r="M30" s="2" t="s">
        <v>966</v>
      </c>
      <c r="N30" s="2" t="s">
        <v>1420</v>
      </c>
    </row>
    <row r="31" spans="1:14" ht="27" x14ac:dyDescent="0.25">
      <c r="A31" s="2" t="s">
        <v>173</v>
      </c>
      <c r="B31" s="2" t="s">
        <v>954</v>
      </c>
      <c r="C31" s="2">
        <v>2021</v>
      </c>
      <c r="D31" s="2" t="s">
        <v>706</v>
      </c>
      <c r="E31" s="2" t="s">
        <v>1450</v>
      </c>
      <c r="F31" s="2" t="s">
        <v>175</v>
      </c>
      <c r="G31" s="2" t="s">
        <v>963</v>
      </c>
      <c r="H31" s="2" t="s">
        <v>963</v>
      </c>
      <c r="I31" s="2" t="s">
        <v>1125</v>
      </c>
      <c r="J31" s="2" t="s">
        <v>1418</v>
      </c>
      <c r="K31" s="2" t="s">
        <v>1419</v>
      </c>
      <c r="L31" s="2" t="s">
        <v>965</v>
      </c>
      <c r="M31" s="2" t="s">
        <v>966</v>
      </c>
      <c r="N31" s="2" t="s">
        <v>1420</v>
      </c>
    </row>
    <row r="32" spans="1:14" ht="27" x14ac:dyDescent="0.25">
      <c r="A32" s="2" t="s">
        <v>176</v>
      </c>
      <c r="B32" s="2" t="s">
        <v>954</v>
      </c>
      <c r="C32" s="2">
        <v>2021</v>
      </c>
      <c r="D32" s="2" t="s">
        <v>707</v>
      </c>
      <c r="E32" s="2" t="s">
        <v>1451</v>
      </c>
      <c r="F32" s="2" t="s">
        <v>178</v>
      </c>
      <c r="G32" s="2" t="s">
        <v>963</v>
      </c>
      <c r="H32" s="2" t="s">
        <v>963</v>
      </c>
      <c r="I32" s="2" t="s">
        <v>1128</v>
      </c>
      <c r="J32" s="2" t="s">
        <v>1418</v>
      </c>
      <c r="K32" s="2" t="s">
        <v>1419</v>
      </c>
      <c r="L32" s="2" t="s">
        <v>965</v>
      </c>
      <c r="M32" s="2" t="s">
        <v>966</v>
      </c>
      <c r="N32" s="2" t="s">
        <v>1420</v>
      </c>
    </row>
    <row r="33" spans="1:14" ht="27" x14ac:dyDescent="0.25">
      <c r="A33" s="2" t="s">
        <v>179</v>
      </c>
      <c r="B33" s="2" t="s">
        <v>1049</v>
      </c>
      <c r="C33" s="2">
        <v>2022</v>
      </c>
      <c r="D33" s="2" t="s">
        <v>708</v>
      </c>
      <c r="E33" s="2" t="s">
        <v>1452</v>
      </c>
      <c r="F33" s="2" t="s">
        <v>181</v>
      </c>
      <c r="G33" s="2" t="s">
        <v>963</v>
      </c>
      <c r="H33" s="2" t="s">
        <v>963</v>
      </c>
      <c r="I33" s="2" t="s">
        <v>1132</v>
      </c>
      <c r="J33" s="2" t="s">
        <v>1418</v>
      </c>
      <c r="K33" s="2" t="s">
        <v>1419</v>
      </c>
      <c r="L33" s="2" t="s">
        <v>965</v>
      </c>
      <c r="M33" s="2" t="s">
        <v>966</v>
      </c>
      <c r="N33" s="2" t="s">
        <v>1436</v>
      </c>
    </row>
    <row r="34" spans="1:14" ht="27" x14ac:dyDescent="0.25">
      <c r="A34" s="2" t="s">
        <v>182</v>
      </c>
      <c r="B34" s="2" t="s">
        <v>954</v>
      </c>
      <c r="C34" s="2">
        <v>2022</v>
      </c>
      <c r="D34" s="2" t="s">
        <v>709</v>
      </c>
      <c r="E34" s="2" t="s">
        <v>1453</v>
      </c>
      <c r="F34" s="2" t="s">
        <v>184</v>
      </c>
      <c r="G34" s="2" t="s">
        <v>963</v>
      </c>
      <c r="H34" s="2" t="s">
        <v>963</v>
      </c>
      <c r="I34" s="2" t="s">
        <v>1417</v>
      </c>
      <c r="J34" s="2" t="s">
        <v>1418</v>
      </c>
      <c r="K34" s="2" t="s">
        <v>1419</v>
      </c>
      <c r="L34" s="2" t="s">
        <v>965</v>
      </c>
      <c r="M34" s="2" t="s">
        <v>966</v>
      </c>
      <c r="N34" s="2" t="s">
        <v>1420</v>
      </c>
    </row>
    <row r="35" spans="1:14" ht="40.5" x14ac:dyDescent="0.25">
      <c r="A35" s="2" t="s">
        <v>185</v>
      </c>
      <c r="B35" s="2" t="s">
        <v>1049</v>
      </c>
      <c r="C35" s="2">
        <v>2023</v>
      </c>
      <c r="D35" s="2" t="s">
        <v>710</v>
      </c>
      <c r="E35" s="2" t="s">
        <v>1454</v>
      </c>
      <c r="F35" s="2" t="s">
        <v>187</v>
      </c>
      <c r="G35" s="2" t="s">
        <v>963</v>
      </c>
      <c r="H35" s="2" t="s">
        <v>963</v>
      </c>
      <c r="I35" s="2" t="s">
        <v>1140</v>
      </c>
      <c r="J35" s="2" t="s">
        <v>1418</v>
      </c>
      <c r="K35" s="2" t="s">
        <v>1419</v>
      </c>
      <c r="L35" s="2" t="s">
        <v>965</v>
      </c>
      <c r="M35" s="2" t="s">
        <v>966</v>
      </c>
      <c r="N35" s="2" t="s">
        <v>1436</v>
      </c>
    </row>
    <row r="36" spans="1:14" ht="27" x14ac:dyDescent="0.25">
      <c r="A36" s="2" t="s">
        <v>188</v>
      </c>
      <c r="B36" s="2" t="s">
        <v>954</v>
      </c>
      <c r="C36" s="2">
        <v>2023</v>
      </c>
      <c r="D36" s="2" t="s">
        <v>711</v>
      </c>
      <c r="E36" s="2" t="s">
        <v>1455</v>
      </c>
      <c r="F36" s="2" t="s">
        <v>190</v>
      </c>
      <c r="G36" s="2" t="s">
        <v>963</v>
      </c>
      <c r="H36" s="2" t="s">
        <v>963</v>
      </c>
      <c r="I36" s="2" t="s">
        <v>1147</v>
      </c>
      <c r="J36" s="2" t="s">
        <v>1418</v>
      </c>
      <c r="K36" s="2" t="s">
        <v>1419</v>
      </c>
      <c r="L36" s="2" t="s">
        <v>965</v>
      </c>
      <c r="M36" s="2" t="s">
        <v>966</v>
      </c>
      <c r="N36" s="2" t="s">
        <v>1420</v>
      </c>
    </row>
    <row r="37" spans="1:14" ht="27" x14ac:dyDescent="0.25">
      <c r="A37" s="2" t="s">
        <v>191</v>
      </c>
      <c r="B37" s="2" t="s">
        <v>954</v>
      </c>
      <c r="C37" s="2">
        <v>2024</v>
      </c>
      <c r="D37" s="2" t="s">
        <v>712</v>
      </c>
      <c r="E37" s="2" t="s">
        <v>1456</v>
      </c>
      <c r="F37" s="2" t="s">
        <v>193</v>
      </c>
      <c r="G37" s="2" t="s">
        <v>963</v>
      </c>
      <c r="H37" s="2" t="s">
        <v>963</v>
      </c>
      <c r="I37" s="2" t="s">
        <v>1417</v>
      </c>
      <c r="J37" s="2" t="s">
        <v>1418</v>
      </c>
      <c r="K37" s="2" t="s">
        <v>1419</v>
      </c>
      <c r="L37" s="2" t="s">
        <v>965</v>
      </c>
      <c r="M37" s="2" t="s">
        <v>966</v>
      </c>
      <c r="N37" s="2" t="s">
        <v>1420</v>
      </c>
    </row>
    <row r="38" spans="1:14" ht="54" x14ac:dyDescent="0.25">
      <c r="A38" s="2" t="s">
        <v>194</v>
      </c>
      <c r="B38" s="2" t="s">
        <v>954</v>
      </c>
      <c r="C38" s="2">
        <v>2025</v>
      </c>
      <c r="D38" s="2" t="s">
        <v>713</v>
      </c>
      <c r="E38" s="2" t="s">
        <v>1457</v>
      </c>
      <c r="F38" s="2" t="s">
        <v>195</v>
      </c>
      <c r="G38" s="2" t="s">
        <v>963</v>
      </c>
      <c r="H38" s="2" t="s">
        <v>963</v>
      </c>
      <c r="I38" s="2" t="s">
        <v>1155</v>
      </c>
      <c r="J38" s="2" t="s">
        <v>1418</v>
      </c>
      <c r="K38" s="2" t="s">
        <v>1419</v>
      </c>
      <c r="L38" s="2" t="s">
        <v>965</v>
      </c>
      <c r="M38" s="2" t="s">
        <v>966</v>
      </c>
      <c r="N38" s="2" t="s">
        <v>1420</v>
      </c>
    </row>
    <row r="39" spans="1:14" ht="54" x14ac:dyDescent="0.25">
      <c r="A39" s="2" t="s">
        <v>196</v>
      </c>
      <c r="B39" s="2" t="s">
        <v>954</v>
      </c>
      <c r="C39" s="2">
        <v>2026</v>
      </c>
      <c r="D39" s="2" t="s">
        <v>714</v>
      </c>
      <c r="E39" s="2" t="s">
        <v>1458</v>
      </c>
      <c r="F39" s="2" t="s">
        <v>198</v>
      </c>
      <c r="G39" s="2" t="s">
        <v>963</v>
      </c>
      <c r="H39" s="2" t="s">
        <v>963</v>
      </c>
      <c r="I39" s="2" t="s">
        <v>1160</v>
      </c>
      <c r="J39" s="2" t="s">
        <v>1418</v>
      </c>
      <c r="K39" s="2" t="s">
        <v>1419</v>
      </c>
      <c r="L39" s="2" t="s">
        <v>965</v>
      </c>
      <c r="M39" s="2" t="s">
        <v>966</v>
      </c>
      <c r="N39" s="2" t="s">
        <v>1420</v>
      </c>
    </row>
    <row r="40" spans="1:14" ht="54" x14ac:dyDescent="0.25">
      <c r="A40" s="2" t="s">
        <v>199</v>
      </c>
      <c r="B40" s="2" t="s">
        <v>954</v>
      </c>
      <c r="C40" s="2">
        <v>2026</v>
      </c>
      <c r="D40" s="2" t="s">
        <v>715</v>
      </c>
      <c r="E40" s="2" t="s">
        <v>1459</v>
      </c>
      <c r="F40" s="2" t="s">
        <v>201</v>
      </c>
      <c r="G40" s="2" t="s">
        <v>963</v>
      </c>
      <c r="H40" s="2" t="s">
        <v>963</v>
      </c>
      <c r="I40" s="2" t="s">
        <v>1163</v>
      </c>
      <c r="J40" s="2" t="s">
        <v>1418</v>
      </c>
      <c r="K40" s="2" t="s">
        <v>1419</v>
      </c>
      <c r="L40" s="2" t="s">
        <v>965</v>
      </c>
      <c r="M40" s="2" t="s">
        <v>966</v>
      </c>
      <c r="N40" s="2" t="s">
        <v>1420</v>
      </c>
    </row>
    <row r="41" spans="1:14" ht="54" x14ac:dyDescent="0.25">
      <c r="A41" s="2" t="s">
        <v>202</v>
      </c>
      <c r="B41" s="2" t="s">
        <v>954</v>
      </c>
      <c r="C41" s="2">
        <v>2026</v>
      </c>
      <c r="D41" s="2" t="s">
        <v>716</v>
      </c>
      <c r="E41" s="2" t="s">
        <v>1460</v>
      </c>
      <c r="F41" s="2" t="s">
        <v>204</v>
      </c>
      <c r="G41" s="2" t="s">
        <v>963</v>
      </c>
      <c r="H41" s="2" t="s">
        <v>963</v>
      </c>
      <c r="I41" s="2" t="s">
        <v>1167</v>
      </c>
      <c r="J41" s="2" t="s">
        <v>1418</v>
      </c>
      <c r="K41" s="2" t="s">
        <v>1419</v>
      </c>
      <c r="L41" s="2" t="s">
        <v>965</v>
      </c>
      <c r="M41" s="2" t="s">
        <v>966</v>
      </c>
      <c r="N41" s="2" t="s">
        <v>1420</v>
      </c>
    </row>
    <row r="42" spans="1:14" ht="67.5" x14ac:dyDescent="0.25">
      <c r="A42" s="2" t="s">
        <v>205</v>
      </c>
      <c r="B42" s="2" t="s">
        <v>1049</v>
      </c>
      <c r="C42" s="2">
        <v>2026</v>
      </c>
      <c r="D42" s="2" t="s">
        <v>717</v>
      </c>
      <c r="E42" s="2" t="s">
        <v>1461</v>
      </c>
      <c r="F42" s="2" t="s">
        <v>206</v>
      </c>
      <c r="G42" s="2" t="s">
        <v>963</v>
      </c>
      <c r="H42" s="2" t="s">
        <v>963</v>
      </c>
      <c r="I42" s="2" t="s">
        <v>1169</v>
      </c>
      <c r="J42" s="2" t="s">
        <v>1418</v>
      </c>
      <c r="K42" s="2" t="s">
        <v>1419</v>
      </c>
      <c r="L42" s="2" t="s">
        <v>965</v>
      </c>
      <c r="M42" s="2" t="s">
        <v>966</v>
      </c>
      <c r="N42" s="2" t="s">
        <v>1436</v>
      </c>
    </row>
    <row r="43" spans="1:14" ht="54" x14ac:dyDescent="0.25">
      <c r="A43" s="2" t="s">
        <v>207</v>
      </c>
      <c r="B43" s="2" t="s">
        <v>954</v>
      </c>
      <c r="C43" s="2">
        <v>2026</v>
      </c>
      <c r="D43" s="2" t="s">
        <v>718</v>
      </c>
      <c r="E43" s="2" t="s">
        <v>1462</v>
      </c>
      <c r="F43" s="2" t="s">
        <v>209</v>
      </c>
      <c r="G43" s="2" t="s">
        <v>963</v>
      </c>
      <c r="H43" s="2" t="s">
        <v>963</v>
      </c>
      <c r="I43" s="2" t="s">
        <v>1174</v>
      </c>
      <c r="J43" s="2" t="s">
        <v>1418</v>
      </c>
      <c r="K43" s="2" t="s">
        <v>1419</v>
      </c>
      <c r="L43" s="2" t="s">
        <v>965</v>
      </c>
      <c r="M43" s="2" t="s">
        <v>966</v>
      </c>
      <c r="N43" s="2" t="s">
        <v>1420</v>
      </c>
    </row>
    <row r="44" spans="1:14" ht="27" x14ac:dyDescent="0.25">
      <c r="A44" s="2" t="s">
        <v>210</v>
      </c>
      <c r="B44" s="2" t="s">
        <v>954</v>
      </c>
      <c r="C44" s="2">
        <v>2017</v>
      </c>
      <c r="D44" s="2" t="s">
        <v>719</v>
      </c>
      <c r="E44" s="2" t="s">
        <v>1463</v>
      </c>
      <c r="F44" s="2" t="s">
        <v>212</v>
      </c>
      <c r="G44" s="2" t="s">
        <v>963</v>
      </c>
      <c r="H44" s="2" t="s">
        <v>963</v>
      </c>
      <c r="I44" s="2" t="s">
        <v>1180</v>
      </c>
      <c r="J44" s="2" t="s">
        <v>1418</v>
      </c>
      <c r="K44" s="2" t="s">
        <v>1419</v>
      </c>
      <c r="L44" s="2" t="s">
        <v>965</v>
      </c>
      <c r="M44" s="2" t="s">
        <v>966</v>
      </c>
      <c r="N44" s="2" t="s">
        <v>1420</v>
      </c>
    </row>
    <row r="45" spans="1:14" ht="27" x14ac:dyDescent="0.25">
      <c r="A45" s="2" t="s">
        <v>213</v>
      </c>
      <c r="B45" s="2" t="s">
        <v>954</v>
      </c>
      <c r="C45" s="2">
        <v>2019</v>
      </c>
      <c r="D45" s="2" t="s">
        <v>720</v>
      </c>
      <c r="E45" s="2" t="s">
        <v>1464</v>
      </c>
      <c r="F45" s="2" t="s">
        <v>215</v>
      </c>
      <c r="G45" s="2" t="s">
        <v>963</v>
      </c>
      <c r="H45" s="2" t="s">
        <v>963</v>
      </c>
      <c r="I45" s="2" t="s">
        <v>1186</v>
      </c>
      <c r="J45" s="2" t="s">
        <v>1418</v>
      </c>
      <c r="K45" s="2" t="s">
        <v>1419</v>
      </c>
      <c r="L45" s="2" t="s">
        <v>965</v>
      </c>
      <c r="M45" s="2" t="s">
        <v>966</v>
      </c>
      <c r="N45" s="2" t="s">
        <v>1420</v>
      </c>
    </row>
    <row r="46" spans="1:14" ht="27" x14ac:dyDescent="0.25">
      <c r="A46" s="2" t="s">
        <v>216</v>
      </c>
      <c r="B46" s="2" t="s">
        <v>954</v>
      </c>
      <c r="C46" s="2">
        <v>2020</v>
      </c>
      <c r="D46" s="2" t="s">
        <v>721</v>
      </c>
      <c r="E46" s="2" t="s">
        <v>1465</v>
      </c>
      <c r="F46" s="2" t="s">
        <v>218</v>
      </c>
      <c r="G46" s="2" t="s">
        <v>963</v>
      </c>
      <c r="H46" s="2" t="s">
        <v>963</v>
      </c>
      <c r="I46" s="2" t="s">
        <v>1195</v>
      </c>
      <c r="J46" s="2" t="s">
        <v>1418</v>
      </c>
      <c r="K46" s="2" t="s">
        <v>1419</v>
      </c>
      <c r="L46" s="2" t="s">
        <v>965</v>
      </c>
      <c r="M46" s="2" t="s">
        <v>966</v>
      </c>
      <c r="N46" s="2" t="s">
        <v>1420</v>
      </c>
    </row>
    <row r="47" spans="1:14" ht="27" x14ac:dyDescent="0.25">
      <c r="A47" s="2" t="s">
        <v>219</v>
      </c>
      <c r="B47" s="2" t="s">
        <v>954</v>
      </c>
      <c r="C47" s="2">
        <v>2020</v>
      </c>
      <c r="D47" s="2" t="s">
        <v>722</v>
      </c>
      <c r="E47" s="2" t="s">
        <v>1466</v>
      </c>
      <c r="F47" s="2" t="s">
        <v>221</v>
      </c>
      <c r="G47" s="2" t="s">
        <v>963</v>
      </c>
      <c r="H47" s="2" t="s">
        <v>963</v>
      </c>
      <c r="I47" s="2" t="s">
        <v>1417</v>
      </c>
      <c r="J47" s="2" t="s">
        <v>1418</v>
      </c>
      <c r="K47" s="2" t="s">
        <v>1419</v>
      </c>
      <c r="L47" s="2" t="s">
        <v>965</v>
      </c>
      <c r="M47" s="2" t="s">
        <v>966</v>
      </c>
      <c r="N47" s="2" t="s">
        <v>1420</v>
      </c>
    </row>
    <row r="48" spans="1:14" ht="27" x14ac:dyDescent="0.25">
      <c r="A48" s="2" t="s">
        <v>222</v>
      </c>
      <c r="B48" s="2" t="s">
        <v>954</v>
      </c>
      <c r="C48" s="2">
        <v>2020</v>
      </c>
      <c r="D48" s="2" t="s">
        <v>723</v>
      </c>
      <c r="E48" s="2" t="s">
        <v>1467</v>
      </c>
      <c r="F48" s="2" t="s">
        <v>224</v>
      </c>
      <c r="G48" s="2" t="s">
        <v>963</v>
      </c>
      <c r="H48" s="2" t="s">
        <v>963</v>
      </c>
      <c r="I48" s="2" t="s">
        <v>1206</v>
      </c>
      <c r="J48" s="2" t="s">
        <v>1418</v>
      </c>
      <c r="K48" s="2" t="s">
        <v>1419</v>
      </c>
      <c r="L48" s="2" t="s">
        <v>965</v>
      </c>
      <c r="M48" s="2" t="s">
        <v>966</v>
      </c>
      <c r="N48" s="2" t="s">
        <v>1420</v>
      </c>
    </row>
    <row r="49" spans="1:14" ht="27" x14ac:dyDescent="0.25">
      <c r="A49" s="2" t="s">
        <v>225</v>
      </c>
      <c r="B49" s="2" t="s">
        <v>954</v>
      </c>
      <c r="C49" s="2">
        <v>2021</v>
      </c>
      <c r="D49" s="2" t="s">
        <v>724</v>
      </c>
      <c r="E49" s="2" t="s">
        <v>1468</v>
      </c>
      <c r="F49" s="2" t="s">
        <v>227</v>
      </c>
      <c r="G49" s="2" t="s">
        <v>963</v>
      </c>
      <c r="H49" s="2" t="s">
        <v>963</v>
      </c>
      <c r="I49" s="2" t="s">
        <v>1417</v>
      </c>
      <c r="J49" s="2" t="s">
        <v>1418</v>
      </c>
      <c r="K49" s="2" t="s">
        <v>1419</v>
      </c>
      <c r="L49" s="2" t="s">
        <v>965</v>
      </c>
      <c r="M49" s="2" t="s">
        <v>966</v>
      </c>
      <c r="N49" s="2" t="s">
        <v>1420</v>
      </c>
    </row>
    <row r="50" spans="1:14" ht="40.5" x14ac:dyDescent="0.25">
      <c r="A50" s="2" t="s">
        <v>228</v>
      </c>
      <c r="B50" s="2" t="s">
        <v>954</v>
      </c>
      <c r="C50" s="2">
        <v>2021</v>
      </c>
      <c r="D50" s="2" t="s">
        <v>725</v>
      </c>
      <c r="E50" s="2" t="s">
        <v>1469</v>
      </c>
      <c r="F50" s="2" t="s">
        <v>230</v>
      </c>
      <c r="G50" s="2" t="s">
        <v>963</v>
      </c>
      <c r="H50" s="2" t="s">
        <v>963</v>
      </c>
      <c r="I50" s="2" t="s">
        <v>1417</v>
      </c>
      <c r="J50" s="2" t="s">
        <v>1418</v>
      </c>
      <c r="K50" s="2" t="s">
        <v>1419</v>
      </c>
      <c r="L50" s="2" t="s">
        <v>965</v>
      </c>
      <c r="M50" s="2" t="s">
        <v>966</v>
      </c>
      <c r="N50" s="2" t="s">
        <v>1420</v>
      </c>
    </row>
    <row r="51" spans="1:14" ht="67.5" x14ac:dyDescent="0.25">
      <c r="A51" s="2" t="s">
        <v>231</v>
      </c>
      <c r="B51" s="2" t="s">
        <v>954</v>
      </c>
      <c r="C51" s="2">
        <v>2021</v>
      </c>
      <c r="D51" s="2" t="s">
        <v>726</v>
      </c>
      <c r="E51" s="2" t="s">
        <v>1470</v>
      </c>
      <c r="F51" s="2" t="s">
        <v>233</v>
      </c>
      <c r="G51" s="2" t="s">
        <v>963</v>
      </c>
      <c r="H51" s="2" t="s">
        <v>963</v>
      </c>
      <c r="I51" s="2" t="s">
        <v>1220</v>
      </c>
      <c r="J51" s="2" t="s">
        <v>1418</v>
      </c>
      <c r="K51" s="2" t="s">
        <v>1419</v>
      </c>
      <c r="L51" s="2" t="s">
        <v>965</v>
      </c>
      <c r="M51" s="2" t="s">
        <v>966</v>
      </c>
      <c r="N51" s="2" t="s">
        <v>1420</v>
      </c>
    </row>
    <row r="52" spans="1:14" ht="40.5" x14ac:dyDescent="0.25">
      <c r="A52" s="2" t="s">
        <v>234</v>
      </c>
      <c r="B52" s="2" t="s">
        <v>954</v>
      </c>
      <c r="C52" s="2">
        <v>2022</v>
      </c>
      <c r="D52" s="2" t="s">
        <v>727</v>
      </c>
      <c r="E52" s="2" t="s">
        <v>1471</v>
      </c>
      <c r="F52" s="2" t="s">
        <v>235</v>
      </c>
      <c r="G52" s="2" t="s">
        <v>963</v>
      </c>
      <c r="H52" s="2" t="s">
        <v>963</v>
      </c>
      <c r="I52" s="2" t="s">
        <v>1225</v>
      </c>
      <c r="J52" s="2" t="s">
        <v>1418</v>
      </c>
      <c r="K52" s="2" t="s">
        <v>1419</v>
      </c>
      <c r="L52" s="2" t="s">
        <v>965</v>
      </c>
      <c r="M52" s="2" t="s">
        <v>966</v>
      </c>
      <c r="N52" s="2" t="s">
        <v>1420</v>
      </c>
    </row>
    <row r="53" spans="1:14" ht="40.5" x14ac:dyDescent="0.25">
      <c r="A53" s="2" t="s">
        <v>236</v>
      </c>
      <c r="B53" s="2" t="s">
        <v>954</v>
      </c>
      <c r="C53" s="2">
        <v>2023</v>
      </c>
      <c r="D53" s="2" t="s">
        <v>728</v>
      </c>
      <c r="E53" s="2" t="s">
        <v>1472</v>
      </c>
      <c r="F53" s="2" t="s">
        <v>238</v>
      </c>
      <c r="G53" s="2" t="s">
        <v>963</v>
      </c>
      <c r="H53" s="2" t="s">
        <v>963</v>
      </c>
      <c r="I53" s="2" t="s">
        <v>1229</v>
      </c>
      <c r="J53" s="2" t="s">
        <v>1418</v>
      </c>
      <c r="K53" s="2" t="s">
        <v>1419</v>
      </c>
      <c r="L53" s="2" t="s">
        <v>965</v>
      </c>
      <c r="M53" s="2" t="s">
        <v>966</v>
      </c>
      <c r="N53" s="2" t="s">
        <v>1420</v>
      </c>
    </row>
    <row r="54" spans="1:14" ht="27" x14ac:dyDescent="0.25">
      <c r="A54" s="2" t="s">
        <v>239</v>
      </c>
      <c r="B54" s="2" t="s">
        <v>954</v>
      </c>
      <c r="C54" s="2">
        <v>2023</v>
      </c>
      <c r="D54" s="2" t="s">
        <v>729</v>
      </c>
      <c r="E54" s="2" t="s">
        <v>1473</v>
      </c>
      <c r="F54" s="2" t="s">
        <v>241</v>
      </c>
      <c r="G54" s="2" t="s">
        <v>963</v>
      </c>
      <c r="H54" s="2" t="s">
        <v>963</v>
      </c>
      <c r="I54" s="2" t="s">
        <v>1233</v>
      </c>
      <c r="J54" s="2" t="s">
        <v>1418</v>
      </c>
      <c r="K54" s="2" t="s">
        <v>1419</v>
      </c>
      <c r="L54" s="2" t="s">
        <v>965</v>
      </c>
      <c r="M54" s="2" t="s">
        <v>966</v>
      </c>
      <c r="N54" s="2" t="s">
        <v>1420</v>
      </c>
    </row>
    <row r="55" spans="1:14" ht="27" x14ac:dyDescent="0.25">
      <c r="A55" s="2" t="s">
        <v>242</v>
      </c>
      <c r="B55" s="2" t="s">
        <v>954</v>
      </c>
      <c r="C55" s="2">
        <v>2023</v>
      </c>
      <c r="D55" s="2" t="s">
        <v>730</v>
      </c>
      <c r="E55" s="2" t="s">
        <v>1474</v>
      </c>
      <c r="F55" s="2" t="s">
        <v>243</v>
      </c>
      <c r="G55" s="2" t="s">
        <v>963</v>
      </c>
      <c r="H55" s="2" t="s">
        <v>963</v>
      </c>
      <c r="I55" s="2" t="s">
        <v>1237</v>
      </c>
      <c r="J55" s="2" t="s">
        <v>1418</v>
      </c>
      <c r="K55" s="2" t="s">
        <v>1419</v>
      </c>
      <c r="L55" s="2" t="s">
        <v>965</v>
      </c>
      <c r="M55" s="2" t="s">
        <v>966</v>
      </c>
      <c r="N55" s="2" t="s">
        <v>1420</v>
      </c>
    </row>
    <row r="56" spans="1:14" ht="54" x14ac:dyDescent="0.25">
      <c r="A56" s="2" t="s">
        <v>244</v>
      </c>
      <c r="B56" s="2" t="s">
        <v>954</v>
      </c>
      <c r="C56" s="2">
        <v>2023</v>
      </c>
      <c r="D56" s="2" t="s">
        <v>731</v>
      </c>
      <c r="E56" s="2" t="s">
        <v>1475</v>
      </c>
      <c r="F56" s="2" t="s">
        <v>245</v>
      </c>
      <c r="G56" s="2" t="s">
        <v>963</v>
      </c>
      <c r="H56" s="2" t="s">
        <v>963</v>
      </c>
      <c r="I56" s="2" t="s">
        <v>1242</v>
      </c>
      <c r="J56" s="2" t="s">
        <v>1418</v>
      </c>
      <c r="K56" s="2" t="s">
        <v>1419</v>
      </c>
      <c r="L56" s="2" t="s">
        <v>965</v>
      </c>
      <c r="M56" s="2" t="s">
        <v>966</v>
      </c>
      <c r="N56" s="2" t="s">
        <v>1420</v>
      </c>
    </row>
    <row r="57" spans="1:14" ht="27" x14ac:dyDescent="0.25">
      <c r="A57" s="2" t="s">
        <v>246</v>
      </c>
      <c r="B57" s="2" t="s">
        <v>954</v>
      </c>
      <c r="C57" s="2">
        <v>2024</v>
      </c>
      <c r="D57" s="2" t="s">
        <v>732</v>
      </c>
      <c r="E57" s="2" t="s">
        <v>1476</v>
      </c>
      <c r="F57" s="2" t="s">
        <v>248</v>
      </c>
      <c r="G57" s="2" t="s">
        <v>963</v>
      </c>
      <c r="H57" s="2" t="s">
        <v>963</v>
      </c>
      <c r="I57" s="2" t="s">
        <v>1249</v>
      </c>
      <c r="J57" s="2" t="s">
        <v>1418</v>
      </c>
      <c r="K57" s="2" t="s">
        <v>1419</v>
      </c>
      <c r="L57" s="2" t="s">
        <v>965</v>
      </c>
      <c r="M57" s="2" t="s">
        <v>966</v>
      </c>
      <c r="N57" s="2" t="s">
        <v>1420</v>
      </c>
    </row>
    <row r="58" spans="1:14" ht="27" x14ac:dyDescent="0.25">
      <c r="A58" s="2" t="s">
        <v>249</v>
      </c>
      <c r="B58" s="2" t="s">
        <v>954</v>
      </c>
      <c r="C58" s="2">
        <v>2024</v>
      </c>
      <c r="D58" s="2" t="s">
        <v>733</v>
      </c>
      <c r="E58" s="2" t="s">
        <v>1477</v>
      </c>
      <c r="F58" s="2" t="s">
        <v>251</v>
      </c>
      <c r="G58" s="2" t="s">
        <v>963</v>
      </c>
      <c r="H58" s="2" t="s">
        <v>963</v>
      </c>
      <c r="I58" s="2" t="s">
        <v>1255</v>
      </c>
      <c r="J58" s="2" t="s">
        <v>1418</v>
      </c>
      <c r="K58" s="2" t="s">
        <v>1419</v>
      </c>
      <c r="L58" s="2" t="s">
        <v>965</v>
      </c>
      <c r="M58" s="2" t="s">
        <v>966</v>
      </c>
      <c r="N58" s="2" t="s">
        <v>1420</v>
      </c>
    </row>
    <row r="59" spans="1:14" ht="27" x14ac:dyDescent="0.25">
      <c r="A59" s="2" t="s">
        <v>252</v>
      </c>
      <c r="B59" s="2" t="s">
        <v>954</v>
      </c>
      <c r="C59" s="2">
        <v>2024</v>
      </c>
      <c r="D59" s="2" t="s">
        <v>734</v>
      </c>
      <c r="E59" s="2" t="s">
        <v>1478</v>
      </c>
      <c r="F59" s="2" t="s">
        <v>254</v>
      </c>
      <c r="G59" s="2" t="s">
        <v>963</v>
      </c>
      <c r="H59" s="2" t="s">
        <v>963</v>
      </c>
      <c r="I59" s="2" t="s">
        <v>1258</v>
      </c>
      <c r="J59" s="2" t="s">
        <v>1418</v>
      </c>
      <c r="K59" s="2" t="s">
        <v>1419</v>
      </c>
      <c r="L59" s="2" t="s">
        <v>965</v>
      </c>
      <c r="M59" s="2" t="s">
        <v>966</v>
      </c>
      <c r="N59" s="2" t="s">
        <v>1420</v>
      </c>
    </row>
    <row r="60" spans="1:14" ht="27" x14ac:dyDescent="0.25">
      <c r="A60" s="2" t="s">
        <v>255</v>
      </c>
      <c r="B60" s="2" t="s">
        <v>954</v>
      </c>
      <c r="C60" s="2">
        <v>2024</v>
      </c>
      <c r="D60" s="2" t="s">
        <v>735</v>
      </c>
      <c r="E60" s="2" t="s">
        <v>1479</v>
      </c>
      <c r="F60" s="2" t="s">
        <v>257</v>
      </c>
      <c r="G60" s="2" t="s">
        <v>963</v>
      </c>
      <c r="H60" s="2" t="s">
        <v>963</v>
      </c>
      <c r="I60" s="2" t="s">
        <v>1262</v>
      </c>
      <c r="J60" s="2" t="s">
        <v>1418</v>
      </c>
      <c r="K60" s="2" t="s">
        <v>1419</v>
      </c>
      <c r="L60" s="2" t="s">
        <v>965</v>
      </c>
      <c r="M60" s="2" t="s">
        <v>966</v>
      </c>
      <c r="N60" s="2" t="s">
        <v>1420</v>
      </c>
    </row>
    <row r="61" spans="1:14" ht="27" x14ac:dyDescent="0.25">
      <c r="A61" s="2" t="s">
        <v>258</v>
      </c>
      <c r="B61" s="2" t="s">
        <v>954</v>
      </c>
      <c r="C61" s="2">
        <v>2025</v>
      </c>
      <c r="D61" s="2" t="s">
        <v>736</v>
      </c>
      <c r="E61" s="2" t="s">
        <v>1480</v>
      </c>
      <c r="F61" s="2" t="s">
        <v>260</v>
      </c>
      <c r="G61" s="2" t="s">
        <v>963</v>
      </c>
      <c r="H61" s="2" t="s">
        <v>963</v>
      </c>
      <c r="I61" s="2" t="s">
        <v>1267</v>
      </c>
      <c r="J61" s="2" t="s">
        <v>1418</v>
      </c>
      <c r="K61" s="2" t="s">
        <v>1419</v>
      </c>
      <c r="L61" s="2" t="s">
        <v>965</v>
      </c>
      <c r="M61" s="2" t="s">
        <v>966</v>
      </c>
      <c r="N61" s="2" t="s">
        <v>1420</v>
      </c>
    </row>
    <row r="62" spans="1:14" ht="27" x14ac:dyDescent="0.25">
      <c r="A62" s="2" t="s">
        <v>261</v>
      </c>
      <c r="B62" s="2" t="s">
        <v>954</v>
      </c>
      <c r="C62" s="2">
        <v>2025</v>
      </c>
      <c r="D62" s="2" t="s">
        <v>737</v>
      </c>
      <c r="E62" s="2" t="s">
        <v>1481</v>
      </c>
      <c r="F62" s="2" t="s">
        <v>263</v>
      </c>
      <c r="G62" s="2" t="s">
        <v>963</v>
      </c>
      <c r="H62" s="2" t="s">
        <v>963</v>
      </c>
      <c r="I62" s="2" t="s">
        <v>1270</v>
      </c>
      <c r="J62" s="2" t="s">
        <v>1418</v>
      </c>
      <c r="K62" s="2" t="s">
        <v>1419</v>
      </c>
      <c r="L62" s="2" t="s">
        <v>965</v>
      </c>
      <c r="M62" s="2" t="s">
        <v>966</v>
      </c>
      <c r="N62" s="2" t="s">
        <v>1420</v>
      </c>
    </row>
    <row r="63" spans="1:14" ht="27" x14ac:dyDescent="0.25">
      <c r="A63" s="2" t="s">
        <v>264</v>
      </c>
      <c r="B63" s="2" t="s">
        <v>954</v>
      </c>
      <c r="C63" s="2">
        <v>2025</v>
      </c>
      <c r="D63" s="2" t="s">
        <v>738</v>
      </c>
      <c r="E63" s="2" t="s">
        <v>1482</v>
      </c>
      <c r="F63" s="2" t="s">
        <v>265</v>
      </c>
      <c r="G63" s="2" t="s">
        <v>963</v>
      </c>
      <c r="H63" s="2" t="s">
        <v>963</v>
      </c>
      <c r="I63" s="2" t="s">
        <v>1274</v>
      </c>
      <c r="J63" s="2" t="s">
        <v>1418</v>
      </c>
      <c r="K63" s="2" t="s">
        <v>1419</v>
      </c>
      <c r="L63" s="2" t="s">
        <v>965</v>
      </c>
      <c r="M63" s="2" t="s">
        <v>966</v>
      </c>
      <c r="N63" s="2" t="s">
        <v>1420</v>
      </c>
    </row>
    <row r="64" spans="1:14" ht="27" x14ac:dyDescent="0.25">
      <c r="A64" s="2" t="s">
        <v>266</v>
      </c>
      <c r="B64" s="2" t="s">
        <v>954</v>
      </c>
      <c r="C64" s="2">
        <v>2025</v>
      </c>
      <c r="D64" s="2" t="s">
        <v>739</v>
      </c>
      <c r="E64" s="2" t="s">
        <v>1483</v>
      </c>
      <c r="F64" s="2" t="s">
        <v>268</v>
      </c>
      <c r="G64" s="2" t="s">
        <v>963</v>
      </c>
      <c r="H64" s="2" t="s">
        <v>963</v>
      </c>
      <c r="I64" s="2" t="s">
        <v>1417</v>
      </c>
      <c r="J64" s="2" t="s">
        <v>1418</v>
      </c>
      <c r="K64" s="2" t="s">
        <v>1419</v>
      </c>
      <c r="L64" s="2" t="s">
        <v>965</v>
      </c>
      <c r="M64" s="2" t="s">
        <v>966</v>
      </c>
      <c r="N64" s="2" t="s">
        <v>1420</v>
      </c>
    </row>
    <row r="65" spans="1:14" ht="27" x14ac:dyDescent="0.25">
      <c r="A65" s="2" t="s">
        <v>269</v>
      </c>
      <c r="B65" s="2" t="s">
        <v>954</v>
      </c>
      <c r="C65" s="2">
        <v>2025</v>
      </c>
      <c r="D65" s="2" t="s">
        <v>740</v>
      </c>
      <c r="E65" s="2" t="s">
        <v>1484</v>
      </c>
      <c r="F65" s="2" t="s">
        <v>271</v>
      </c>
      <c r="G65" s="2" t="s">
        <v>963</v>
      </c>
      <c r="H65" s="2" t="s">
        <v>963</v>
      </c>
      <c r="I65" s="2" t="s">
        <v>1417</v>
      </c>
      <c r="J65" s="2" t="s">
        <v>1418</v>
      </c>
      <c r="K65" s="2" t="s">
        <v>1419</v>
      </c>
      <c r="L65" s="2" t="s">
        <v>965</v>
      </c>
      <c r="M65" s="2" t="s">
        <v>966</v>
      </c>
      <c r="N65" s="2" t="s">
        <v>1420</v>
      </c>
    </row>
    <row r="66" spans="1:14" ht="27" x14ac:dyDescent="0.25">
      <c r="A66" s="2" t="s">
        <v>272</v>
      </c>
      <c r="B66" s="2" t="s">
        <v>1049</v>
      </c>
      <c r="C66" s="2">
        <v>2026</v>
      </c>
      <c r="D66" s="2" t="s">
        <v>741</v>
      </c>
      <c r="E66" s="2" t="s">
        <v>1485</v>
      </c>
      <c r="F66" s="2" t="s">
        <v>274</v>
      </c>
      <c r="G66" s="2" t="s">
        <v>963</v>
      </c>
      <c r="H66" s="2" t="s">
        <v>963</v>
      </c>
      <c r="I66" s="2" t="s">
        <v>1417</v>
      </c>
      <c r="J66" s="2" t="s">
        <v>1418</v>
      </c>
      <c r="K66" s="2" t="s">
        <v>1419</v>
      </c>
      <c r="L66" s="2" t="s">
        <v>965</v>
      </c>
      <c r="M66" s="2" t="s">
        <v>966</v>
      </c>
      <c r="N66" s="2" t="s">
        <v>1436</v>
      </c>
    </row>
    <row r="67" spans="1:14" ht="27" x14ac:dyDescent="0.25">
      <c r="A67" s="2" t="s">
        <v>275</v>
      </c>
      <c r="B67" s="2" t="s">
        <v>954</v>
      </c>
      <c r="C67" s="2">
        <v>2016</v>
      </c>
      <c r="D67" s="2" t="s">
        <v>742</v>
      </c>
      <c r="E67" s="2" t="s">
        <v>1486</v>
      </c>
      <c r="F67" s="2" t="s">
        <v>277</v>
      </c>
      <c r="G67" s="2" t="s">
        <v>963</v>
      </c>
      <c r="H67" s="2" t="s">
        <v>963</v>
      </c>
      <c r="I67" s="2" t="s">
        <v>1417</v>
      </c>
      <c r="J67" s="2" t="s">
        <v>1418</v>
      </c>
      <c r="K67" s="2" t="s">
        <v>1419</v>
      </c>
      <c r="L67" s="2" t="s">
        <v>965</v>
      </c>
      <c r="M67" s="2" t="s">
        <v>966</v>
      </c>
      <c r="N67" s="2" t="s">
        <v>1420</v>
      </c>
    </row>
    <row r="68" spans="1:14" ht="27" x14ac:dyDescent="0.25">
      <c r="A68" s="2" t="s">
        <v>278</v>
      </c>
      <c r="B68" s="2" t="s">
        <v>954</v>
      </c>
      <c r="C68" s="2">
        <v>2018</v>
      </c>
      <c r="D68" s="2" t="s">
        <v>743</v>
      </c>
      <c r="E68" s="2" t="s">
        <v>1487</v>
      </c>
      <c r="F68" s="2" t="s">
        <v>280</v>
      </c>
      <c r="G68" s="2" t="s">
        <v>963</v>
      </c>
      <c r="H68" s="2" t="s">
        <v>963</v>
      </c>
      <c r="I68" s="2" t="s">
        <v>1292</v>
      </c>
      <c r="J68" s="2" t="s">
        <v>1418</v>
      </c>
      <c r="K68" s="2" t="s">
        <v>1419</v>
      </c>
      <c r="L68" s="2" t="s">
        <v>965</v>
      </c>
      <c r="M68" s="2" t="s">
        <v>966</v>
      </c>
      <c r="N68" s="2" t="s">
        <v>1420</v>
      </c>
    </row>
    <row r="69" spans="1:14" ht="27" x14ac:dyDescent="0.25">
      <c r="A69" s="2" t="s">
        <v>281</v>
      </c>
      <c r="B69" s="2" t="s">
        <v>954</v>
      </c>
      <c r="C69" s="2">
        <v>2018</v>
      </c>
      <c r="D69" s="2" t="s">
        <v>744</v>
      </c>
      <c r="E69" s="2" t="s">
        <v>1488</v>
      </c>
      <c r="F69" s="2" t="s">
        <v>283</v>
      </c>
      <c r="G69" s="2" t="s">
        <v>963</v>
      </c>
      <c r="H69" s="2" t="s">
        <v>963</v>
      </c>
      <c r="I69" s="2" t="s">
        <v>1296</v>
      </c>
      <c r="J69" s="2" t="s">
        <v>1418</v>
      </c>
      <c r="K69" s="2" t="s">
        <v>1419</v>
      </c>
      <c r="L69" s="2" t="s">
        <v>965</v>
      </c>
      <c r="M69" s="2" t="s">
        <v>966</v>
      </c>
      <c r="N69" s="2" t="s">
        <v>1420</v>
      </c>
    </row>
    <row r="70" spans="1:14" ht="27" x14ac:dyDescent="0.25">
      <c r="A70" s="2" t="s">
        <v>284</v>
      </c>
      <c r="B70" s="2" t="s">
        <v>954</v>
      </c>
      <c r="C70" s="2">
        <v>2019</v>
      </c>
      <c r="D70" s="2" t="s">
        <v>745</v>
      </c>
      <c r="E70" s="2" t="s">
        <v>1489</v>
      </c>
      <c r="F70" s="2" t="s">
        <v>286</v>
      </c>
      <c r="G70" s="2" t="s">
        <v>963</v>
      </c>
      <c r="H70" s="2" t="s">
        <v>963</v>
      </c>
      <c r="I70" s="2" t="s">
        <v>1301</v>
      </c>
      <c r="J70" s="2" t="s">
        <v>1418</v>
      </c>
      <c r="K70" s="2" t="s">
        <v>1419</v>
      </c>
      <c r="L70" s="2" t="s">
        <v>965</v>
      </c>
      <c r="M70" s="2" t="s">
        <v>966</v>
      </c>
      <c r="N70" s="2" t="s">
        <v>1420</v>
      </c>
    </row>
    <row r="71" spans="1:14" ht="27" x14ac:dyDescent="0.25">
      <c r="A71" s="2" t="s">
        <v>287</v>
      </c>
      <c r="B71" s="2" t="s">
        <v>954</v>
      </c>
      <c r="C71" s="2">
        <v>2020</v>
      </c>
      <c r="D71" s="2" t="s">
        <v>746</v>
      </c>
      <c r="E71" s="2" t="s">
        <v>1490</v>
      </c>
      <c r="F71" s="2" t="s">
        <v>289</v>
      </c>
      <c r="G71" s="2" t="s">
        <v>963</v>
      </c>
      <c r="H71" s="2" t="s">
        <v>963</v>
      </c>
      <c r="I71" s="2" t="s">
        <v>1417</v>
      </c>
      <c r="J71" s="2" t="s">
        <v>1418</v>
      </c>
      <c r="K71" s="2" t="s">
        <v>1419</v>
      </c>
      <c r="L71" s="2" t="s">
        <v>965</v>
      </c>
      <c r="M71" s="2" t="s">
        <v>966</v>
      </c>
      <c r="N71" s="2" t="s">
        <v>1420</v>
      </c>
    </row>
    <row r="72" spans="1:14" ht="27" x14ac:dyDescent="0.25">
      <c r="A72" s="2" t="s">
        <v>290</v>
      </c>
      <c r="B72" s="2" t="s">
        <v>954</v>
      </c>
      <c r="C72" s="2">
        <v>2020</v>
      </c>
      <c r="D72" s="2" t="s">
        <v>747</v>
      </c>
      <c r="E72" s="2" t="s">
        <v>1491</v>
      </c>
      <c r="F72" s="2" t="s">
        <v>292</v>
      </c>
      <c r="G72" s="2" t="s">
        <v>963</v>
      </c>
      <c r="H72" s="2" t="s">
        <v>963</v>
      </c>
      <c r="I72" s="2" t="s">
        <v>1417</v>
      </c>
      <c r="J72" s="2" t="s">
        <v>1418</v>
      </c>
      <c r="K72" s="2" t="s">
        <v>1419</v>
      </c>
      <c r="L72" s="2" t="s">
        <v>965</v>
      </c>
      <c r="M72" s="2" t="s">
        <v>966</v>
      </c>
      <c r="N72" s="2" t="s">
        <v>1420</v>
      </c>
    </row>
    <row r="73" spans="1:14" ht="27" x14ac:dyDescent="0.25">
      <c r="A73" s="2" t="s">
        <v>293</v>
      </c>
      <c r="B73" s="2" t="s">
        <v>954</v>
      </c>
      <c r="C73" s="2">
        <v>2021</v>
      </c>
      <c r="D73" s="2" t="s">
        <v>748</v>
      </c>
      <c r="E73" s="2" t="s">
        <v>1492</v>
      </c>
      <c r="F73" s="2" t="s">
        <v>295</v>
      </c>
      <c r="G73" s="2" t="s">
        <v>963</v>
      </c>
      <c r="H73" s="2" t="s">
        <v>963</v>
      </c>
      <c r="I73" s="2" t="s">
        <v>1417</v>
      </c>
      <c r="J73" s="2" t="s">
        <v>1418</v>
      </c>
      <c r="K73" s="2" t="s">
        <v>1419</v>
      </c>
      <c r="L73" s="2" t="s">
        <v>965</v>
      </c>
      <c r="M73" s="2" t="s">
        <v>966</v>
      </c>
      <c r="N73" s="2" t="s">
        <v>1420</v>
      </c>
    </row>
    <row r="74" spans="1:14" ht="27" x14ac:dyDescent="0.25">
      <c r="A74" s="2" t="s">
        <v>296</v>
      </c>
      <c r="B74" s="2" t="s">
        <v>954</v>
      </c>
      <c r="C74" s="2">
        <v>2022</v>
      </c>
      <c r="D74" s="2" t="s">
        <v>749</v>
      </c>
      <c r="E74" s="2" t="s">
        <v>1493</v>
      </c>
      <c r="F74" s="2" t="s">
        <v>298</v>
      </c>
      <c r="G74" s="2" t="s">
        <v>963</v>
      </c>
      <c r="H74" s="2" t="s">
        <v>963</v>
      </c>
      <c r="I74" s="2" t="s">
        <v>1308</v>
      </c>
      <c r="J74" s="2" t="s">
        <v>1418</v>
      </c>
      <c r="K74" s="2" t="s">
        <v>1419</v>
      </c>
      <c r="L74" s="2" t="s">
        <v>965</v>
      </c>
      <c r="M74" s="2" t="s">
        <v>966</v>
      </c>
      <c r="N74" s="2" t="s">
        <v>1420</v>
      </c>
    </row>
    <row r="75" spans="1:14" ht="27" x14ac:dyDescent="0.25">
      <c r="A75" s="2" t="s">
        <v>299</v>
      </c>
      <c r="B75" s="2" t="s">
        <v>954</v>
      </c>
      <c r="C75" s="2">
        <v>2022</v>
      </c>
      <c r="D75" s="2" t="s">
        <v>750</v>
      </c>
      <c r="E75" s="2" t="s">
        <v>1494</v>
      </c>
      <c r="F75" s="2" t="s">
        <v>301</v>
      </c>
      <c r="G75" s="2" t="s">
        <v>963</v>
      </c>
      <c r="H75" s="2" t="s">
        <v>963</v>
      </c>
      <c r="I75" s="2" t="s">
        <v>1417</v>
      </c>
      <c r="J75" s="2" t="s">
        <v>1418</v>
      </c>
      <c r="K75" s="2" t="s">
        <v>1419</v>
      </c>
      <c r="L75" s="2" t="s">
        <v>965</v>
      </c>
      <c r="M75" s="2" t="s">
        <v>966</v>
      </c>
      <c r="N75" s="2" t="s">
        <v>1420</v>
      </c>
    </row>
    <row r="76" spans="1:14" ht="27" x14ac:dyDescent="0.25">
      <c r="A76" s="2" t="s">
        <v>302</v>
      </c>
      <c r="B76" s="2" t="s">
        <v>954</v>
      </c>
      <c r="C76" s="2">
        <v>2022</v>
      </c>
      <c r="D76" s="2" t="s">
        <v>751</v>
      </c>
      <c r="E76" s="2" t="s">
        <v>1495</v>
      </c>
      <c r="F76" s="2" t="s">
        <v>304</v>
      </c>
      <c r="G76" s="2" t="s">
        <v>963</v>
      </c>
      <c r="H76" s="2" t="s">
        <v>963</v>
      </c>
      <c r="I76" s="2" t="s">
        <v>1315</v>
      </c>
      <c r="J76" s="2" t="s">
        <v>1418</v>
      </c>
      <c r="K76" s="2" t="s">
        <v>1419</v>
      </c>
      <c r="L76" s="2" t="s">
        <v>965</v>
      </c>
      <c r="M76" s="2" t="s">
        <v>966</v>
      </c>
      <c r="N76" s="2" t="s">
        <v>1420</v>
      </c>
    </row>
    <row r="77" spans="1:14" ht="27" x14ac:dyDescent="0.25">
      <c r="A77" s="2" t="s">
        <v>305</v>
      </c>
      <c r="B77" s="2" t="s">
        <v>954</v>
      </c>
      <c r="C77" s="2">
        <v>2022</v>
      </c>
      <c r="D77" s="2" t="s">
        <v>752</v>
      </c>
      <c r="E77" s="2" t="s">
        <v>1496</v>
      </c>
      <c r="F77" s="2" t="s">
        <v>307</v>
      </c>
      <c r="G77" s="2" t="s">
        <v>963</v>
      </c>
      <c r="H77" s="2" t="s">
        <v>963</v>
      </c>
      <c r="I77" s="2" t="s">
        <v>1319</v>
      </c>
      <c r="J77" s="2" t="s">
        <v>1418</v>
      </c>
      <c r="K77" s="2" t="s">
        <v>1419</v>
      </c>
      <c r="L77" s="2" t="s">
        <v>965</v>
      </c>
      <c r="M77" s="2" t="s">
        <v>966</v>
      </c>
      <c r="N77" s="2" t="s">
        <v>1420</v>
      </c>
    </row>
    <row r="78" spans="1:14" ht="27" x14ac:dyDescent="0.25">
      <c r="A78" s="2" t="s">
        <v>308</v>
      </c>
      <c r="B78" s="2" t="s">
        <v>954</v>
      </c>
      <c r="C78" s="2">
        <v>2022</v>
      </c>
      <c r="D78" s="2" t="s">
        <v>753</v>
      </c>
      <c r="E78" s="2" t="s">
        <v>1497</v>
      </c>
      <c r="F78" s="2" t="s">
        <v>310</v>
      </c>
      <c r="G78" s="2" t="s">
        <v>963</v>
      </c>
      <c r="H78" s="2" t="s">
        <v>963</v>
      </c>
      <c r="I78" s="2" t="s">
        <v>1322</v>
      </c>
      <c r="J78" s="2" t="s">
        <v>1418</v>
      </c>
      <c r="K78" s="2" t="s">
        <v>1419</v>
      </c>
      <c r="L78" s="2" t="s">
        <v>965</v>
      </c>
      <c r="M78" s="2" t="s">
        <v>966</v>
      </c>
      <c r="N78" s="2" t="s">
        <v>1420</v>
      </c>
    </row>
    <row r="79" spans="1:14" ht="40.5" x14ac:dyDescent="0.25">
      <c r="A79" s="2" t="s">
        <v>311</v>
      </c>
      <c r="B79" s="2" t="s">
        <v>954</v>
      </c>
      <c r="C79" s="2">
        <v>2022</v>
      </c>
      <c r="D79" s="2" t="s">
        <v>754</v>
      </c>
      <c r="E79" s="2" t="s">
        <v>1498</v>
      </c>
      <c r="F79" s="2" t="s">
        <v>313</v>
      </c>
      <c r="G79" s="2" t="s">
        <v>963</v>
      </c>
      <c r="H79" s="2" t="s">
        <v>963</v>
      </c>
      <c r="I79" s="2" t="s">
        <v>1325</v>
      </c>
      <c r="J79" s="2" t="s">
        <v>1418</v>
      </c>
      <c r="K79" s="2" t="s">
        <v>1419</v>
      </c>
      <c r="L79" s="2" t="s">
        <v>965</v>
      </c>
      <c r="M79" s="2" t="s">
        <v>966</v>
      </c>
      <c r="N79" s="2" t="s">
        <v>1420</v>
      </c>
    </row>
    <row r="80" spans="1:14" ht="27" x14ac:dyDescent="0.25">
      <c r="A80" s="2" t="s">
        <v>314</v>
      </c>
      <c r="B80" s="2" t="s">
        <v>954</v>
      </c>
      <c r="C80" s="2">
        <v>2023</v>
      </c>
      <c r="D80" s="2" t="s">
        <v>755</v>
      </c>
      <c r="E80" s="2" t="s">
        <v>1499</v>
      </c>
      <c r="F80" s="2" t="s">
        <v>315</v>
      </c>
      <c r="G80" s="2" t="s">
        <v>963</v>
      </c>
      <c r="H80" s="2" t="s">
        <v>963</v>
      </c>
      <c r="I80" s="2" t="s">
        <v>1328</v>
      </c>
      <c r="J80" s="2" t="s">
        <v>1418</v>
      </c>
      <c r="K80" s="2" t="s">
        <v>1419</v>
      </c>
      <c r="L80" s="2" t="s">
        <v>965</v>
      </c>
      <c r="M80" s="2" t="s">
        <v>966</v>
      </c>
      <c r="N80" s="2" t="s">
        <v>1420</v>
      </c>
    </row>
    <row r="81" spans="1:14" ht="40.5" x14ac:dyDescent="0.25">
      <c r="A81" s="2" t="s">
        <v>316</v>
      </c>
      <c r="B81" s="2" t="s">
        <v>954</v>
      </c>
      <c r="C81" s="2">
        <v>2023</v>
      </c>
      <c r="D81" s="2" t="s">
        <v>756</v>
      </c>
      <c r="E81" s="2" t="s">
        <v>1500</v>
      </c>
      <c r="F81" s="2" t="s">
        <v>317</v>
      </c>
      <c r="G81" s="2" t="s">
        <v>963</v>
      </c>
      <c r="H81" s="2" t="s">
        <v>963</v>
      </c>
      <c r="I81" s="2" t="s">
        <v>1332</v>
      </c>
      <c r="J81" s="2" t="s">
        <v>1418</v>
      </c>
      <c r="K81" s="2" t="s">
        <v>1419</v>
      </c>
      <c r="L81" s="2" t="s">
        <v>965</v>
      </c>
      <c r="M81" s="2" t="s">
        <v>966</v>
      </c>
      <c r="N81" s="2" t="s">
        <v>1420</v>
      </c>
    </row>
    <row r="82" spans="1:14" ht="27" x14ac:dyDescent="0.25">
      <c r="A82" s="2" t="s">
        <v>318</v>
      </c>
      <c r="B82" s="2" t="s">
        <v>954</v>
      </c>
      <c r="C82" s="2">
        <v>2023</v>
      </c>
      <c r="D82" s="2" t="s">
        <v>757</v>
      </c>
      <c r="E82" s="2" t="s">
        <v>1501</v>
      </c>
      <c r="F82" s="2" t="s">
        <v>320</v>
      </c>
      <c r="G82" s="2" t="s">
        <v>963</v>
      </c>
      <c r="H82" s="2" t="s">
        <v>963</v>
      </c>
      <c r="I82" s="2" t="s">
        <v>1335</v>
      </c>
      <c r="J82" s="2" t="s">
        <v>1418</v>
      </c>
      <c r="K82" s="2" t="s">
        <v>1419</v>
      </c>
      <c r="L82" s="2" t="s">
        <v>965</v>
      </c>
      <c r="M82" s="2" t="s">
        <v>966</v>
      </c>
      <c r="N82" s="2" t="s">
        <v>1420</v>
      </c>
    </row>
    <row r="83" spans="1:14" ht="27" x14ac:dyDescent="0.25">
      <c r="A83" s="2" t="s">
        <v>321</v>
      </c>
      <c r="B83" s="2" t="s">
        <v>954</v>
      </c>
      <c r="C83" s="2">
        <v>2023</v>
      </c>
      <c r="D83" s="2" t="s">
        <v>758</v>
      </c>
      <c r="E83" s="2" t="s">
        <v>1502</v>
      </c>
      <c r="F83" s="2" t="s">
        <v>322</v>
      </c>
      <c r="G83" s="2" t="s">
        <v>963</v>
      </c>
      <c r="H83" s="2" t="s">
        <v>963</v>
      </c>
      <c r="I83" s="2" t="s">
        <v>1338</v>
      </c>
      <c r="J83" s="2" t="s">
        <v>1418</v>
      </c>
      <c r="K83" s="2" t="s">
        <v>1419</v>
      </c>
      <c r="L83" s="2" t="s">
        <v>965</v>
      </c>
      <c r="M83" s="2" t="s">
        <v>966</v>
      </c>
      <c r="N83" s="2" t="s">
        <v>1420</v>
      </c>
    </row>
    <row r="84" spans="1:14" ht="40.5" x14ac:dyDescent="0.25">
      <c r="A84" s="2" t="s">
        <v>323</v>
      </c>
      <c r="B84" s="2" t="s">
        <v>954</v>
      </c>
      <c r="C84" s="2">
        <v>2023</v>
      </c>
      <c r="D84" s="2" t="s">
        <v>759</v>
      </c>
      <c r="E84" s="2" t="s">
        <v>1503</v>
      </c>
      <c r="F84" s="2" t="s">
        <v>324</v>
      </c>
      <c r="G84" s="2" t="s">
        <v>963</v>
      </c>
      <c r="H84" s="2" t="s">
        <v>963</v>
      </c>
      <c r="I84" s="2" t="s">
        <v>1343</v>
      </c>
      <c r="J84" s="2" t="s">
        <v>1418</v>
      </c>
      <c r="K84" s="2" t="s">
        <v>1419</v>
      </c>
      <c r="L84" s="2" t="s">
        <v>965</v>
      </c>
      <c r="M84" s="2" t="s">
        <v>966</v>
      </c>
      <c r="N84" s="2" t="s">
        <v>1420</v>
      </c>
    </row>
    <row r="85" spans="1:14" ht="27" x14ac:dyDescent="0.25">
      <c r="A85" s="2" t="s">
        <v>325</v>
      </c>
      <c r="B85" s="2" t="s">
        <v>954</v>
      </c>
      <c r="C85" s="2">
        <v>2023</v>
      </c>
      <c r="D85" s="2" t="s">
        <v>760</v>
      </c>
      <c r="E85" s="2" t="s">
        <v>1504</v>
      </c>
      <c r="F85" s="2" t="s">
        <v>327</v>
      </c>
      <c r="G85" s="2" t="s">
        <v>963</v>
      </c>
      <c r="H85" s="2" t="s">
        <v>963</v>
      </c>
      <c r="I85" s="2" t="s">
        <v>1346</v>
      </c>
      <c r="J85" s="2" t="s">
        <v>1418</v>
      </c>
      <c r="K85" s="2" t="s">
        <v>1419</v>
      </c>
      <c r="L85" s="2" t="s">
        <v>965</v>
      </c>
      <c r="M85" s="2" t="s">
        <v>966</v>
      </c>
      <c r="N85" s="2" t="s">
        <v>1420</v>
      </c>
    </row>
    <row r="86" spans="1:14" ht="27" x14ac:dyDescent="0.25">
      <c r="A86" s="2" t="s">
        <v>328</v>
      </c>
      <c r="B86" s="2" t="s">
        <v>954</v>
      </c>
      <c r="C86" s="2">
        <v>2023</v>
      </c>
      <c r="D86" s="2" t="s">
        <v>761</v>
      </c>
      <c r="E86" s="2" t="s">
        <v>1505</v>
      </c>
      <c r="F86" s="2" t="s">
        <v>330</v>
      </c>
      <c r="G86" s="2" t="s">
        <v>963</v>
      </c>
      <c r="H86" s="2" t="s">
        <v>963</v>
      </c>
      <c r="I86" s="2" t="s">
        <v>1348</v>
      </c>
      <c r="J86" s="2" t="s">
        <v>1418</v>
      </c>
      <c r="K86" s="2" t="s">
        <v>1419</v>
      </c>
      <c r="L86" s="2" t="s">
        <v>965</v>
      </c>
      <c r="M86" s="2" t="s">
        <v>966</v>
      </c>
      <c r="N86" s="2" t="s">
        <v>1420</v>
      </c>
    </row>
    <row r="87" spans="1:14" ht="27" x14ac:dyDescent="0.25">
      <c r="A87" s="2" t="s">
        <v>331</v>
      </c>
      <c r="B87" s="2" t="s">
        <v>954</v>
      </c>
      <c r="C87" s="2">
        <v>2023</v>
      </c>
      <c r="D87" s="2" t="s">
        <v>762</v>
      </c>
      <c r="E87" s="2" t="s">
        <v>1506</v>
      </c>
      <c r="F87" s="2" t="s">
        <v>333</v>
      </c>
      <c r="G87" s="2" t="s">
        <v>963</v>
      </c>
      <c r="H87" s="2" t="s">
        <v>963</v>
      </c>
      <c r="I87" s="2" t="s">
        <v>1417</v>
      </c>
      <c r="J87" s="2" t="s">
        <v>1418</v>
      </c>
      <c r="K87" s="2" t="s">
        <v>1419</v>
      </c>
      <c r="L87" s="2" t="s">
        <v>965</v>
      </c>
      <c r="M87" s="2" t="s">
        <v>966</v>
      </c>
      <c r="N87" s="2" t="s">
        <v>1420</v>
      </c>
    </row>
    <row r="88" spans="1:14" ht="27" x14ac:dyDescent="0.25">
      <c r="A88" s="2" t="s">
        <v>334</v>
      </c>
      <c r="B88" s="2" t="s">
        <v>954</v>
      </c>
      <c r="C88" s="2">
        <v>2023</v>
      </c>
      <c r="D88" s="2" t="s">
        <v>763</v>
      </c>
      <c r="E88" s="2" t="s">
        <v>1507</v>
      </c>
      <c r="F88" s="2" t="s">
        <v>336</v>
      </c>
      <c r="G88" s="2" t="s">
        <v>963</v>
      </c>
      <c r="H88" s="2" t="s">
        <v>963</v>
      </c>
      <c r="I88" s="2" t="s">
        <v>1417</v>
      </c>
      <c r="J88" s="2" t="s">
        <v>1418</v>
      </c>
      <c r="K88" s="2" t="s">
        <v>1419</v>
      </c>
      <c r="L88" s="2" t="s">
        <v>965</v>
      </c>
      <c r="M88" s="2" t="s">
        <v>966</v>
      </c>
      <c r="N88" s="2" t="s">
        <v>1420</v>
      </c>
    </row>
    <row r="89" spans="1:14" ht="27" x14ac:dyDescent="0.25">
      <c r="A89" s="2" t="s">
        <v>337</v>
      </c>
      <c r="B89" s="2" t="s">
        <v>954</v>
      </c>
      <c r="C89" s="2">
        <v>2023</v>
      </c>
      <c r="D89" s="2" t="s">
        <v>764</v>
      </c>
      <c r="E89" s="2" t="s">
        <v>1508</v>
      </c>
      <c r="F89" s="2" t="s">
        <v>339</v>
      </c>
      <c r="G89" s="2" t="s">
        <v>963</v>
      </c>
      <c r="H89" s="2" t="s">
        <v>963</v>
      </c>
      <c r="I89" s="2" t="s">
        <v>1355</v>
      </c>
      <c r="J89" s="2" t="s">
        <v>1418</v>
      </c>
      <c r="K89" s="2" t="s">
        <v>1419</v>
      </c>
      <c r="L89" s="2" t="s">
        <v>965</v>
      </c>
      <c r="M89" s="2" t="s">
        <v>966</v>
      </c>
      <c r="N89" s="2" t="s">
        <v>1420</v>
      </c>
    </row>
    <row r="90" spans="1:14" ht="27" x14ac:dyDescent="0.25">
      <c r="A90" s="2" t="s">
        <v>340</v>
      </c>
      <c r="B90" s="2" t="s">
        <v>954</v>
      </c>
      <c r="C90" s="2">
        <v>2024</v>
      </c>
      <c r="D90" s="2" t="s">
        <v>765</v>
      </c>
      <c r="E90" s="2" t="s">
        <v>1509</v>
      </c>
      <c r="F90" s="2" t="s">
        <v>342</v>
      </c>
      <c r="G90" s="2" t="s">
        <v>963</v>
      </c>
      <c r="H90" s="2" t="s">
        <v>963</v>
      </c>
      <c r="I90" s="2" t="s">
        <v>1357</v>
      </c>
      <c r="J90" s="2" t="s">
        <v>1418</v>
      </c>
      <c r="K90" s="2" t="s">
        <v>1419</v>
      </c>
      <c r="L90" s="2" t="s">
        <v>965</v>
      </c>
      <c r="M90" s="2" t="s">
        <v>966</v>
      </c>
      <c r="N90" s="2" t="s">
        <v>1420</v>
      </c>
    </row>
    <row r="91" spans="1:14" ht="27" x14ac:dyDescent="0.25">
      <c r="A91" s="2" t="s">
        <v>343</v>
      </c>
      <c r="B91" s="2" t="s">
        <v>954</v>
      </c>
      <c r="C91" s="2">
        <v>2024</v>
      </c>
      <c r="D91" s="2" t="s">
        <v>766</v>
      </c>
      <c r="E91" s="2" t="s">
        <v>1510</v>
      </c>
      <c r="F91" s="2" t="s">
        <v>345</v>
      </c>
      <c r="G91" s="2" t="s">
        <v>963</v>
      </c>
      <c r="H91" s="2" t="s">
        <v>963</v>
      </c>
      <c r="I91" s="2" t="s">
        <v>1359</v>
      </c>
      <c r="J91" s="2" t="s">
        <v>1418</v>
      </c>
      <c r="K91" s="2" t="s">
        <v>1419</v>
      </c>
      <c r="L91" s="2" t="s">
        <v>965</v>
      </c>
      <c r="M91" s="2" t="s">
        <v>966</v>
      </c>
      <c r="N91" s="2" t="s">
        <v>1420</v>
      </c>
    </row>
    <row r="92" spans="1:14" ht="27" x14ac:dyDescent="0.25">
      <c r="A92" s="2" t="s">
        <v>346</v>
      </c>
      <c r="B92" s="2" t="s">
        <v>954</v>
      </c>
      <c r="C92" s="2">
        <v>2024</v>
      </c>
      <c r="D92" s="2" t="s">
        <v>767</v>
      </c>
      <c r="E92" s="2" t="s">
        <v>1511</v>
      </c>
      <c r="F92" s="2" t="s">
        <v>348</v>
      </c>
      <c r="G92" s="2" t="s">
        <v>963</v>
      </c>
      <c r="H92" s="2" t="s">
        <v>963</v>
      </c>
      <c r="I92" s="2" t="s">
        <v>1362</v>
      </c>
      <c r="J92" s="2" t="s">
        <v>1418</v>
      </c>
      <c r="K92" s="2" t="s">
        <v>1419</v>
      </c>
      <c r="L92" s="2" t="s">
        <v>965</v>
      </c>
      <c r="M92" s="2" t="s">
        <v>966</v>
      </c>
      <c r="N92" s="2" t="s">
        <v>1420</v>
      </c>
    </row>
    <row r="93" spans="1:14" ht="27" x14ac:dyDescent="0.25">
      <c r="A93" s="2" t="s">
        <v>349</v>
      </c>
      <c r="B93" s="2" t="s">
        <v>954</v>
      </c>
      <c r="C93" s="2">
        <v>2025</v>
      </c>
      <c r="D93" s="2" t="s">
        <v>768</v>
      </c>
      <c r="E93" s="2" t="s">
        <v>1512</v>
      </c>
      <c r="F93" s="2" t="s">
        <v>351</v>
      </c>
      <c r="G93" s="2" t="s">
        <v>963</v>
      </c>
      <c r="H93" s="2" t="s">
        <v>963</v>
      </c>
      <c r="I93" s="2" t="s">
        <v>1365</v>
      </c>
      <c r="J93" s="2" t="s">
        <v>1418</v>
      </c>
      <c r="K93" s="2" t="s">
        <v>1419</v>
      </c>
      <c r="L93" s="2" t="s">
        <v>965</v>
      </c>
      <c r="M93" s="2" t="s">
        <v>966</v>
      </c>
      <c r="N93" s="2" t="s">
        <v>1420</v>
      </c>
    </row>
    <row r="94" spans="1:14" ht="27" x14ac:dyDescent="0.25">
      <c r="A94" s="2" t="s">
        <v>352</v>
      </c>
      <c r="B94" s="2" t="s">
        <v>954</v>
      </c>
      <c r="C94" s="2">
        <v>2025</v>
      </c>
      <c r="D94" s="2" t="s">
        <v>769</v>
      </c>
      <c r="E94" s="2" t="s">
        <v>1513</v>
      </c>
      <c r="F94" s="2" t="s">
        <v>353</v>
      </c>
      <c r="G94" s="2" t="s">
        <v>963</v>
      </c>
      <c r="H94" s="2" t="s">
        <v>963</v>
      </c>
      <c r="I94" s="2" t="s">
        <v>1368</v>
      </c>
      <c r="J94" s="2" t="s">
        <v>1418</v>
      </c>
      <c r="K94" s="2" t="s">
        <v>1419</v>
      </c>
      <c r="L94" s="2" t="s">
        <v>965</v>
      </c>
      <c r="M94" s="2" t="s">
        <v>966</v>
      </c>
      <c r="N94" s="2" t="s">
        <v>1420</v>
      </c>
    </row>
    <row r="95" spans="1:14" ht="27" x14ac:dyDescent="0.25">
      <c r="A95" s="2" t="s">
        <v>354</v>
      </c>
      <c r="B95" s="2" t="s">
        <v>954</v>
      </c>
      <c r="C95" s="2">
        <v>2025</v>
      </c>
      <c r="D95" s="2" t="s">
        <v>770</v>
      </c>
      <c r="E95" s="2" t="s">
        <v>1514</v>
      </c>
      <c r="F95" s="2" t="s">
        <v>355</v>
      </c>
      <c r="G95" s="2" t="s">
        <v>963</v>
      </c>
      <c r="H95" s="2" t="s">
        <v>963</v>
      </c>
      <c r="I95" s="2" t="s">
        <v>1371</v>
      </c>
      <c r="J95" s="2" t="s">
        <v>1418</v>
      </c>
      <c r="K95" s="2" t="s">
        <v>1419</v>
      </c>
      <c r="L95" s="2" t="s">
        <v>965</v>
      </c>
      <c r="M95" s="2" t="s">
        <v>966</v>
      </c>
      <c r="N95" s="2" t="s">
        <v>1420</v>
      </c>
    </row>
    <row r="96" spans="1:14" ht="40.5" x14ac:dyDescent="0.25">
      <c r="A96" s="2" t="s">
        <v>356</v>
      </c>
      <c r="B96" s="2" t="s">
        <v>954</v>
      </c>
      <c r="C96" s="2">
        <v>2026</v>
      </c>
      <c r="D96" s="2" t="s">
        <v>771</v>
      </c>
      <c r="E96" s="2" t="s">
        <v>1515</v>
      </c>
      <c r="F96" s="2" t="s">
        <v>357</v>
      </c>
      <c r="G96" s="2" t="s">
        <v>963</v>
      </c>
      <c r="H96" s="2" t="s">
        <v>963</v>
      </c>
      <c r="I96" s="2" t="s">
        <v>1417</v>
      </c>
      <c r="J96" s="2" t="s">
        <v>1418</v>
      </c>
      <c r="K96" s="2" t="s">
        <v>1419</v>
      </c>
      <c r="L96" s="2" t="s">
        <v>965</v>
      </c>
      <c r="M96" s="2" t="s">
        <v>966</v>
      </c>
      <c r="N96" s="2" t="s">
        <v>1420</v>
      </c>
    </row>
  </sheetData>
  <mergeCells count="1">
    <mergeCell ref="A1:N1"/>
  </mergeCells>
  <dataValidations count="1">
    <dataValidation type="list" allowBlank="1" sqref="B3:B96" xr:uid="{00000000-0002-0000-0800-000000000000}">
      <formula1>"Yes,No"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J9"/>
  <sheetViews>
    <sheetView workbookViewId="0">
      <selection activeCell="A2" sqref="A2:XFD2"/>
    </sheetView>
  </sheetViews>
  <sheetFormatPr defaultRowHeight="15" x14ac:dyDescent="0.25"/>
  <cols>
    <col min="1" max="1" width="28" customWidth="1"/>
    <col min="2" max="2" width="42" customWidth="1"/>
    <col min="3" max="3" width="45" customWidth="1"/>
    <col min="4" max="4" width="28" customWidth="1"/>
    <col min="5" max="5" width="45" customWidth="1"/>
    <col min="6" max="6" width="38" customWidth="1"/>
    <col min="7" max="7" width="34" customWidth="1"/>
    <col min="8" max="8" width="58" customWidth="1"/>
    <col min="9" max="9" width="14" customWidth="1"/>
    <col min="10" max="10" width="50" customWidth="1"/>
  </cols>
  <sheetData>
    <row r="1" spans="1:10" ht="18.75" x14ac:dyDescent="0.3">
      <c r="A1" s="15" t="s">
        <v>772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25">
      <c r="A2" s="3" t="s">
        <v>773</v>
      </c>
      <c r="B2" s="3" t="s">
        <v>774</v>
      </c>
      <c r="C2" s="3" t="s">
        <v>775</v>
      </c>
      <c r="D2" s="3" t="s">
        <v>776</v>
      </c>
      <c r="E2" s="3" t="s">
        <v>777</v>
      </c>
      <c r="F2" s="3" t="s">
        <v>778</v>
      </c>
      <c r="G2" s="3" t="s">
        <v>779</v>
      </c>
      <c r="H2" s="3" t="s">
        <v>780</v>
      </c>
      <c r="I2" s="3" t="s">
        <v>781</v>
      </c>
      <c r="J2" s="3" t="s">
        <v>782</v>
      </c>
    </row>
    <row r="3" spans="1:10" ht="54" x14ac:dyDescent="0.25">
      <c r="A3" s="2" t="s">
        <v>1516</v>
      </c>
      <c r="B3" s="2" t="s">
        <v>1517</v>
      </c>
      <c r="C3" s="2" t="s">
        <v>1518</v>
      </c>
      <c r="D3" s="2" t="s">
        <v>1519</v>
      </c>
      <c r="E3" s="2" t="s">
        <v>1520</v>
      </c>
      <c r="F3" s="2" t="s">
        <v>1521</v>
      </c>
      <c r="G3" s="2" t="s">
        <v>1522</v>
      </c>
      <c r="H3" s="2" t="s">
        <v>1523</v>
      </c>
      <c r="I3" s="2" t="s">
        <v>1524</v>
      </c>
      <c r="J3" s="2" t="s">
        <v>1525</v>
      </c>
    </row>
    <row r="4" spans="1:10" ht="27" x14ac:dyDescent="0.25">
      <c r="A4" s="2" t="s">
        <v>1526</v>
      </c>
      <c r="B4" s="2" t="s">
        <v>1527</v>
      </c>
      <c r="C4" s="2" t="s">
        <v>1528</v>
      </c>
      <c r="D4" s="2" t="s">
        <v>952</v>
      </c>
      <c r="E4" s="2" t="s">
        <v>1520</v>
      </c>
      <c r="F4" s="2" t="s">
        <v>1529</v>
      </c>
      <c r="G4" s="2" t="s">
        <v>1530</v>
      </c>
      <c r="H4" s="2" t="s">
        <v>1531</v>
      </c>
      <c r="I4" s="2" t="s">
        <v>1532</v>
      </c>
      <c r="J4" s="2" t="s">
        <v>1533</v>
      </c>
    </row>
    <row r="5" spans="1:10" ht="27" x14ac:dyDescent="0.25">
      <c r="A5" s="2" t="s">
        <v>1534</v>
      </c>
      <c r="B5" s="2" t="s">
        <v>87</v>
      </c>
      <c r="C5" s="2" t="s">
        <v>1535</v>
      </c>
      <c r="D5" s="2" t="s">
        <v>952</v>
      </c>
      <c r="E5" s="2" t="s">
        <v>1520</v>
      </c>
      <c r="F5" s="2" t="s">
        <v>1536</v>
      </c>
      <c r="G5" s="2" t="s">
        <v>1537</v>
      </c>
      <c r="H5" s="2" t="s">
        <v>1538</v>
      </c>
      <c r="I5" s="2" t="s">
        <v>1532</v>
      </c>
      <c r="J5" s="2" t="s">
        <v>1539</v>
      </c>
    </row>
    <row r="6" spans="1:10" ht="54" x14ac:dyDescent="0.25">
      <c r="A6" s="2" t="s">
        <v>1540</v>
      </c>
      <c r="B6" s="2" t="s">
        <v>1541</v>
      </c>
      <c r="C6" s="2" t="s">
        <v>1542</v>
      </c>
      <c r="D6" s="2" t="s">
        <v>952</v>
      </c>
      <c r="E6" s="2" t="s">
        <v>1520</v>
      </c>
      <c r="F6" s="2" t="s">
        <v>1543</v>
      </c>
      <c r="G6" s="2" t="s">
        <v>1544</v>
      </c>
      <c r="H6" s="2" t="s">
        <v>1545</v>
      </c>
      <c r="I6" s="2" t="s">
        <v>1546</v>
      </c>
      <c r="J6" s="2" t="s">
        <v>1547</v>
      </c>
    </row>
    <row r="7" spans="1:10" ht="54" x14ac:dyDescent="0.25">
      <c r="A7" s="2" t="s">
        <v>1548</v>
      </c>
      <c r="B7" s="2" t="s">
        <v>1549</v>
      </c>
      <c r="C7" s="2" t="s">
        <v>1542</v>
      </c>
      <c r="D7" s="2" t="s">
        <v>952</v>
      </c>
      <c r="E7" s="2" t="s">
        <v>1520</v>
      </c>
      <c r="F7" s="2" t="s">
        <v>1550</v>
      </c>
      <c r="G7" s="2" t="s">
        <v>1551</v>
      </c>
      <c r="H7" s="2" t="s">
        <v>1552</v>
      </c>
      <c r="I7" s="2" t="s">
        <v>1546</v>
      </c>
      <c r="J7" s="2" t="s">
        <v>1553</v>
      </c>
    </row>
    <row r="8" spans="1:10" ht="54" x14ac:dyDescent="0.25">
      <c r="A8" s="2" t="s">
        <v>1554</v>
      </c>
      <c r="B8" s="2" t="s">
        <v>1555</v>
      </c>
      <c r="C8" s="2" t="s">
        <v>1556</v>
      </c>
      <c r="D8" s="2" t="s">
        <v>1557</v>
      </c>
      <c r="E8" s="2" t="s">
        <v>1520</v>
      </c>
      <c r="F8" s="2" t="s">
        <v>1558</v>
      </c>
      <c r="G8" s="2" t="s">
        <v>1559</v>
      </c>
      <c r="H8" s="2" t="s">
        <v>1560</v>
      </c>
      <c r="I8" s="2" t="s">
        <v>1561</v>
      </c>
      <c r="J8" s="2" t="s">
        <v>1562</v>
      </c>
    </row>
    <row r="9" spans="1:10" ht="67.5" x14ac:dyDescent="0.25">
      <c r="A9" s="2" t="s">
        <v>1563</v>
      </c>
      <c r="B9" s="2" t="s">
        <v>1564</v>
      </c>
      <c r="C9" s="2" t="s">
        <v>1565</v>
      </c>
      <c r="D9" s="2" t="s">
        <v>1566</v>
      </c>
      <c r="E9" s="2" t="s">
        <v>1567</v>
      </c>
      <c r="F9" s="2" t="s">
        <v>1568</v>
      </c>
      <c r="G9" s="2" t="s">
        <v>1569</v>
      </c>
      <c r="H9" s="2" t="s">
        <v>1570</v>
      </c>
      <c r="I9" s="2" t="s">
        <v>1571</v>
      </c>
      <c r="J9" s="2" t="s">
        <v>1572</v>
      </c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499984740745262"/>
  </sheetPr>
  <dimension ref="A1:G12"/>
  <sheetViews>
    <sheetView workbookViewId="0">
      <selection activeCell="A2" sqref="A2:XFD2"/>
    </sheetView>
  </sheetViews>
  <sheetFormatPr defaultRowHeight="15" x14ac:dyDescent="0.25"/>
  <cols>
    <col min="1" max="1" width="10" customWidth="1"/>
    <col min="2" max="2" width="36" customWidth="1"/>
    <col min="3" max="3" width="66" customWidth="1"/>
    <col min="4" max="5" width="58" customWidth="1"/>
    <col min="6" max="6" width="56" customWidth="1"/>
    <col min="7" max="7" width="58" customWidth="1"/>
  </cols>
  <sheetData>
    <row r="1" spans="1:7" ht="18.75" x14ac:dyDescent="0.3">
      <c r="A1" s="15" t="s">
        <v>783</v>
      </c>
      <c r="B1" s="16"/>
      <c r="C1" s="16"/>
      <c r="D1" s="16"/>
      <c r="E1" s="16"/>
      <c r="F1" s="16"/>
      <c r="G1" s="16"/>
    </row>
    <row r="2" spans="1:7" x14ac:dyDescent="0.25">
      <c r="A2" s="3" t="s">
        <v>784</v>
      </c>
      <c r="B2" s="3" t="s">
        <v>785</v>
      </c>
      <c r="C2" s="3" t="s">
        <v>786</v>
      </c>
      <c r="D2" s="3" t="s">
        <v>787</v>
      </c>
      <c r="E2" s="3" t="s">
        <v>788</v>
      </c>
      <c r="F2" s="3" t="s">
        <v>789</v>
      </c>
      <c r="G2" s="3" t="s">
        <v>790</v>
      </c>
    </row>
    <row r="3" spans="1:7" ht="27" x14ac:dyDescent="0.25">
      <c r="A3" s="2" t="s">
        <v>791</v>
      </c>
      <c r="B3" s="2" t="s">
        <v>792</v>
      </c>
      <c r="C3" s="2" t="s">
        <v>793</v>
      </c>
      <c r="D3" s="2" t="s">
        <v>794</v>
      </c>
      <c r="E3" s="2" t="s">
        <v>795</v>
      </c>
      <c r="F3" s="2" t="s">
        <v>796</v>
      </c>
      <c r="G3" s="2" t="s">
        <v>797</v>
      </c>
    </row>
    <row r="4" spans="1:7" ht="27" x14ac:dyDescent="0.25">
      <c r="A4" s="2" t="s">
        <v>798</v>
      </c>
      <c r="B4" s="2" t="s">
        <v>799</v>
      </c>
      <c r="C4" s="2" t="s">
        <v>800</v>
      </c>
      <c r="D4" s="2" t="s">
        <v>801</v>
      </c>
      <c r="E4" s="2" t="s">
        <v>802</v>
      </c>
      <c r="F4" s="2" t="s">
        <v>803</v>
      </c>
      <c r="G4" s="2"/>
    </row>
    <row r="5" spans="1:7" ht="27" x14ac:dyDescent="0.25">
      <c r="A5" s="2" t="s">
        <v>804</v>
      </c>
      <c r="B5" s="2" t="s">
        <v>805</v>
      </c>
      <c r="C5" s="2" t="s">
        <v>806</v>
      </c>
      <c r="D5" s="2" t="s">
        <v>807</v>
      </c>
      <c r="E5" s="2" t="s">
        <v>808</v>
      </c>
      <c r="F5" s="2" t="s">
        <v>809</v>
      </c>
      <c r="G5" s="2"/>
    </row>
    <row r="6" spans="1:7" ht="27" x14ac:dyDescent="0.25">
      <c r="A6" s="2" t="s">
        <v>810</v>
      </c>
      <c r="B6" s="2" t="s">
        <v>811</v>
      </c>
      <c r="C6" s="2" t="s">
        <v>812</v>
      </c>
      <c r="D6" s="2" t="s">
        <v>813</v>
      </c>
      <c r="E6" s="2" t="s">
        <v>814</v>
      </c>
      <c r="F6" s="2" t="s">
        <v>815</v>
      </c>
      <c r="G6" s="2"/>
    </row>
    <row r="7" spans="1:7" ht="27" x14ac:dyDescent="0.25">
      <c r="A7" s="2" t="s">
        <v>816</v>
      </c>
      <c r="B7" s="2" t="s">
        <v>817</v>
      </c>
      <c r="C7" s="2" t="s">
        <v>818</v>
      </c>
      <c r="D7" s="2" t="s">
        <v>819</v>
      </c>
      <c r="E7" s="2" t="s">
        <v>820</v>
      </c>
      <c r="F7" s="2" t="s">
        <v>821</v>
      </c>
      <c r="G7" s="2"/>
    </row>
    <row r="8" spans="1:7" ht="27" x14ac:dyDescent="0.25">
      <c r="A8" s="2" t="s">
        <v>822</v>
      </c>
      <c r="B8" s="2" t="s">
        <v>823</v>
      </c>
      <c r="C8" s="2" t="s">
        <v>824</v>
      </c>
      <c r="D8" s="2" t="s">
        <v>825</v>
      </c>
      <c r="E8" s="2" t="s">
        <v>826</v>
      </c>
      <c r="F8" s="2" t="s">
        <v>827</v>
      </c>
      <c r="G8" s="2"/>
    </row>
    <row r="9" spans="1:7" ht="27" x14ac:dyDescent="0.25">
      <c r="A9" s="2" t="s">
        <v>828</v>
      </c>
      <c r="B9" s="2" t="s">
        <v>829</v>
      </c>
      <c r="C9" s="2" t="s">
        <v>830</v>
      </c>
      <c r="D9" s="2" t="s">
        <v>831</v>
      </c>
      <c r="E9" s="2" t="s">
        <v>832</v>
      </c>
      <c r="F9" s="2" t="s">
        <v>833</v>
      </c>
      <c r="G9" s="2"/>
    </row>
    <row r="10" spans="1:7" ht="27" x14ac:dyDescent="0.25">
      <c r="A10" s="2" t="s">
        <v>834</v>
      </c>
      <c r="B10" s="2" t="s">
        <v>835</v>
      </c>
      <c r="C10" s="2" t="s">
        <v>836</v>
      </c>
      <c r="D10" s="2" t="s">
        <v>837</v>
      </c>
      <c r="E10" s="2" t="s">
        <v>838</v>
      </c>
      <c r="F10" s="2" t="s">
        <v>839</v>
      </c>
      <c r="G10" s="2"/>
    </row>
    <row r="11" spans="1:7" ht="27" x14ac:dyDescent="0.25">
      <c r="A11" s="2" t="s">
        <v>840</v>
      </c>
      <c r="B11" s="2" t="s">
        <v>841</v>
      </c>
      <c r="C11" s="2" t="s">
        <v>842</v>
      </c>
      <c r="D11" s="2" t="s">
        <v>843</v>
      </c>
      <c r="E11" s="2" t="s">
        <v>844</v>
      </c>
      <c r="F11" s="2" t="s">
        <v>845</v>
      </c>
      <c r="G11" s="2"/>
    </row>
    <row r="12" spans="1:7" ht="27" x14ac:dyDescent="0.25">
      <c r="A12" s="2" t="s">
        <v>846</v>
      </c>
      <c r="B12" s="2" t="s">
        <v>847</v>
      </c>
      <c r="C12" s="2" t="s">
        <v>848</v>
      </c>
      <c r="D12" s="2" t="s">
        <v>849</v>
      </c>
      <c r="E12" s="2" t="s">
        <v>850</v>
      </c>
      <c r="F12" s="2" t="s">
        <v>851</v>
      </c>
      <c r="G12" s="2"/>
    </row>
  </sheetData>
  <mergeCells count="1"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39997558519241921"/>
  </sheetPr>
  <dimension ref="A1:L303"/>
  <sheetViews>
    <sheetView workbookViewId="0">
      <selection sqref="A1:L1"/>
    </sheetView>
  </sheetViews>
  <sheetFormatPr defaultRowHeight="15" x14ac:dyDescent="0.25"/>
  <cols>
    <col min="1" max="2" width="11" customWidth="1"/>
    <col min="3" max="3" width="80" customWidth="1"/>
    <col min="4" max="4" width="48" customWidth="1"/>
    <col min="5" max="5" width="38" customWidth="1"/>
    <col min="6" max="6" width="24" customWidth="1"/>
    <col min="7" max="7" width="28" customWidth="1"/>
    <col min="8" max="8" width="36" customWidth="1"/>
    <col min="9" max="9" width="26" customWidth="1"/>
    <col min="10" max="10" width="44" customWidth="1"/>
    <col min="11" max="11" width="38" customWidth="1"/>
    <col min="12" max="12" width="48" customWidth="1"/>
  </cols>
  <sheetData>
    <row r="1" spans="1:12" ht="18.75" x14ac:dyDescent="0.3">
      <c r="A1" s="15" t="s">
        <v>852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25">
      <c r="A2" s="23" t="s">
        <v>1573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s="3" t="s">
        <v>853</v>
      </c>
      <c r="B3" s="3" t="s">
        <v>65</v>
      </c>
      <c r="C3" s="3" t="s">
        <v>854</v>
      </c>
      <c r="D3" s="3" t="s">
        <v>855</v>
      </c>
      <c r="E3" s="3" t="s">
        <v>856</v>
      </c>
      <c r="F3" s="3" t="s">
        <v>857</v>
      </c>
      <c r="G3" s="3" t="s">
        <v>858</v>
      </c>
      <c r="H3" s="3" t="s">
        <v>859</v>
      </c>
      <c r="I3" s="3" t="s">
        <v>860</v>
      </c>
      <c r="J3" s="3" t="s">
        <v>861</v>
      </c>
      <c r="K3" s="3" t="s">
        <v>862</v>
      </c>
      <c r="L3" s="3" t="s">
        <v>863</v>
      </c>
    </row>
    <row r="4" spans="1:12" ht="45" x14ac:dyDescent="0.25">
      <c r="A4" s="14">
        <v>1</v>
      </c>
      <c r="B4" s="14" t="s">
        <v>99</v>
      </c>
      <c r="C4" s="14" t="s">
        <v>1574</v>
      </c>
      <c r="D4" s="14" t="s">
        <v>1575</v>
      </c>
      <c r="E4" s="14" t="s">
        <v>1576</v>
      </c>
      <c r="F4" s="14" t="s">
        <v>816</v>
      </c>
      <c r="G4" s="14" t="s">
        <v>1577</v>
      </c>
      <c r="H4" s="14" t="s">
        <v>1578</v>
      </c>
      <c r="I4" s="14" t="s">
        <v>540</v>
      </c>
      <c r="J4" s="14" t="s">
        <v>1579</v>
      </c>
      <c r="K4" s="14" t="s">
        <v>1580</v>
      </c>
      <c r="L4" s="14" t="s">
        <v>1581</v>
      </c>
    </row>
    <row r="5" spans="1:12" ht="105" x14ac:dyDescent="0.25">
      <c r="A5" s="14">
        <v>2</v>
      </c>
      <c r="B5" s="14" t="s">
        <v>102</v>
      </c>
      <c r="C5" s="14" t="s">
        <v>1582</v>
      </c>
      <c r="D5" s="14" t="s">
        <v>1583</v>
      </c>
      <c r="E5" s="14" t="s">
        <v>1576</v>
      </c>
      <c r="F5" s="14" t="s">
        <v>1584</v>
      </c>
      <c r="G5" s="14" t="s">
        <v>1577</v>
      </c>
      <c r="H5" s="14" t="s">
        <v>1585</v>
      </c>
      <c r="I5" s="14" t="s">
        <v>540</v>
      </c>
      <c r="J5" s="14" t="s">
        <v>1586</v>
      </c>
      <c r="K5" s="14" t="s">
        <v>1580</v>
      </c>
      <c r="L5" s="14" t="s">
        <v>1581</v>
      </c>
    </row>
    <row r="6" spans="1:12" ht="105" x14ac:dyDescent="0.25">
      <c r="A6" s="14">
        <v>3</v>
      </c>
      <c r="B6" s="14" t="s">
        <v>105</v>
      </c>
      <c r="C6" s="14" t="s">
        <v>1587</v>
      </c>
      <c r="D6" s="14" t="s">
        <v>1588</v>
      </c>
      <c r="E6" s="14" t="s">
        <v>1576</v>
      </c>
      <c r="F6" s="14" t="s">
        <v>1589</v>
      </c>
      <c r="G6" s="14" t="s">
        <v>1577</v>
      </c>
      <c r="H6" s="14" t="s">
        <v>1590</v>
      </c>
      <c r="I6" s="14" t="s">
        <v>540</v>
      </c>
      <c r="J6" s="14" t="s">
        <v>1591</v>
      </c>
      <c r="K6" s="14" t="s">
        <v>1580</v>
      </c>
      <c r="L6" s="14" t="s">
        <v>1581</v>
      </c>
    </row>
    <row r="7" spans="1:12" ht="45" x14ac:dyDescent="0.25">
      <c r="A7" s="14">
        <v>4</v>
      </c>
      <c r="B7" s="14" t="s">
        <v>108</v>
      </c>
      <c r="C7" s="14" t="s">
        <v>1592</v>
      </c>
      <c r="D7" s="14" t="s">
        <v>1593</v>
      </c>
      <c r="E7" s="14" t="s">
        <v>1576</v>
      </c>
      <c r="F7" s="14" t="s">
        <v>962</v>
      </c>
      <c r="G7" s="14" t="s">
        <v>1577</v>
      </c>
      <c r="H7" s="14" t="s">
        <v>1594</v>
      </c>
      <c r="I7" s="14" t="s">
        <v>540</v>
      </c>
      <c r="J7" s="14" t="s">
        <v>1595</v>
      </c>
      <c r="K7" s="14" t="s">
        <v>1596</v>
      </c>
      <c r="L7" s="14" t="s">
        <v>1597</v>
      </c>
    </row>
    <row r="8" spans="1:12" ht="105" x14ac:dyDescent="0.25">
      <c r="A8" s="14">
        <v>5</v>
      </c>
      <c r="B8" s="14" t="s">
        <v>111</v>
      </c>
      <c r="C8" s="14" t="s">
        <v>1598</v>
      </c>
      <c r="D8" s="14" t="s">
        <v>1599</v>
      </c>
      <c r="E8" s="14" t="s">
        <v>1576</v>
      </c>
      <c r="F8" s="14" t="s">
        <v>1600</v>
      </c>
      <c r="G8" s="14" t="s">
        <v>1577</v>
      </c>
      <c r="H8" s="14" t="s">
        <v>1601</v>
      </c>
      <c r="I8" s="14" t="s">
        <v>540</v>
      </c>
      <c r="J8" s="14" t="s">
        <v>1602</v>
      </c>
      <c r="K8" s="14" t="s">
        <v>1603</v>
      </c>
      <c r="L8" s="14" t="s">
        <v>1581</v>
      </c>
    </row>
    <row r="9" spans="1:12" ht="60" x14ac:dyDescent="0.25">
      <c r="A9" s="14">
        <v>6</v>
      </c>
      <c r="B9" s="14" t="s">
        <v>114</v>
      </c>
      <c r="C9" s="14" t="s">
        <v>1604</v>
      </c>
      <c r="D9" s="14" t="s">
        <v>1605</v>
      </c>
      <c r="E9" s="14" t="s">
        <v>1576</v>
      </c>
      <c r="F9" s="14" t="s">
        <v>1606</v>
      </c>
      <c r="G9" s="14" t="s">
        <v>1577</v>
      </c>
      <c r="H9" s="14" t="s">
        <v>1607</v>
      </c>
      <c r="I9" s="14" t="s">
        <v>540</v>
      </c>
      <c r="J9" s="14" t="s">
        <v>1579</v>
      </c>
      <c r="K9" s="14" t="s">
        <v>1580</v>
      </c>
      <c r="L9" s="14" t="s">
        <v>1581</v>
      </c>
    </row>
    <row r="10" spans="1:12" ht="105" x14ac:dyDescent="0.25">
      <c r="A10" s="14">
        <v>7</v>
      </c>
      <c r="B10" s="14" t="s">
        <v>117</v>
      </c>
      <c r="C10" s="14" t="s">
        <v>1608</v>
      </c>
      <c r="D10" s="14" t="s">
        <v>1609</v>
      </c>
      <c r="E10" s="14" t="s">
        <v>1576</v>
      </c>
      <c r="F10" s="14" t="s">
        <v>1610</v>
      </c>
      <c r="G10" s="14" t="s">
        <v>1577</v>
      </c>
      <c r="H10" s="14" t="s">
        <v>1611</v>
      </c>
      <c r="I10" s="14" t="s">
        <v>540</v>
      </c>
      <c r="J10" s="14" t="s">
        <v>1612</v>
      </c>
      <c r="K10" s="14" t="s">
        <v>1596</v>
      </c>
      <c r="L10" s="14" t="s">
        <v>1581</v>
      </c>
    </row>
    <row r="11" spans="1:12" ht="60" x14ac:dyDescent="0.25">
      <c r="A11" s="14">
        <v>8</v>
      </c>
      <c r="B11" s="14" t="s">
        <v>120</v>
      </c>
      <c r="C11" s="14" t="s">
        <v>1613</v>
      </c>
      <c r="D11" s="14" t="s">
        <v>1614</v>
      </c>
      <c r="E11" s="14" t="s">
        <v>1576</v>
      </c>
      <c r="F11" s="14" t="s">
        <v>962</v>
      </c>
      <c r="G11" s="14" t="s">
        <v>1577</v>
      </c>
      <c r="H11" s="14" t="s">
        <v>1594</v>
      </c>
      <c r="I11" s="14" t="s">
        <v>540</v>
      </c>
      <c r="J11" s="14" t="s">
        <v>1595</v>
      </c>
      <c r="K11" s="14" t="s">
        <v>1596</v>
      </c>
      <c r="L11" s="14" t="s">
        <v>1597</v>
      </c>
    </row>
    <row r="12" spans="1:12" ht="45" x14ac:dyDescent="0.25">
      <c r="A12" s="14">
        <v>9</v>
      </c>
      <c r="B12" s="14" t="s">
        <v>123</v>
      </c>
      <c r="C12" s="14" t="s">
        <v>1615</v>
      </c>
      <c r="D12" s="14" t="s">
        <v>1616</v>
      </c>
      <c r="E12" s="14" t="s">
        <v>1576</v>
      </c>
      <c r="F12" s="14" t="s">
        <v>962</v>
      </c>
      <c r="G12" s="14" t="s">
        <v>1577</v>
      </c>
      <c r="H12" s="14" t="s">
        <v>1594</v>
      </c>
      <c r="I12" s="14" t="s">
        <v>540</v>
      </c>
      <c r="J12" s="14" t="s">
        <v>1595</v>
      </c>
      <c r="K12" s="14" t="s">
        <v>1580</v>
      </c>
      <c r="L12" s="14" t="s">
        <v>1597</v>
      </c>
    </row>
    <row r="13" spans="1:12" ht="75" x14ac:dyDescent="0.25">
      <c r="A13" s="14">
        <v>10</v>
      </c>
      <c r="B13" s="14" t="s">
        <v>126</v>
      </c>
      <c r="C13" s="14" t="s">
        <v>1617</v>
      </c>
      <c r="D13" s="14" t="s">
        <v>1618</v>
      </c>
      <c r="E13" s="14" t="s">
        <v>1576</v>
      </c>
      <c r="F13" s="14" t="s">
        <v>791</v>
      </c>
      <c r="G13" s="14" t="s">
        <v>1577</v>
      </c>
      <c r="H13" s="14" t="s">
        <v>1619</v>
      </c>
      <c r="I13" s="14" t="s">
        <v>540</v>
      </c>
      <c r="J13" s="14" t="s">
        <v>1620</v>
      </c>
      <c r="K13" s="14" t="s">
        <v>1580</v>
      </c>
      <c r="L13" s="14" t="s">
        <v>1581</v>
      </c>
    </row>
    <row r="14" spans="1:12" ht="60" x14ac:dyDescent="0.25">
      <c r="A14" s="14">
        <v>11</v>
      </c>
      <c r="B14" s="14" t="s">
        <v>129</v>
      </c>
      <c r="C14" s="14" t="s">
        <v>1621</v>
      </c>
      <c r="D14" s="14" t="s">
        <v>1622</v>
      </c>
      <c r="E14" s="14" t="s">
        <v>1576</v>
      </c>
      <c r="F14" s="14" t="s">
        <v>816</v>
      </c>
      <c r="G14" s="14" t="s">
        <v>1577</v>
      </c>
      <c r="H14" s="14" t="s">
        <v>1578</v>
      </c>
      <c r="I14" s="14" t="s">
        <v>540</v>
      </c>
      <c r="J14" s="14" t="s">
        <v>1595</v>
      </c>
      <c r="K14" s="14" t="s">
        <v>1596</v>
      </c>
      <c r="L14" s="14" t="s">
        <v>1581</v>
      </c>
    </row>
    <row r="15" spans="1:12" ht="45" x14ac:dyDescent="0.25">
      <c r="A15" s="14">
        <v>12</v>
      </c>
      <c r="B15" s="14" t="s">
        <v>131</v>
      </c>
      <c r="C15" s="14" t="s">
        <v>1623</v>
      </c>
      <c r="D15" s="14" t="s">
        <v>1624</v>
      </c>
      <c r="E15" s="14" t="s">
        <v>1576</v>
      </c>
      <c r="F15" s="14" t="s">
        <v>962</v>
      </c>
      <c r="G15" s="14" t="s">
        <v>1577</v>
      </c>
      <c r="H15" s="14" t="s">
        <v>1594</v>
      </c>
      <c r="I15" s="14" t="s">
        <v>540</v>
      </c>
      <c r="J15" s="14" t="s">
        <v>1620</v>
      </c>
      <c r="K15" s="14" t="s">
        <v>1580</v>
      </c>
      <c r="L15" s="14" t="s">
        <v>1597</v>
      </c>
    </row>
    <row r="16" spans="1:12" ht="60" x14ac:dyDescent="0.25">
      <c r="A16" s="14">
        <v>13</v>
      </c>
      <c r="B16" s="14" t="s">
        <v>134</v>
      </c>
      <c r="C16" s="14" t="s">
        <v>1625</v>
      </c>
      <c r="D16" s="14" t="s">
        <v>1626</v>
      </c>
      <c r="E16" s="14" t="s">
        <v>1576</v>
      </c>
      <c r="F16" s="14" t="s">
        <v>1627</v>
      </c>
      <c r="G16" s="14" t="s">
        <v>1577</v>
      </c>
      <c r="H16" s="14" t="s">
        <v>1628</v>
      </c>
      <c r="I16" s="14" t="s">
        <v>540</v>
      </c>
      <c r="J16" s="14" t="s">
        <v>1629</v>
      </c>
      <c r="K16" s="14" t="s">
        <v>1630</v>
      </c>
      <c r="L16" s="14" t="s">
        <v>1581</v>
      </c>
    </row>
    <row r="17" spans="1:12" ht="45" x14ac:dyDescent="0.25">
      <c r="A17" s="14">
        <v>14</v>
      </c>
      <c r="B17" s="14" t="s">
        <v>137</v>
      </c>
      <c r="C17" s="14" t="s">
        <v>1631</v>
      </c>
      <c r="D17" s="14" t="s">
        <v>1632</v>
      </c>
      <c r="E17" s="14" t="s">
        <v>1576</v>
      </c>
      <c r="F17" s="14" t="s">
        <v>55</v>
      </c>
      <c r="G17" s="14" t="s">
        <v>55</v>
      </c>
      <c r="H17" s="14" t="s">
        <v>55</v>
      </c>
      <c r="I17" s="14" t="s">
        <v>55</v>
      </c>
      <c r="J17" s="14" t="s">
        <v>1046</v>
      </c>
      <c r="K17" s="14" t="s">
        <v>1633</v>
      </c>
      <c r="L17" s="14" t="s">
        <v>1634</v>
      </c>
    </row>
    <row r="18" spans="1:12" ht="60" x14ac:dyDescent="0.25">
      <c r="A18" s="14">
        <v>15</v>
      </c>
      <c r="B18" s="14" t="s">
        <v>141</v>
      </c>
      <c r="C18" s="14" t="s">
        <v>1635</v>
      </c>
      <c r="D18" s="14" t="s">
        <v>1636</v>
      </c>
      <c r="E18" s="14" t="s">
        <v>1576</v>
      </c>
      <c r="F18" s="14" t="s">
        <v>50</v>
      </c>
      <c r="G18" s="14" t="s">
        <v>50</v>
      </c>
      <c r="H18" s="14" t="s">
        <v>50</v>
      </c>
      <c r="I18" s="14" t="s">
        <v>50</v>
      </c>
      <c r="J18" s="14" t="s">
        <v>1637</v>
      </c>
      <c r="K18" s="14" t="s">
        <v>1638</v>
      </c>
      <c r="L18" s="14" t="s">
        <v>1639</v>
      </c>
    </row>
    <row r="19" spans="1:12" ht="60" x14ac:dyDescent="0.25">
      <c r="A19" s="14">
        <v>16</v>
      </c>
      <c r="B19" s="14" t="s">
        <v>143</v>
      </c>
      <c r="C19" s="14" t="s">
        <v>1640</v>
      </c>
      <c r="D19" s="14" t="s">
        <v>1641</v>
      </c>
      <c r="E19" s="14" t="s">
        <v>1576</v>
      </c>
      <c r="F19" s="14" t="s">
        <v>822</v>
      </c>
      <c r="G19" s="14" t="s">
        <v>1577</v>
      </c>
      <c r="H19" s="14" t="s">
        <v>1642</v>
      </c>
      <c r="I19" s="14" t="s">
        <v>540</v>
      </c>
      <c r="J19" s="14" t="s">
        <v>1643</v>
      </c>
      <c r="K19" s="14" t="s">
        <v>1580</v>
      </c>
      <c r="L19" s="14" t="s">
        <v>1581</v>
      </c>
    </row>
    <row r="20" spans="1:12" ht="45" x14ac:dyDescent="0.25">
      <c r="A20" s="14">
        <v>17</v>
      </c>
      <c r="B20" s="14" t="s">
        <v>145</v>
      </c>
      <c r="C20" s="14" t="s">
        <v>1644</v>
      </c>
      <c r="D20" s="14" t="s">
        <v>1645</v>
      </c>
      <c r="E20" s="14" t="s">
        <v>1576</v>
      </c>
      <c r="F20" s="14" t="s">
        <v>962</v>
      </c>
      <c r="G20" s="14" t="s">
        <v>1577</v>
      </c>
      <c r="H20" s="14" t="s">
        <v>1594</v>
      </c>
      <c r="I20" s="14" t="s">
        <v>540</v>
      </c>
      <c r="J20" s="14" t="s">
        <v>1620</v>
      </c>
      <c r="K20" s="14" t="s">
        <v>1603</v>
      </c>
      <c r="L20" s="14" t="s">
        <v>1597</v>
      </c>
    </row>
    <row r="21" spans="1:12" ht="60" x14ac:dyDescent="0.25">
      <c r="A21" s="14">
        <v>18</v>
      </c>
      <c r="B21" s="14" t="s">
        <v>147</v>
      </c>
      <c r="C21" s="14" t="s">
        <v>1646</v>
      </c>
      <c r="D21" s="14" t="s">
        <v>1647</v>
      </c>
      <c r="E21" s="14" t="s">
        <v>1576</v>
      </c>
      <c r="F21" s="14" t="s">
        <v>962</v>
      </c>
      <c r="G21" s="14" t="s">
        <v>1577</v>
      </c>
      <c r="H21" s="14" t="s">
        <v>1594</v>
      </c>
      <c r="I21" s="14" t="s">
        <v>540</v>
      </c>
      <c r="J21" s="14" t="s">
        <v>1586</v>
      </c>
      <c r="K21" s="14" t="s">
        <v>1580</v>
      </c>
      <c r="L21" s="14" t="s">
        <v>1597</v>
      </c>
    </row>
    <row r="22" spans="1:12" ht="90" x14ac:dyDescent="0.25">
      <c r="A22" s="14">
        <v>19</v>
      </c>
      <c r="B22" s="14" t="s">
        <v>149</v>
      </c>
      <c r="C22" s="14" t="s">
        <v>1648</v>
      </c>
      <c r="D22" s="14" t="s">
        <v>1649</v>
      </c>
      <c r="E22" s="14" t="s">
        <v>1576</v>
      </c>
      <c r="F22" s="14" t="s">
        <v>1650</v>
      </c>
      <c r="G22" s="14" t="s">
        <v>1577</v>
      </c>
      <c r="H22" s="14" t="s">
        <v>1651</v>
      </c>
      <c r="I22" s="14" t="s">
        <v>540</v>
      </c>
      <c r="J22" s="14" t="s">
        <v>1620</v>
      </c>
      <c r="K22" s="14" t="s">
        <v>1580</v>
      </c>
      <c r="L22" s="14" t="s">
        <v>1581</v>
      </c>
    </row>
    <row r="23" spans="1:12" ht="60" x14ac:dyDescent="0.25">
      <c r="A23" s="14">
        <v>20</v>
      </c>
      <c r="B23" s="14" t="s">
        <v>151</v>
      </c>
      <c r="C23" s="14" t="s">
        <v>1652</v>
      </c>
      <c r="D23" s="14" t="s">
        <v>1653</v>
      </c>
      <c r="E23" s="14" t="s">
        <v>1576</v>
      </c>
      <c r="F23" s="14" t="s">
        <v>962</v>
      </c>
      <c r="G23" s="14" t="s">
        <v>1577</v>
      </c>
      <c r="H23" s="14" t="s">
        <v>1594</v>
      </c>
      <c r="I23" s="14" t="s">
        <v>540</v>
      </c>
      <c r="J23" s="14" t="s">
        <v>1595</v>
      </c>
      <c r="K23" s="14" t="s">
        <v>1596</v>
      </c>
      <c r="L23" s="14" t="s">
        <v>1597</v>
      </c>
    </row>
    <row r="24" spans="1:12" ht="75" x14ac:dyDescent="0.25">
      <c r="A24" s="14">
        <v>21</v>
      </c>
      <c r="B24" s="14" t="s">
        <v>153</v>
      </c>
      <c r="C24" s="14" t="s">
        <v>1654</v>
      </c>
      <c r="D24" s="14" t="s">
        <v>1655</v>
      </c>
      <c r="E24" s="14" t="s">
        <v>1576</v>
      </c>
      <c r="F24" s="14" t="s">
        <v>840</v>
      </c>
      <c r="G24" s="14" t="s">
        <v>1577</v>
      </c>
      <c r="H24" s="14" t="s">
        <v>1656</v>
      </c>
      <c r="I24" s="14" t="s">
        <v>540</v>
      </c>
      <c r="J24" s="14" t="s">
        <v>1595</v>
      </c>
      <c r="K24" s="14" t="s">
        <v>1603</v>
      </c>
      <c r="L24" s="14" t="s">
        <v>1581</v>
      </c>
    </row>
    <row r="25" spans="1:12" ht="90" x14ac:dyDescent="0.25">
      <c r="A25" s="14">
        <v>22</v>
      </c>
      <c r="B25" s="14" t="s">
        <v>155</v>
      </c>
      <c r="C25" s="14" t="s">
        <v>1657</v>
      </c>
      <c r="D25" s="14" t="s">
        <v>1658</v>
      </c>
      <c r="E25" s="14" t="s">
        <v>1576</v>
      </c>
      <c r="F25" s="14" t="s">
        <v>962</v>
      </c>
      <c r="G25" s="14" t="s">
        <v>1577</v>
      </c>
      <c r="H25" s="14" t="s">
        <v>1594</v>
      </c>
      <c r="I25" s="14" t="s">
        <v>540</v>
      </c>
      <c r="J25" s="14" t="s">
        <v>1659</v>
      </c>
      <c r="K25" s="14" t="s">
        <v>1580</v>
      </c>
      <c r="L25" s="14" t="s">
        <v>1597</v>
      </c>
    </row>
    <row r="26" spans="1:12" ht="90" x14ac:dyDescent="0.25">
      <c r="A26" s="14">
        <v>23</v>
      </c>
      <c r="B26" s="14" t="s">
        <v>157</v>
      </c>
      <c r="C26" s="14" t="s">
        <v>1660</v>
      </c>
      <c r="D26" s="14" t="s">
        <v>1661</v>
      </c>
      <c r="E26" s="14" t="s">
        <v>1576</v>
      </c>
      <c r="F26" s="14" t="s">
        <v>1662</v>
      </c>
      <c r="G26" s="14" t="s">
        <v>1577</v>
      </c>
      <c r="H26" s="14" t="s">
        <v>1663</v>
      </c>
      <c r="I26" s="14" t="s">
        <v>540</v>
      </c>
      <c r="J26" s="14" t="s">
        <v>1620</v>
      </c>
      <c r="K26" s="14" t="s">
        <v>1580</v>
      </c>
      <c r="L26" s="14" t="s">
        <v>1581</v>
      </c>
    </row>
    <row r="27" spans="1:12" ht="60" x14ac:dyDescent="0.25">
      <c r="A27" s="14">
        <v>24</v>
      </c>
      <c r="B27" s="14" t="s">
        <v>160</v>
      </c>
      <c r="C27" s="14" t="s">
        <v>1664</v>
      </c>
      <c r="D27" s="14" t="s">
        <v>1665</v>
      </c>
      <c r="E27" s="14" t="s">
        <v>1576</v>
      </c>
      <c r="F27" s="14" t="s">
        <v>816</v>
      </c>
      <c r="G27" s="14" t="s">
        <v>1577</v>
      </c>
      <c r="H27" s="14" t="s">
        <v>1578</v>
      </c>
      <c r="I27" s="14" t="s">
        <v>540</v>
      </c>
      <c r="J27" s="14" t="s">
        <v>1579</v>
      </c>
      <c r="K27" s="14" t="s">
        <v>1580</v>
      </c>
      <c r="L27" s="14" t="s">
        <v>1581</v>
      </c>
    </row>
    <row r="28" spans="1:12" ht="105" x14ac:dyDescent="0.25">
      <c r="A28" s="14">
        <v>25</v>
      </c>
      <c r="B28" s="14" t="s">
        <v>162</v>
      </c>
      <c r="C28" s="14" t="s">
        <v>1666</v>
      </c>
      <c r="D28" s="14" t="s">
        <v>1649</v>
      </c>
      <c r="E28" s="14" t="s">
        <v>1576</v>
      </c>
      <c r="F28" s="14" t="s">
        <v>1667</v>
      </c>
      <c r="G28" s="14" t="s">
        <v>1577</v>
      </c>
      <c r="H28" s="14" t="s">
        <v>1668</v>
      </c>
      <c r="I28" s="14" t="s">
        <v>540</v>
      </c>
      <c r="J28" s="14" t="s">
        <v>1669</v>
      </c>
      <c r="K28" s="14" t="s">
        <v>1596</v>
      </c>
      <c r="L28" s="14" t="s">
        <v>1581</v>
      </c>
    </row>
    <row r="29" spans="1:12" ht="90" x14ac:dyDescent="0.25">
      <c r="A29" s="14">
        <v>26</v>
      </c>
      <c r="B29" s="14" t="s">
        <v>164</v>
      </c>
      <c r="C29" s="14" t="s">
        <v>1670</v>
      </c>
      <c r="D29" s="14" t="s">
        <v>1671</v>
      </c>
      <c r="E29" s="14" t="s">
        <v>1576</v>
      </c>
      <c r="F29" s="14" t="s">
        <v>798</v>
      </c>
      <c r="G29" s="14" t="s">
        <v>1577</v>
      </c>
      <c r="H29" s="14" t="s">
        <v>1672</v>
      </c>
      <c r="I29" s="14" t="s">
        <v>541</v>
      </c>
      <c r="J29" s="14" t="s">
        <v>1620</v>
      </c>
      <c r="K29" s="14" t="s">
        <v>1673</v>
      </c>
      <c r="L29" s="14" t="s">
        <v>1581</v>
      </c>
    </row>
    <row r="30" spans="1:12" ht="90" x14ac:dyDescent="0.25">
      <c r="A30" s="14">
        <v>27</v>
      </c>
      <c r="B30" s="14" t="s">
        <v>167</v>
      </c>
      <c r="C30" s="14" t="s">
        <v>1674</v>
      </c>
      <c r="D30" s="14" t="s">
        <v>1655</v>
      </c>
      <c r="E30" s="14" t="s">
        <v>1576</v>
      </c>
      <c r="F30" s="14" t="s">
        <v>1675</v>
      </c>
      <c r="G30" s="14" t="s">
        <v>1577</v>
      </c>
      <c r="H30" s="14" t="s">
        <v>1676</v>
      </c>
      <c r="I30" s="14" t="s">
        <v>541</v>
      </c>
      <c r="J30" s="14" t="s">
        <v>1579</v>
      </c>
      <c r="K30" s="14" t="s">
        <v>1580</v>
      </c>
      <c r="L30" s="14" t="s">
        <v>1581</v>
      </c>
    </row>
    <row r="31" spans="1:12" ht="75" x14ac:dyDescent="0.25">
      <c r="A31" s="14">
        <v>28</v>
      </c>
      <c r="B31" s="14" t="s">
        <v>170</v>
      </c>
      <c r="C31" s="14" t="s">
        <v>1677</v>
      </c>
      <c r="D31" s="14" t="s">
        <v>1678</v>
      </c>
      <c r="E31" s="14" t="s">
        <v>1576</v>
      </c>
      <c r="F31" s="14" t="s">
        <v>962</v>
      </c>
      <c r="G31" s="14" t="s">
        <v>1577</v>
      </c>
      <c r="H31" s="14" t="s">
        <v>1594</v>
      </c>
      <c r="I31" s="14" t="s">
        <v>541</v>
      </c>
      <c r="J31" s="14" t="s">
        <v>1620</v>
      </c>
      <c r="K31" s="14" t="s">
        <v>1580</v>
      </c>
      <c r="L31" s="14" t="s">
        <v>1597</v>
      </c>
    </row>
    <row r="32" spans="1:12" ht="75" x14ac:dyDescent="0.25">
      <c r="A32" s="14">
        <v>29</v>
      </c>
      <c r="B32" s="14" t="s">
        <v>173</v>
      </c>
      <c r="C32" s="14" t="s">
        <v>1679</v>
      </c>
      <c r="D32" s="14" t="s">
        <v>1680</v>
      </c>
      <c r="E32" s="14" t="s">
        <v>1576</v>
      </c>
      <c r="F32" s="14" t="s">
        <v>804</v>
      </c>
      <c r="G32" s="14" t="s">
        <v>1577</v>
      </c>
      <c r="H32" s="14" t="s">
        <v>1681</v>
      </c>
      <c r="I32" s="14" t="s">
        <v>1122</v>
      </c>
      <c r="J32" s="14" t="s">
        <v>1682</v>
      </c>
      <c r="K32" s="14" t="s">
        <v>1673</v>
      </c>
      <c r="L32" s="14" t="s">
        <v>1581</v>
      </c>
    </row>
    <row r="33" spans="1:12" ht="90" x14ac:dyDescent="0.25">
      <c r="A33" s="14">
        <v>30</v>
      </c>
      <c r="B33" s="14" t="s">
        <v>176</v>
      </c>
      <c r="C33" s="14" t="s">
        <v>1683</v>
      </c>
      <c r="D33" s="14" t="s">
        <v>1684</v>
      </c>
      <c r="E33" s="14" t="s">
        <v>1576</v>
      </c>
      <c r="F33" s="14" t="s">
        <v>1685</v>
      </c>
      <c r="G33" s="14" t="s">
        <v>1577</v>
      </c>
      <c r="H33" s="14" t="s">
        <v>1686</v>
      </c>
      <c r="I33" s="14" t="s">
        <v>541</v>
      </c>
      <c r="J33" s="14" t="s">
        <v>1620</v>
      </c>
      <c r="K33" s="14" t="s">
        <v>1580</v>
      </c>
      <c r="L33" s="14" t="s">
        <v>1581</v>
      </c>
    </row>
    <row r="34" spans="1:12" ht="75" x14ac:dyDescent="0.25">
      <c r="A34" s="14">
        <v>31</v>
      </c>
      <c r="B34" s="14" t="s">
        <v>179</v>
      </c>
      <c r="C34" s="14" t="s">
        <v>1687</v>
      </c>
      <c r="D34" s="14" t="s">
        <v>1688</v>
      </c>
      <c r="E34" s="14" t="s">
        <v>1576</v>
      </c>
      <c r="F34" s="14" t="s">
        <v>50</v>
      </c>
      <c r="G34" s="14" t="s">
        <v>50</v>
      </c>
      <c r="H34" s="14" t="s">
        <v>50</v>
      </c>
      <c r="I34" s="14" t="s">
        <v>50</v>
      </c>
      <c r="J34" s="14" t="s">
        <v>1637</v>
      </c>
      <c r="K34" s="14" t="s">
        <v>1638</v>
      </c>
      <c r="L34" s="14" t="s">
        <v>1639</v>
      </c>
    </row>
    <row r="35" spans="1:12" ht="60" x14ac:dyDescent="0.25">
      <c r="A35" s="14">
        <v>32</v>
      </c>
      <c r="B35" s="14" t="s">
        <v>182</v>
      </c>
      <c r="C35" s="14" t="s">
        <v>1689</v>
      </c>
      <c r="D35" s="14" t="s">
        <v>1690</v>
      </c>
      <c r="E35" s="14" t="s">
        <v>1576</v>
      </c>
      <c r="F35" s="14" t="s">
        <v>962</v>
      </c>
      <c r="G35" s="14" t="s">
        <v>1577</v>
      </c>
      <c r="H35" s="14" t="s">
        <v>1594</v>
      </c>
      <c r="I35" s="14" t="s">
        <v>1137</v>
      </c>
      <c r="J35" s="14" t="s">
        <v>1620</v>
      </c>
      <c r="K35" s="14" t="s">
        <v>1580</v>
      </c>
      <c r="L35" s="14" t="s">
        <v>1597</v>
      </c>
    </row>
    <row r="36" spans="1:12" ht="60" x14ac:dyDescent="0.25">
      <c r="A36" s="14">
        <v>33</v>
      </c>
      <c r="B36" s="14" t="s">
        <v>185</v>
      </c>
      <c r="C36" s="14" t="s">
        <v>1691</v>
      </c>
      <c r="D36" s="14" t="s">
        <v>1692</v>
      </c>
      <c r="E36" s="14" t="s">
        <v>1576</v>
      </c>
      <c r="F36" s="14" t="s">
        <v>50</v>
      </c>
      <c r="G36" s="14" t="s">
        <v>50</v>
      </c>
      <c r="H36" s="14" t="s">
        <v>50</v>
      </c>
      <c r="I36" s="14" t="s">
        <v>50</v>
      </c>
      <c r="J36" s="14" t="s">
        <v>1637</v>
      </c>
      <c r="K36" s="14" t="s">
        <v>1638</v>
      </c>
      <c r="L36" s="14" t="s">
        <v>1639</v>
      </c>
    </row>
    <row r="37" spans="1:12" ht="75" x14ac:dyDescent="0.25">
      <c r="A37" s="14">
        <v>34</v>
      </c>
      <c r="B37" s="14" t="s">
        <v>188</v>
      </c>
      <c r="C37" s="14" t="s">
        <v>1693</v>
      </c>
      <c r="D37" s="14" t="s">
        <v>1694</v>
      </c>
      <c r="E37" s="14" t="s">
        <v>1576</v>
      </c>
      <c r="F37" s="14" t="s">
        <v>798</v>
      </c>
      <c r="G37" s="14" t="s">
        <v>1577</v>
      </c>
      <c r="H37" s="14" t="s">
        <v>1672</v>
      </c>
      <c r="I37" s="14" t="s">
        <v>541</v>
      </c>
      <c r="J37" s="14" t="s">
        <v>1591</v>
      </c>
      <c r="K37" s="14" t="s">
        <v>1580</v>
      </c>
      <c r="L37" s="14" t="s">
        <v>1581</v>
      </c>
    </row>
    <row r="38" spans="1:12" ht="75" x14ac:dyDescent="0.25">
      <c r="A38" s="14">
        <v>35</v>
      </c>
      <c r="B38" s="14" t="s">
        <v>191</v>
      </c>
      <c r="C38" s="14" t="s">
        <v>1695</v>
      </c>
      <c r="D38" s="14" t="s">
        <v>1696</v>
      </c>
      <c r="E38" s="14" t="s">
        <v>1576</v>
      </c>
      <c r="F38" s="14" t="s">
        <v>798</v>
      </c>
      <c r="G38" s="14" t="s">
        <v>1577</v>
      </c>
      <c r="H38" s="14" t="s">
        <v>1672</v>
      </c>
      <c r="I38" s="14" t="s">
        <v>541</v>
      </c>
      <c r="J38" s="14" t="s">
        <v>1620</v>
      </c>
      <c r="K38" s="14" t="s">
        <v>1580</v>
      </c>
      <c r="L38" s="14" t="s">
        <v>1581</v>
      </c>
    </row>
    <row r="39" spans="1:12" ht="90" x14ac:dyDescent="0.25">
      <c r="A39" s="14">
        <v>36</v>
      </c>
      <c r="B39" s="14" t="s">
        <v>194</v>
      </c>
      <c r="C39" s="14" t="s">
        <v>1697</v>
      </c>
      <c r="D39" s="14" t="s">
        <v>1698</v>
      </c>
      <c r="E39" s="14" t="s">
        <v>1576</v>
      </c>
      <c r="F39" s="14" t="s">
        <v>1600</v>
      </c>
      <c r="G39" s="14" t="s">
        <v>1577</v>
      </c>
      <c r="H39" s="14" t="s">
        <v>1601</v>
      </c>
      <c r="I39" s="14" t="s">
        <v>541</v>
      </c>
      <c r="J39" s="14" t="s">
        <v>1629</v>
      </c>
      <c r="K39" s="14" t="s">
        <v>1580</v>
      </c>
      <c r="L39" s="14" t="s">
        <v>1581</v>
      </c>
    </row>
    <row r="40" spans="1:12" ht="60" x14ac:dyDescent="0.25">
      <c r="A40" s="14">
        <v>37</v>
      </c>
      <c r="B40" s="14" t="s">
        <v>196</v>
      </c>
      <c r="C40" s="14" t="s">
        <v>1689</v>
      </c>
      <c r="D40" s="14" t="s">
        <v>1699</v>
      </c>
      <c r="E40" s="14" t="s">
        <v>1576</v>
      </c>
      <c r="F40" s="14" t="s">
        <v>962</v>
      </c>
      <c r="G40" s="14" t="s">
        <v>1577</v>
      </c>
      <c r="H40" s="14" t="s">
        <v>1594</v>
      </c>
      <c r="I40" s="14" t="s">
        <v>541</v>
      </c>
      <c r="J40" s="14" t="s">
        <v>1620</v>
      </c>
      <c r="K40" s="14" t="s">
        <v>1580</v>
      </c>
      <c r="L40" s="14" t="s">
        <v>1597</v>
      </c>
    </row>
    <row r="41" spans="1:12" ht="75" x14ac:dyDescent="0.25">
      <c r="A41" s="14">
        <v>38</v>
      </c>
      <c r="B41" s="14" t="s">
        <v>199</v>
      </c>
      <c r="C41" s="14" t="s">
        <v>1700</v>
      </c>
      <c r="D41" s="14" t="s">
        <v>1701</v>
      </c>
      <c r="E41" s="14" t="s">
        <v>1576</v>
      </c>
      <c r="F41" s="14" t="s">
        <v>798</v>
      </c>
      <c r="G41" s="14" t="s">
        <v>1577</v>
      </c>
      <c r="H41" s="14" t="s">
        <v>1672</v>
      </c>
      <c r="I41" s="14" t="s">
        <v>541</v>
      </c>
      <c r="J41" s="14" t="s">
        <v>1620</v>
      </c>
      <c r="K41" s="14" t="s">
        <v>1580</v>
      </c>
      <c r="L41" s="14" t="s">
        <v>1581</v>
      </c>
    </row>
    <row r="42" spans="1:12" ht="60" x14ac:dyDescent="0.25">
      <c r="A42" s="14">
        <v>39</v>
      </c>
      <c r="B42" s="14" t="s">
        <v>202</v>
      </c>
      <c r="C42" s="14" t="s">
        <v>1689</v>
      </c>
      <c r="D42" s="14" t="s">
        <v>1702</v>
      </c>
      <c r="E42" s="14" t="s">
        <v>1576</v>
      </c>
      <c r="F42" s="14" t="s">
        <v>962</v>
      </c>
      <c r="G42" s="14" t="s">
        <v>1577</v>
      </c>
      <c r="H42" s="14" t="s">
        <v>1594</v>
      </c>
      <c r="I42" s="14" t="s">
        <v>541</v>
      </c>
      <c r="J42" s="14" t="s">
        <v>1620</v>
      </c>
      <c r="K42" s="14" t="s">
        <v>1580</v>
      </c>
      <c r="L42" s="14" t="s">
        <v>1597</v>
      </c>
    </row>
    <row r="43" spans="1:12" ht="45" x14ac:dyDescent="0.25">
      <c r="A43" s="14">
        <v>40</v>
      </c>
      <c r="B43" s="14" t="s">
        <v>205</v>
      </c>
      <c r="C43" s="14" t="s">
        <v>1703</v>
      </c>
      <c r="D43" s="14" t="s">
        <v>1704</v>
      </c>
      <c r="E43" s="14" t="s">
        <v>1576</v>
      </c>
      <c r="F43" s="14" t="s">
        <v>50</v>
      </c>
      <c r="G43" s="14" t="s">
        <v>50</v>
      </c>
      <c r="H43" s="14" t="s">
        <v>50</v>
      </c>
      <c r="I43" s="14" t="s">
        <v>50</v>
      </c>
      <c r="J43" s="14" t="s">
        <v>1637</v>
      </c>
      <c r="K43" s="14" t="s">
        <v>1638</v>
      </c>
      <c r="L43" s="14" t="s">
        <v>1639</v>
      </c>
    </row>
    <row r="44" spans="1:12" ht="105" x14ac:dyDescent="0.25">
      <c r="A44" s="14">
        <v>41</v>
      </c>
      <c r="B44" s="14" t="s">
        <v>207</v>
      </c>
      <c r="C44" s="14" t="s">
        <v>1705</v>
      </c>
      <c r="D44" s="14" t="s">
        <v>1706</v>
      </c>
      <c r="E44" s="14" t="s">
        <v>1576</v>
      </c>
      <c r="F44" s="14" t="s">
        <v>1707</v>
      </c>
      <c r="G44" s="14" t="s">
        <v>1577</v>
      </c>
      <c r="H44" s="14" t="s">
        <v>1708</v>
      </c>
      <c r="I44" s="14" t="s">
        <v>541</v>
      </c>
      <c r="J44" s="14" t="s">
        <v>1709</v>
      </c>
      <c r="K44" s="14" t="s">
        <v>1580</v>
      </c>
      <c r="L44" s="14" t="s">
        <v>1581</v>
      </c>
    </row>
    <row r="45" spans="1:12" ht="75" x14ac:dyDescent="0.25">
      <c r="A45" s="14">
        <v>42</v>
      </c>
      <c r="B45" s="14" t="s">
        <v>210</v>
      </c>
      <c r="C45" s="14" t="s">
        <v>1710</v>
      </c>
      <c r="D45" s="14" t="s">
        <v>1711</v>
      </c>
      <c r="E45" s="14" t="s">
        <v>1576</v>
      </c>
      <c r="F45" s="14" t="s">
        <v>1712</v>
      </c>
      <c r="G45" s="14" t="s">
        <v>1577</v>
      </c>
      <c r="H45" s="14" t="s">
        <v>1713</v>
      </c>
      <c r="I45" s="14" t="s">
        <v>542</v>
      </c>
      <c r="J45" s="14" t="s">
        <v>1591</v>
      </c>
      <c r="K45" s="14" t="s">
        <v>1633</v>
      </c>
      <c r="L45" s="14" t="s">
        <v>1581</v>
      </c>
    </row>
    <row r="46" spans="1:12" ht="90" x14ac:dyDescent="0.25">
      <c r="A46" s="14">
        <v>43</v>
      </c>
      <c r="B46" s="14" t="s">
        <v>213</v>
      </c>
      <c r="C46" s="14" t="s">
        <v>1714</v>
      </c>
      <c r="D46" s="14" t="s">
        <v>1715</v>
      </c>
      <c r="E46" s="14" t="s">
        <v>1576</v>
      </c>
      <c r="F46" s="14" t="s">
        <v>1716</v>
      </c>
      <c r="G46" s="14" t="s">
        <v>1577</v>
      </c>
      <c r="H46" s="14" t="s">
        <v>1717</v>
      </c>
      <c r="I46" s="14" t="s">
        <v>542</v>
      </c>
      <c r="J46" s="14" t="s">
        <v>1591</v>
      </c>
      <c r="K46" s="14" t="s">
        <v>1633</v>
      </c>
      <c r="L46" s="14" t="s">
        <v>1581</v>
      </c>
    </row>
    <row r="47" spans="1:12" ht="90" x14ac:dyDescent="0.25">
      <c r="A47" s="14">
        <v>44</v>
      </c>
      <c r="B47" s="14" t="s">
        <v>216</v>
      </c>
      <c r="C47" s="14" t="s">
        <v>1718</v>
      </c>
      <c r="D47" s="14" t="s">
        <v>1719</v>
      </c>
      <c r="E47" s="14" t="s">
        <v>1576</v>
      </c>
      <c r="F47" s="14" t="s">
        <v>1720</v>
      </c>
      <c r="G47" s="14" t="s">
        <v>1577</v>
      </c>
      <c r="H47" s="14" t="s">
        <v>1721</v>
      </c>
      <c r="I47" s="14" t="s">
        <v>542</v>
      </c>
      <c r="J47" s="14" t="s">
        <v>1579</v>
      </c>
      <c r="K47" s="14" t="s">
        <v>1630</v>
      </c>
      <c r="L47" s="14" t="s">
        <v>1581</v>
      </c>
    </row>
    <row r="48" spans="1:12" ht="75" x14ac:dyDescent="0.25">
      <c r="A48" s="14">
        <v>45</v>
      </c>
      <c r="B48" s="14" t="s">
        <v>219</v>
      </c>
      <c r="C48" s="14" t="s">
        <v>1722</v>
      </c>
      <c r="D48" s="14" t="s">
        <v>1696</v>
      </c>
      <c r="E48" s="14" t="s">
        <v>1576</v>
      </c>
      <c r="F48" s="14" t="s">
        <v>804</v>
      </c>
      <c r="G48" s="14" t="s">
        <v>1577</v>
      </c>
      <c r="H48" s="14" t="s">
        <v>1681</v>
      </c>
      <c r="I48" s="14" t="s">
        <v>542</v>
      </c>
      <c r="J48" s="14" t="s">
        <v>1682</v>
      </c>
      <c r="K48" s="14" t="s">
        <v>1723</v>
      </c>
      <c r="L48" s="14" t="s">
        <v>1581</v>
      </c>
    </row>
    <row r="49" spans="1:12" ht="75" x14ac:dyDescent="0.25">
      <c r="A49" s="14">
        <v>46</v>
      </c>
      <c r="B49" s="14" t="s">
        <v>222</v>
      </c>
      <c r="C49" s="14" t="s">
        <v>1724</v>
      </c>
      <c r="D49" s="14" t="s">
        <v>1725</v>
      </c>
      <c r="E49" s="14" t="s">
        <v>1576</v>
      </c>
      <c r="F49" s="14" t="s">
        <v>1627</v>
      </c>
      <c r="G49" s="14" t="s">
        <v>1577</v>
      </c>
      <c r="H49" s="14" t="s">
        <v>1628</v>
      </c>
      <c r="I49" s="14" t="s">
        <v>1203</v>
      </c>
      <c r="J49" s="14" t="s">
        <v>1726</v>
      </c>
      <c r="K49" s="14" t="s">
        <v>1673</v>
      </c>
      <c r="L49" s="14" t="s">
        <v>1581</v>
      </c>
    </row>
    <row r="50" spans="1:12" ht="90" x14ac:dyDescent="0.25">
      <c r="A50" s="14">
        <v>47</v>
      </c>
      <c r="B50" s="14" t="s">
        <v>225</v>
      </c>
      <c r="C50" s="14" t="s">
        <v>1727</v>
      </c>
      <c r="D50" s="14" t="s">
        <v>1728</v>
      </c>
      <c r="E50" s="14" t="s">
        <v>1576</v>
      </c>
      <c r="F50" s="14" t="s">
        <v>1729</v>
      </c>
      <c r="G50" s="14" t="s">
        <v>1577</v>
      </c>
      <c r="H50" s="14" t="s">
        <v>1730</v>
      </c>
      <c r="I50" s="14" t="s">
        <v>542</v>
      </c>
      <c r="J50" s="14" t="s">
        <v>1612</v>
      </c>
      <c r="K50" s="14" t="s">
        <v>1731</v>
      </c>
      <c r="L50" s="14" t="s">
        <v>1581</v>
      </c>
    </row>
    <row r="51" spans="1:12" ht="90" x14ac:dyDescent="0.25">
      <c r="A51" s="14">
        <v>48</v>
      </c>
      <c r="B51" s="14" t="s">
        <v>228</v>
      </c>
      <c r="C51" s="14" t="s">
        <v>1732</v>
      </c>
      <c r="D51" s="14" t="s">
        <v>1733</v>
      </c>
      <c r="E51" s="14" t="s">
        <v>1576</v>
      </c>
      <c r="F51" s="14" t="s">
        <v>1650</v>
      </c>
      <c r="G51" s="14" t="s">
        <v>1577</v>
      </c>
      <c r="H51" s="14" t="s">
        <v>1651</v>
      </c>
      <c r="I51" s="14" t="s">
        <v>542</v>
      </c>
      <c r="J51" s="14" t="s">
        <v>1620</v>
      </c>
      <c r="K51" s="14" t="s">
        <v>1580</v>
      </c>
      <c r="L51" s="14" t="s">
        <v>1581</v>
      </c>
    </row>
    <row r="52" spans="1:12" ht="75" x14ac:dyDescent="0.25">
      <c r="A52" s="14">
        <v>49</v>
      </c>
      <c r="B52" s="14" t="s">
        <v>231</v>
      </c>
      <c r="C52" s="14" t="s">
        <v>1734</v>
      </c>
      <c r="D52" s="14" t="s">
        <v>1735</v>
      </c>
      <c r="E52" s="14" t="s">
        <v>1576</v>
      </c>
      <c r="F52" s="14" t="s">
        <v>1736</v>
      </c>
      <c r="G52" s="14" t="s">
        <v>1577</v>
      </c>
      <c r="H52" s="14" t="s">
        <v>1737</v>
      </c>
      <c r="I52" s="14" t="s">
        <v>542</v>
      </c>
      <c r="J52" s="14" t="s">
        <v>1738</v>
      </c>
      <c r="K52" s="14" t="s">
        <v>1633</v>
      </c>
      <c r="L52" s="14" t="s">
        <v>1581</v>
      </c>
    </row>
    <row r="53" spans="1:12" ht="60" x14ac:dyDescent="0.25">
      <c r="A53" s="14">
        <v>50</v>
      </c>
      <c r="B53" s="14" t="s">
        <v>234</v>
      </c>
      <c r="C53" s="14" t="s">
        <v>1739</v>
      </c>
      <c r="D53" s="14" t="s">
        <v>1740</v>
      </c>
      <c r="E53" s="14" t="s">
        <v>1576</v>
      </c>
      <c r="F53" s="14" t="s">
        <v>1736</v>
      </c>
      <c r="G53" s="14" t="s">
        <v>1577</v>
      </c>
      <c r="H53" s="14" t="s">
        <v>1737</v>
      </c>
      <c r="I53" s="14" t="s">
        <v>542</v>
      </c>
      <c r="J53" s="14" t="s">
        <v>1682</v>
      </c>
      <c r="K53" s="14" t="s">
        <v>1603</v>
      </c>
      <c r="L53" s="14" t="s">
        <v>1581</v>
      </c>
    </row>
    <row r="54" spans="1:12" ht="75" x14ac:dyDescent="0.25">
      <c r="A54" s="14">
        <v>51</v>
      </c>
      <c r="B54" s="14" t="s">
        <v>236</v>
      </c>
      <c r="C54" s="14" t="s">
        <v>1741</v>
      </c>
      <c r="D54" s="14" t="s">
        <v>1742</v>
      </c>
      <c r="E54" s="14" t="s">
        <v>1576</v>
      </c>
      <c r="F54" s="14" t="s">
        <v>804</v>
      </c>
      <c r="G54" s="14" t="s">
        <v>1577</v>
      </c>
      <c r="H54" s="14" t="s">
        <v>1681</v>
      </c>
      <c r="I54" s="14" t="s">
        <v>542</v>
      </c>
      <c r="J54" s="14" t="s">
        <v>1743</v>
      </c>
      <c r="K54" s="14" t="s">
        <v>1603</v>
      </c>
      <c r="L54" s="14" t="s">
        <v>1581</v>
      </c>
    </row>
    <row r="55" spans="1:12" ht="75" x14ac:dyDescent="0.25">
      <c r="A55" s="14">
        <v>52</v>
      </c>
      <c r="B55" s="14" t="s">
        <v>239</v>
      </c>
      <c r="C55" s="14" t="s">
        <v>1744</v>
      </c>
      <c r="D55" s="14" t="s">
        <v>1745</v>
      </c>
      <c r="E55" s="14" t="s">
        <v>1576</v>
      </c>
      <c r="F55" s="14" t="s">
        <v>1736</v>
      </c>
      <c r="G55" s="14" t="s">
        <v>1577</v>
      </c>
      <c r="H55" s="14" t="s">
        <v>1737</v>
      </c>
      <c r="I55" s="14" t="s">
        <v>542</v>
      </c>
      <c r="J55" s="14" t="s">
        <v>1746</v>
      </c>
      <c r="K55" s="14" t="s">
        <v>1633</v>
      </c>
      <c r="L55" s="14" t="s">
        <v>1581</v>
      </c>
    </row>
    <row r="56" spans="1:12" ht="75" x14ac:dyDescent="0.25">
      <c r="A56" s="14">
        <v>53</v>
      </c>
      <c r="B56" s="14" t="s">
        <v>242</v>
      </c>
      <c r="C56" s="14" t="s">
        <v>1747</v>
      </c>
      <c r="D56" s="14" t="s">
        <v>1748</v>
      </c>
      <c r="E56" s="14" t="s">
        <v>1576</v>
      </c>
      <c r="F56" s="14" t="s">
        <v>1716</v>
      </c>
      <c r="G56" s="14" t="s">
        <v>1577</v>
      </c>
      <c r="H56" s="14" t="s">
        <v>1717</v>
      </c>
      <c r="I56" s="14" t="s">
        <v>542</v>
      </c>
      <c r="J56" s="14" t="s">
        <v>1682</v>
      </c>
      <c r="K56" s="14" t="s">
        <v>1603</v>
      </c>
      <c r="L56" s="14" t="s">
        <v>1581</v>
      </c>
    </row>
    <row r="57" spans="1:12" ht="90" x14ac:dyDescent="0.25">
      <c r="A57" s="14">
        <v>54</v>
      </c>
      <c r="B57" s="14" t="s">
        <v>244</v>
      </c>
      <c r="C57" s="14" t="s">
        <v>1749</v>
      </c>
      <c r="D57" s="14" t="s">
        <v>1750</v>
      </c>
      <c r="E57" s="14" t="s">
        <v>1576</v>
      </c>
      <c r="F57" s="14" t="s">
        <v>1751</v>
      </c>
      <c r="G57" s="14" t="s">
        <v>1577</v>
      </c>
      <c r="H57" s="14" t="s">
        <v>1752</v>
      </c>
      <c r="I57" s="14" t="s">
        <v>542</v>
      </c>
      <c r="J57" s="14" t="s">
        <v>1620</v>
      </c>
      <c r="K57" s="14" t="s">
        <v>1580</v>
      </c>
      <c r="L57" s="14" t="s">
        <v>1581</v>
      </c>
    </row>
    <row r="58" spans="1:12" ht="75" x14ac:dyDescent="0.25">
      <c r="A58" s="14">
        <v>55</v>
      </c>
      <c r="B58" s="14" t="s">
        <v>246</v>
      </c>
      <c r="C58" s="14" t="s">
        <v>1753</v>
      </c>
      <c r="D58" s="14" t="s">
        <v>1754</v>
      </c>
      <c r="E58" s="14" t="s">
        <v>1576</v>
      </c>
      <c r="F58" s="14" t="s">
        <v>816</v>
      </c>
      <c r="G58" s="14" t="s">
        <v>1577</v>
      </c>
      <c r="H58" s="14" t="s">
        <v>1578</v>
      </c>
      <c r="I58" s="14" t="s">
        <v>542</v>
      </c>
      <c r="J58" s="14" t="s">
        <v>1591</v>
      </c>
      <c r="K58" s="14" t="s">
        <v>1580</v>
      </c>
      <c r="L58" s="14" t="s">
        <v>1581</v>
      </c>
    </row>
    <row r="59" spans="1:12" ht="90" x14ac:dyDescent="0.25">
      <c r="A59" s="14">
        <v>56</v>
      </c>
      <c r="B59" s="14" t="s">
        <v>249</v>
      </c>
      <c r="C59" s="14" t="s">
        <v>1755</v>
      </c>
      <c r="D59" s="14" t="s">
        <v>1756</v>
      </c>
      <c r="E59" s="14" t="s">
        <v>1576</v>
      </c>
      <c r="F59" s="14" t="s">
        <v>962</v>
      </c>
      <c r="G59" s="14" t="s">
        <v>1577</v>
      </c>
      <c r="H59" s="14" t="s">
        <v>1594</v>
      </c>
      <c r="I59" s="14" t="s">
        <v>1203</v>
      </c>
      <c r="J59" s="14" t="s">
        <v>1659</v>
      </c>
      <c r="K59" s="14" t="s">
        <v>1580</v>
      </c>
      <c r="L59" s="14" t="s">
        <v>1597</v>
      </c>
    </row>
    <row r="60" spans="1:12" ht="90" x14ac:dyDescent="0.25">
      <c r="A60" s="14">
        <v>57</v>
      </c>
      <c r="B60" s="14" t="s">
        <v>252</v>
      </c>
      <c r="C60" s="14" t="s">
        <v>1757</v>
      </c>
      <c r="D60" s="14" t="s">
        <v>1758</v>
      </c>
      <c r="E60" s="14" t="s">
        <v>1576</v>
      </c>
      <c r="F60" s="14" t="s">
        <v>1759</v>
      </c>
      <c r="G60" s="14" t="s">
        <v>1577</v>
      </c>
      <c r="H60" s="14" t="s">
        <v>1760</v>
      </c>
      <c r="I60" s="14" t="s">
        <v>542</v>
      </c>
      <c r="J60" s="14" t="s">
        <v>1659</v>
      </c>
      <c r="K60" s="14" t="s">
        <v>1633</v>
      </c>
      <c r="L60" s="14" t="s">
        <v>1581</v>
      </c>
    </row>
    <row r="61" spans="1:12" ht="90" x14ac:dyDescent="0.25">
      <c r="A61" s="14">
        <v>58</v>
      </c>
      <c r="B61" s="14" t="s">
        <v>255</v>
      </c>
      <c r="C61" s="14" t="s">
        <v>1761</v>
      </c>
      <c r="D61" s="14" t="s">
        <v>1762</v>
      </c>
      <c r="E61" s="14" t="s">
        <v>1576</v>
      </c>
      <c r="F61" s="14" t="s">
        <v>1716</v>
      </c>
      <c r="G61" s="14" t="s">
        <v>1577</v>
      </c>
      <c r="H61" s="14" t="s">
        <v>1717</v>
      </c>
      <c r="I61" s="14" t="s">
        <v>542</v>
      </c>
      <c r="J61" s="14" t="s">
        <v>1591</v>
      </c>
      <c r="K61" s="14" t="s">
        <v>1731</v>
      </c>
      <c r="L61" s="14" t="s">
        <v>1581</v>
      </c>
    </row>
    <row r="62" spans="1:12" ht="90" x14ac:dyDescent="0.25">
      <c r="A62" s="14">
        <v>59</v>
      </c>
      <c r="B62" s="14" t="s">
        <v>258</v>
      </c>
      <c r="C62" s="14" t="s">
        <v>1763</v>
      </c>
      <c r="D62" s="14" t="s">
        <v>1764</v>
      </c>
      <c r="E62" s="14" t="s">
        <v>1576</v>
      </c>
      <c r="F62" s="14" t="s">
        <v>1736</v>
      </c>
      <c r="G62" s="14" t="s">
        <v>1577</v>
      </c>
      <c r="H62" s="14" t="s">
        <v>1737</v>
      </c>
      <c r="I62" s="14" t="s">
        <v>542</v>
      </c>
      <c r="J62" s="14" t="s">
        <v>1765</v>
      </c>
      <c r="K62" s="14" t="s">
        <v>1580</v>
      </c>
      <c r="L62" s="14" t="s">
        <v>1581</v>
      </c>
    </row>
    <row r="63" spans="1:12" ht="60" x14ac:dyDescent="0.25">
      <c r="A63" s="14">
        <v>60</v>
      </c>
      <c r="B63" s="14" t="s">
        <v>261</v>
      </c>
      <c r="C63" s="14" t="s">
        <v>1766</v>
      </c>
      <c r="D63" s="14" t="s">
        <v>1767</v>
      </c>
      <c r="E63" s="14" t="s">
        <v>1576</v>
      </c>
      <c r="F63" s="14" t="s">
        <v>816</v>
      </c>
      <c r="G63" s="14" t="s">
        <v>1577</v>
      </c>
      <c r="H63" s="14" t="s">
        <v>1578</v>
      </c>
      <c r="I63" s="14" t="s">
        <v>542</v>
      </c>
      <c r="J63" s="14" t="s">
        <v>1579</v>
      </c>
      <c r="K63" s="14" t="s">
        <v>1633</v>
      </c>
      <c r="L63" s="14" t="s">
        <v>1581</v>
      </c>
    </row>
    <row r="64" spans="1:12" ht="90" x14ac:dyDescent="0.25">
      <c r="A64" s="14">
        <v>61</v>
      </c>
      <c r="B64" s="14" t="s">
        <v>264</v>
      </c>
      <c r="C64" s="14" t="s">
        <v>1768</v>
      </c>
      <c r="D64" s="14" t="s">
        <v>1769</v>
      </c>
      <c r="E64" s="14" t="s">
        <v>1576</v>
      </c>
      <c r="F64" s="14" t="s">
        <v>804</v>
      </c>
      <c r="G64" s="14" t="s">
        <v>1577</v>
      </c>
      <c r="H64" s="14" t="s">
        <v>1681</v>
      </c>
      <c r="I64" s="14" t="s">
        <v>542</v>
      </c>
      <c r="J64" s="14" t="s">
        <v>1620</v>
      </c>
      <c r="K64" s="14" t="s">
        <v>1633</v>
      </c>
      <c r="L64" s="14" t="s">
        <v>1581</v>
      </c>
    </row>
    <row r="65" spans="1:12" ht="90" x14ac:dyDescent="0.25">
      <c r="A65" s="14">
        <v>62</v>
      </c>
      <c r="B65" s="14" t="s">
        <v>266</v>
      </c>
      <c r="C65" s="14" t="s">
        <v>1770</v>
      </c>
      <c r="D65" s="14" t="s">
        <v>1771</v>
      </c>
      <c r="E65" s="14" t="s">
        <v>1576</v>
      </c>
      <c r="F65" s="14" t="s">
        <v>1662</v>
      </c>
      <c r="G65" s="14" t="s">
        <v>1577</v>
      </c>
      <c r="H65" s="14" t="s">
        <v>1663</v>
      </c>
      <c r="I65" s="14" t="s">
        <v>542</v>
      </c>
      <c r="J65" s="14" t="s">
        <v>1620</v>
      </c>
      <c r="K65" s="14" t="s">
        <v>1731</v>
      </c>
      <c r="L65" s="14" t="s">
        <v>1581</v>
      </c>
    </row>
    <row r="66" spans="1:12" ht="75" x14ac:dyDescent="0.25">
      <c r="A66" s="14">
        <v>63</v>
      </c>
      <c r="B66" s="14" t="s">
        <v>269</v>
      </c>
      <c r="C66" s="14" t="s">
        <v>1772</v>
      </c>
      <c r="D66" s="14" t="s">
        <v>1773</v>
      </c>
      <c r="E66" s="14" t="s">
        <v>1576</v>
      </c>
      <c r="F66" s="14" t="s">
        <v>1774</v>
      </c>
      <c r="G66" s="14" t="s">
        <v>1577</v>
      </c>
      <c r="H66" s="14" t="s">
        <v>1775</v>
      </c>
      <c r="I66" s="14" t="s">
        <v>1203</v>
      </c>
      <c r="J66" s="14" t="s">
        <v>1776</v>
      </c>
      <c r="K66" s="14" t="s">
        <v>1580</v>
      </c>
      <c r="L66" s="14" t="s">
        <v>1581</v>
      </c>
    </row>
    <row r="67" spans="1:12" ht="90" x14ac:dyDescent="0.25">
      <c r="A67" s="14">
        <v>64</v>
      </c>
      <c r="B67" s="14" t="s">
        <v>272</v>
      </c>
      <c r="C67" s="14" t="s">
        <v>1777</v>
      </c>
      <c r="D67" s="14" t="s">
        <v>1778</v>
      </c>
      <c r="E67" s="14" t="s">
        <v>1576</v>
      </c>
      <c r="F67" s="14" t="s">
        <v>50</v>
      </c>
      <c r="G67" s="14" t="s">
        <v>50</v>
      </c>
      <c r="H67" s="14" t="s">
        <v>50</v>
      </c>
      <c r="I67" s="14" t="s">
        <v>50</v>
      </c>
      <c r="J67" s="14" t="s">
        <v>1682</v>
      </c>
      <c r="K67" s="14" t="s">
        <v>1638</v>
      </c>
      <c r="L67" s="14" t="s">
        <v>1639</v>
      </c>
    </row>
    <row r="68" spans="1:12" ht="75" x14ac:dyDescent="0.25">
      <c r="A68" s="14">
        <v>65</v>
      </c>
      <c r="B68" s="14" t="s">
        <v>275</v>
      </c>
      <c r="C68" s="14" t="s">
        <v>1779</v>
      </c>
      <c r="D68" s="14" t="s">
        <v>1780</v>
      </c>
      <c r="E68" s="14" t="s">
        <v>1576</v>
      </c>
      <c r="F68" s="14" t="s">
        <v>1781</v>
      </c>
      <c r="G68" s="14" t="s">
        <v>1577</v>
      </c>
      <c r="H68" s="14" t="s">
        <v>1782</v>
      </c>
      <c r="I68" s="14" t="s">
        <v>543</v>
      </c>
      <c r="J68" s="14" t="s">
        <v>1591</v>
      </c>
      <c r="K68" s="14" t="s">
        <v>1580</v>
      </c>
      <c r="L68" s="14" t="s">
        <v>1581</v>
      </c>
    </row>
    <row r="69" spans="1:12" ht="75" x14ac:dyDescent="0.25">
      <c r="A69" s="14">
        <v>66</v>
      </c>
      <c r="B69" s="14" t="s">
        <v>278</v>
      </c>
      <c r="C69" s="14" t="s">
        <v>1783</v>
      </c>
      <c r="D69" s="14" t="s">
        <v>1784</v>
      </c>
      <c r="E69" s="14" t="s">
        <v>1576</v>
      </c>
      <c r="F69" s="14" t="s">
        <v>1785</v>
      </c>
      <c r="G69" s="14" t="s">
        <v>1577</v>
      </c>
      <c r="H69" s="14" t="s">
        <v>1786</v>
      </c>
      <c r="I69" s="14" t="s">
        <v>543</v>
      </c>
      <c r="J69" s="14" t="s">
        <v>1787</v>
      </c>
      <c r="K69" s="14" t="s">
        <v>1723</v>
      </c>
      <c r="L69" s="14" t="s">
        <v>1581</v>
      </c>
    </row>
    <row r="70" spans="1:12" ht="60" x14ac:dyDescent="0.25">
      <c r="A70" s="14">
        <v>67</v>
      </c>
      <c r="B70" s="14" t="s">
        <v>281</v>
      </c>
      <c r="C70" s="14" t="s">
        <v>1788</v>
      </c>
      <c r="D70" s="14" t="s">
        <v>1789</v>
      </c>
      <c r="E70" s="14" t="s">
        <v>1576</v>
      </c>
      <c r="F70" s="14" t="s">
        <v>810</v>
      </c>
      <c r="G70" s="14" t="s">
        <v>1577</v>
      </c>
      <c r="H70" s="14" t="s">
        <v>1790</v>
      </c>
      <c r="I70" s="14" t="s">
        <v>543</v>
      </c>
      <c r="J70" s="14" t="s">
        <v>1791</v>
      </c>
      <c r="K70" s="14" t="s">
        <v>1580</v>
      </c>
      <c r="L70" s="14" t="s">
        <v>1581</v>
      </c>
    </row>
    <row r="71" spans="1:12" ht="90" x14ac:dyDescent="0.25">
      <c r="A71" s="14">
        <v>68</v>
      </c>
      <c r="B71" s="14" t="s">
        <v>284</v>
      </c>
      <c r="C71" s="14" t="s">
        <v>1792</v>
      </c>
      <c r="D71" s="14" t="s">
        <v>1711</v>
      </c>
      <c r="E71" s="14" t="s">
        <v>1576</v>
      </c>
      <c r="F71" s="14" t="s">
        <v>1793</v>
      </c>
      <c r="G71" s="14" t="s">
        <v>1577</v>
      </c>
      <c r="H71" s="14" t="s">
        <v>1794</v>
      </c>
      <c r="I71" s="14" t="s">
        <v>543</v>
      </c>
      <c r="J71" s="14" t="s">
        <v>1659</v>
      </c>
      <c r="K71" s="14" t="s">
        <v>1731</v>
      </c>
      <c r="L71" s="14" t="s">
        <v>1581</v>
      </c>
    </row>
    <row r="72" spans="1:12" ht="75" x14ac:dyDescent="0.25">
      <c r="A72" s="14">
        <v>69</v>
      </c>
      <c r="B72" s="14" t="s">
        <v>287</v>
      </c>
      <c r="C72" s="14" t="s">
        <v>1795</v>
      </c>
      <c r="D72" s="14" t="s">
        <v>1796</v>
      </c>
      <c r="E72" s="14" t="s">
        <v>1576</v>
      </c>
      <c r="F72" s="14" t="s">
        <v>1797</v>
      </c>
      <c r="G72" s="14" t="s">
        <v>1577</v>
      </c>
      <c r="H72" s="14" t="s">
        <v>1798</v>
      </c>
      <c r="I72" s="14" t="s">
        <v>543</v>
      </c>
      <c r="J72" s="14" t="s">
        <v>1591</v>
      </c>
      <c r="K72" s="14" t="s">
        <v>1580</v>
      </c>
      <c r="L72" s="14" t="s">
        <v>1581</v>
      </c>
    </row>
    <row r="73" spans="1:12" ht="60" x14ac:dyDescent="0.25">
      <c r="A73" s="14">
        <v>70</v>
      </c>
      <c r="B73" s="14" t="s">
        <v>290</v>
      </c>
      <c r="C73" s="14" t="s">
        <v>1799</v>
      </c>
      <c r="D73" s="14" t="s">
        <v>1800</v>
      </c>
      <c r="E73" s="14" t="s">
        <v>1576</v>
      </c>
      <c r="F73" s="14" t="s">
        <v>816</v>
      </c>
      <c r="G73" s="14" t="s">
        <v>1577</v>
      </c>
      <c r="H73" s="14" t="s">
        <v>1578</v>
      </c>
      <c r="I73" s="14" t="s">
        <v>543</v>
      </c>
      <c r="J73" s="14" t="s">
        <v>1801</v>
      </c>
      <c r="K73" s="14" t="s">
        <v>1580</v>
      </c>
      <c r="L73" s="14" t="s">
        <v>1581</v>
      </c>
    </row>
    <row r="74" spans="1:12" ht="75" x14ac:dyDescent="0.25">
      <c r="A74" s="14">
        <v>71</v>
      </c>
      <c r="B74" s="14" t="s">
        <v>293</v>
      </c>
      <c r="C74" s="14" t="s">
        <v>1802</v>
      </c>
      <c r="D74" s="14" t="s">
        <v>1803</v>
      </c>
      <c r="E74" s="14" t="s">
        <v>1576</v>
      </c>
      <c r="F74" s="14" t="s">
        <v>1781</v>
      </c>
      <c r="G74" s="14" t="s">
        <v>1577</v>
      </c>
      <c r="H74" s="14" t="s">
        <v>1782</v>
      </c>
      <c r="I74" s="14" t="s">
        <v>543</v>
      </c>
      <c r="J74" s="14" t="s">
        <v>1804</v>
      </c>
      <c r="K74" s="14" t="s">
        <v>1580</v>
      </c>
      <c r="L74" s="14" t="s">
        <v>1581</v>
      </c>
    </row>
    <row r="75" spans="1:12" ht="60" x14ac:dyDescent="0.25">
      <c r="A75" s="14">
        <v>72</v>
      </c>
      <c r="B75" s="14" t="s">
        <v>296</v>
      </c>
      <c r="C75" s="14" t="s">
        <v>1805</v>
      </c>
      <c r="D75" s="14" t="s">
        <v>1806</v>
      </c>
      <c r="E75" s="14" t="s">
        <v>1576</v>
      </c>
      <c r="F75" s="14" t="s">
        <v>810</v>
      </c>
      <c r="G75" s="14" t="s">
        <v>1577</v>
      </c>
      <c r="H75" s="14" t="s">
        <v>1790</v>
      </c>
      <c r="I75" s="14" t="s">
        <v>543</v>
      </c>
      <c r="J75" s="14" t="s">
        <v>1659</v>
      </c>
      <c r="K75" s="14" t="s">
        <v>1580</v>
      </c>
      <c r="L75" s="14" t="s">
        <v>1581</v>
      </c>
    </row>
    <row r="76" spans="1:12" ht="90" x14ac:dyDescent="0.25">
      <c r="A76" s="14">
        <v>73</v>
      </c>
      <c r="B76" s="14" t="s">
        <v>299</v>
      </c>
      <c r="C76" s="14" t="s">
        <v>1807</v>
      </c>
      <c r="D76" s="14" t="s">
        <v>1808</v>
      </c>
      <c r="E76" s="14" t="s">
        <v>1576</v>
      </c>
      <c r="F76" s="14" t="s">
        <v>1809</v>
      </c>
      <c r="G76" s="14" t="s">
        <v>1577</v>
      </c>
      <c r="H76" s="14" t="s">
        <v>1810</v>
      </c>
      <c r="I76" s="14" t="s">
        <v>543</v>
      </c>
      <c r="J76" s="14" t="s">
        <v>1591</v>
      </c>
      <c r="K76" s="14" t="s">
        <v>1580</v>
      </c>
      <c r="L76" s="14" t="s">
        <v>1581</v>
      </c>
    </row>
    <row r="77" spans="1:12" ht="75" x14ac:dyDescent="0.25">
      <c r="A77" s="14">
        <v>74</v>
      </c>
      <c r="B77" s="14" t="s">
        <v>302</v>
      </c>
      <c r="C77" s="14" t="s">
        <v>1811</v>
      </c>
      <c r="D77" s="14" t="s">
        <v>1812</v>
      </c>
      <c r="E77" s="14" t="s">
        <v>1576</v>
      </c>
      <c r="F77" s="14" t="s">
        <v>791</v>
      </c>
      <c r="G77" s="14" t="s">
        <v>1577</v>
      </c>
      <c r="H77" s="14" t="s">
        <v>1619</v>
      </c>
      <c r="I77" s="14" t="s">
        <v>543</v>
      </c>
      <c r="J77" s="14" t="s">
        <v>1620</v>
      </c>
      <c r="K77" s="14" t="s">
        <v>1580</v>
      </c>
      <c r="L77" s="14" t="s">
        <v>1581</v>
      </c>
    </row>
    <row r="78" spans="1:12" ht="75" x14ac:dyDescent="0.25">
      <c r="A78" s="14">
        <v>75</v>
      </c>
      <c r="B78" s="14" t="s">
        <v>305</v>
      </c>
      <c r="C78" s="14" t="s">
        <v>1813</v>
      </c>
      <c r="D78" s="14" t="s">
        <v>1814</v>
      </c>
      <c r="E78" s="14" t="s">
        <v>1576</v>
      </c>
      <c r="F78" s="14" t="s">
        <v>1797</v>
      </c>
      <c r="G78" s="14" t="s">
        <v>1577</v>
      </c>
      <c r="H78" s="14" t="s">
        <v>1798</v>
      </c>
      <c r="I78" s="14" t="s">
        <v>543</v>
      </c>
      <c r="J78" s="14" t="s">
        <v>1801</v>
      </c>
      <c r="K78" s="14" t="s">
        <v>1580</v>
      </c>
      <c r="L78" s="14" t="s">
        <v>1581</v>
      </c>
    </row>
    <row r="79" spans="1:12" ht="60" x14ac:dyDescent="0.25">
      <c r="A79" s="14">
        <v>76</v>
      </c>
      <c r="B79" s="14" t="s">
        <v>308</v>
      </c>
      <c r="C79" s="14" t="s">
        <v>1815</v>
      </c>
      <c r="D79" s="14" t="s">
        <v>1816</v>
      </c>
      <c r="E79" s="14" t="s">
        <v>1576</v>
      </c>
      <c r="F79" s="14" t="s">
        <v>962</v>
      </c>
      <c r="G79" s="14" t="s">
        <v>1577</v>
      </c>
      <c r="H79" s="14" t="s">
        <v>1594</v>
      </c>
      <c r="I79" s="14" t="s">
        <v>543</v>
      </c>
      <c r="J79" s="14" t="s">
        <v>1620</v>
      </c>
      <c r="K79" s="14" t="s">
        <v>1580</v>
      </c>
      <c r="L79" s="14" t="s">
        <v>1597</v>
      </c>
    </row>
    <row r="80" spans="1:12" ht="75" x14ac:dyDescent="0.25">
      <c r="A80" s="14">
        <v>77</v>
      </c>
      <c r="B80" s="14" t="s">
        <v>311</v>
      </c>
      <c r="C80" s="14" t="s">
        <v>1817</v>
      </c>
      <c r="D80" s="14" t="s">
        <v>1818</v>
      </c>
      <c r="E80" s="14" t="s">
        <v>1576</v>
      </c>
      <c r="F80" s="14" t="s">
        <v>810</v>
      </c>
      <c r="G80" s="14" t="s">
        <v>1577</v>
      </c>
      <c r="H80" s="14" t="s">
        <v>1790</v>
      </c>
      <c r="I80" s="14" t="s">
        <v>543</v>
      </c>
      <c r="J80" s="14" t="s">
        <v>1591</v>
      </c>
      <c r="K80" s="14" t="s">
        <v>1580</v>
      </c>
      <c r="L80" s="14" t="s">
        <v>1581</v>
      </c>
    </row>
    <row r="81" spans="1:12" ht="75" x14ac:dyDescent="0.25">
      <c r="A81" s="14">
        <v>78</v>
      </c>
      <c r="B81" s="14" t="s">
        <v>314</v>
      </c>
      <c r="C81" s="14" t="s">
        <v>1819</v>
      </c>
      <c r="D81" s="14" t="s">
        <v>1820</v>
      </c>
      <c r="E81" s="14" t="s">
        <v>1576</v>
      </c>
      <c r="F81" s="14" t="s">
        <v>1736</v>
      </c>
      <c r="G81" s="14" t="s">
        <v>1577</v>
      </c>
      <c r="H81" s="14" t="s">
        <v>1737</v>
      </c>
      <c r="I81" s="14" t="s">
        <v>543</v>
      </c>
      <c r="J81" s="14" t="s">
        <v>1682</v>
      </c>
      <c r="K81" s="14" t="s">
        <v>1580</v>
      </c>
      <c r="L81" s="14" t="s">
        <v>1581</v>
      </c>
    </row>
    <row r="82" spans="1:12" ht="75" x14ac:dyDescent="0.25">
      <c r="A82" s="14">
        <v>79</v>
      </c>
      <c r="B82" s="14" t="s">
        <v>316</v>
      </c>
      <c r="C82" s="14" t="s">
        <v>1821</v>
      </c>
      <c r="D82" s="14" t="s">
        <v>1822</v>
      </c>
      <c r="E82" s="14" t="s">
        <v>1576</v>
      </c>
      <c r="F82" s="14" t="s">
        <v>1797</v>
      </c>
      <c r="G82" s="14" t="s">
        <v>1577</v>
      </c>
      <c r="H82" s="14" t="s">
        <v>1798</v>
      </c>
      <c r="I82" s="14" t="s">
        <v>543</v>
      </c>
      <c r="J82" s="14" t="s">
        <v>1591</v>
      </c>
      <c r="K82" s="14" t="s">
        <v>1580</v>
      </c>
      <c r="L82" s="14" t="s">
        <v>1581</v>
      </c>
    </row>
    <row r="83" spans="1:12" ht="90" x14ac:dyDescent="0.25">
      <c r="A83" s="14">
        <v>80</v>
      </c>
      <c r="B83" s="14" t="s">
        <v>318</v>
      </c>
      <c r="C83" s="14" t="s">
        <v>1823</v>
      </c>
      <c r="D83" s="14" t="s">
        <v>1824</v>
      </c>
      <c r="E83" s="14" t="s">
        <v>1576</v>
      </c>
      <c r="F83" s="14" t="s">
        <v>1797</v>
      </c>
      <c r="G83" s="14" t="s">
        <v>1577</v>
      </c>
      <c r="H83" s="14" t="s">
        <v>1798</v>
      </c>
      <c r="I83" s="14" t="s">
        <v>543</v>
      </c>
      <c r="J83" s="14" t="s">
        <v>1591</v>
      </c>
      <c r="K83" s="14" t="s">
        <v>1580</v>
      </c>
      <c r="L83" s="14" t="s">
        <v>1581</v>
      </c>
    </row>
    <row r="84" spans="1:12" ht="75" x14ac:dyDescent="0.25">
      <c r="A84" s="14">
        <v>81</v>
      </c>
      <c r="B84" s="14" t="s">
        <v>321</v>
      </c>
      <c r="C84" s="14" t="s">
        <v>1825</v>
      </c>
      <c r="D84" s="14" t="s">
        <v>1818</v>
      </c>
      <c r="E84" s="14" t="s">
        <v>1576</v>
      </c>
      <c r="F84" s="14" t="s">
        <v>1797</v>
      </c>
      <c r="G84" s="14" t="s">
        <v>1577</v>
      </c>
      <c r="H84" s="14" t="s">
        <v>1798</v>
      </c>
      <c r="I84" s="14" t="s">
        <v>543</v>
      </c>
      <c r="J84" s="14" t="s">
        <v>1659</v>
      </c>
      <c r="K84" s="14" t="s">
        <v>1580</v>
      </c>
      <c r="L84" s="14" t="s">
        <v>1581</v>
      </c>
    </row>
    <row r="85" spans="1:12" ht="90" x14ac:dyDescent="0.25">
      <c r="A85" s="14">
        <v>82</v>
      </c>
      <c r="B85" s="14" t="s">
        <v>323</v>
      </c>
      <c r="C85" s="14" t="s">
        <v>1826</v>
      </c>
      <c r="D85" s="14" t="s">
        <v>1827</v>
      </c>
      <c r="E85" s="14" t="s">
        <v>1576</v>
      </c>
      <c r="F85" s="14" t="s">
        <v>962</v>
      </c>
      <c r="G85" s="14" t="s">
        <v>1577</v>
      </c>
      <c r="H85" s="14" t="s">
        <v>1594</v>
      </c>
      <c r="I85" s="14" t="s">
        <v>1341</v>
      </c>
      <c r="J85" s="14" t="s">
        <v>1804</v>
      </c>
      <c r="K85" s="14" t="s">
        <v>1580</v>
      </c>
      <c r="L85" s="14" t="s">
        <v>1597</v>
      </c>
    </row>
    <row r="86" spans="1:12" ht="75" x14ac:dyDescent="0.25">
      <c r="A86" s="14">
        <v>83</v>
      </c>
      <c r="B86" s="14" t="s">
        <v>325</v>
      </c>
      <c r="C86" s="14" t="s">
        <v>1828</v>
      </c>
      <c r="D86" s="14" t="s">
        <v>1829</v>
      </c>
      <c r="E86" s="14" t="s">
        <v>1576</v>
      </c>
      <c r="F86" s="14" t="s">
        <v>962</v>
      </c>
      <c r="G86" s="14" t="s">
        <v>1577</v>
      </c>
      <c r="H86" s="14" t="s">
        <v>1594</v>
      </c>
      <c r="I86" s="14" t="s">
        <v>543</v>
      </c>
      <c r="J86" s="14" t="s">
        <v>1620</v>
      </c>
      <c r="K86" s="14" t="s">
        <v>1580</v>
      </c>
      <c r="L86" s="14" t="s">
        <v>1597</v>
      </c>
    </row>
    <row r="87" spans="1:12" ht="90" x14ac:dyDescent="0.25">
      <c r="A87" s="14">
        <v>84</v>
      </c>
      <c r="B87" s="14" t="s">
        <v>328</v>
      </c>
      <c r="C87" s="14" t="s">
        <v>1830</v>
      </c>
      <c r="D87" s="14" t="s">
        <v>1831</v>
      </c>
      <c r="E87" s="14" t="s">
        <v>1576</v>
      </c>
      <c r="F87" s="14" t="s">
        <v>804</v>
      </c>
      <c r="G87" s="14" t="s">
        <v>1577</v>
      </c>
      <c r="H87" s="14" t="s">
        <v>1681</v>
      </c>
      <c r="I87" s="14" t="s">
        <v>543</v>
      </c>
      <c r="J87" s="14" t="s">
        <v>1801</v>
      </c>
      <c r="K87" s="14" t="s">
        <v>1580</v>
      </c>
      <c r="L87" s="14" t="s">
        <v>1581</v>
      </c>
    </row>
    <row r="88" spans="1:12" ht="75" x14ac:dyDescent="0.25">
      <c r="A88" s="14">
        <v>85</v>
      </c>
      <c r="B88" s="14" t="s">
        <v>331</v>
      </c>
      <c r="C88" s="14" t="s">
        <v>1832</v>
      </c>
      <c r="D88" s="14" t="s">
        <v>1833</v>
      </c>
      <c r="E88" s="14" t="s">
        <v>1576</v>
      </c>
      <c r="F88" s="14" t="s">
        <v>1797</v>
      </c>
      <c r="G88" s="14" t="s">
        <v>1577</v>
      </c>
      <c r="H88" s="14" t="s">
        <v>1798</v>
      </c>
      <c r="I88" s="14" t="s">
        <v>543</v>
      </c>
      <c r="J88" s="14" t="s">
        <v>1591</v>
      </c>
      <c r="K88" s="14" t="s">
        <v>1580</v>
      </c>
      <c r="L88" s="14" t="s">
        <v>1581</v>
      </c>
    </row>
    <row r="89" spans="1:12" ht="60" x14ac:dyDescent="0.25">
      <c r="A89" s="14">
        <v>86</v>
      </c>
      <c r="B89" s="14" t="s">
        <v>334</v>
      </c>
      <c r="C89" s="14" t="s">
        <v>1689</v>
      </c>
      <c r="D89" s="14" t="s">
        <v>1834</v>
      </c>
      <c r="E89" s="14" t="s">
        <v>1576</v>
      </c>
      <c r="F89" s="14" t="s">
        <v>962</v>
      </c>
      <c r="G89" s="14" t="s">
        <v>1577</v>
      </c>
      <c r="H89" s="14" t="s">
        <v>1594</v>
      </c>
      <c r="I89" s="14" t="s">
        <v>543</v>
      </c>
      <c r="J89" s="14" t="s">
        <v>1620</v>
      </c>
      <c r="K89" s="14" t="s">
        <v>1580</v>
      </c>
      <c r="L89" s="14" t="s">
        <v>1597</v>
      </c>
    </row>
    <row r="90" spans="1:12" ht="60" x14ac:dyDescent="0.25">
      <c r="A90" s="14">
        <v>87</v>
      </c>
      <c r="B90" s="14" t="s">
        <v>337</v>
      </c>
      <c r="C90" s="14" t="s">
        <v>1835</v>
      </c>
      <c r="D90" s="14" t="s">
        <v>1836</v>
      </c>
      <c r="E90" s="14" t="s">
        <v>1576</v>
      </c>
      <c r="F90" s="14" t="s">
        <v>810</v>
      </c>
      <c r="G90" s="14" t="s">
        <v>1577</v>
      </c>
      <c r="H90" s="14" t="s">
        <v>1790</v>
      </c>
      <c r="I90" s="14" t="s">
        <v>543</v>
      </c>
      <c r="J90" s="14" t="s">
        <v>1801</v>
      </c>
      <c r="K90" s="14" t="s">
        <v>1731</v>
      </c>
      <c r="L90" s="14" t="s">
        <v>1581</v>
      </c>
    </row>
    <row r="91" spans="1:12" ht="60" x14ac:dyDescent="0.25">
      <c r="A91" s="14">
        <v>88</v>
      </c>
      <c r="B91" s="14" t="s">
        <v>340</v>
      </c>
      <c r="C91" s="14" t="s">
        <v>1837</v>
      </c>
      <c r="D91" s="14" t="s">
        <v>1834</v>
      </c>
      <c r="E91" s="14" t="s">
        <v>1576</v>
      </c>
      <c r="F91" s="14" t="s">
        <v>962</v>
      </c>
      <c r="G91" s="14" t="s">
        <v>1577</v>
      </c>
      <c r="H91" s="14" t="s">
        <v>1594</v>
      </c>
      <c r="I91" s="14" t="s">
        <v>543</v>
      </c>
      <c r="J91" s="14" t="s">
        <v>1620</v>
      </c>
      <c r="K91" s="14" t="s">
        <v>1580</v>
      </c>
      <c r="L91" s="14" t="s">
        <v>1597</v>
      </c>
    </row>
    <row r="92" spans="1:12" ht="60" x14ac:dyDescent="0.25">
      <c r="A92" s="14">
        <v>89</v>
      </c>
      <c r="B92" s="14" t="s">
        <v>343</v>
      </c>
      <c r="C92" s="14" t="s">
        <v>1838</v>
      </c>
      <c r="D92" s="14" t="s">
        <v>1839</v>
      </c>
      <c r="E92" s="14" t="s">
        <v>1576</v>
      </c>
      <c r="F92" s="14" t="s">
        <v>1797</v>
      </c>
      <c r="G92" s="14" t="s">
        <v>1577</v>
      </c>
      <c r="H92" s="14" t="s">
        <v>1798</v>
      </c>
      <c r="I92" s="14" t="s">
        <v>543</v>
      </c>
      <c r="J92" s="14" t="s">
        <v>1591</v>
      </c>
      <c r="K92" s="14" t="s">
        <v>1580</v>
      </c>
      <c r="L92" s="14" t="s">
        <v>1581</v>
      </c>
    </row>
    <row r="93" spans="1:12" ht="75" x14ac:dyDescent="0.25">
      <c r="A93" s="14">
        <v>90</v>
      </c>
      <c r="B93" s="14" t="s">
        <v>346</v>
      </c>
      <c r="C93" s="14" t="s">
        <v>1840</v>
      </c>
      <c r="D93" s="14" t="s">
        <v>1841</v>
      </c>
      <c r="E93" s="14" t="s">
        <v>1576</v>
      </c>
      <c r="F93" s="14" t="s">
        <v>1842</v>
      </c>
      <c r="G93" s="14" t="s">
        <v>1577</v>
      </c>
      <c r="H93" s="14" t="s">
        <v>1843</v>
      </c>
      <c r="I93" s="14" t="s">
        <v>543</v>
      </c>
      <c r="J93" s="14" t="s">
        <v>1579</v>
      </c>
      <c r="K93" s="14" t="s">
        <v>1580</v>
      </c>
      <c r="L93" s="14" t="s">
        <v>1581</v>
      </c>
    </row>
    <row r="94" spans="1:12" ht="75" x14ac:dyDescent="0.25">
      <c r="A94" s="14">
        <v>91</v>
      </c>
      <c r="B94" s="14" t="s">
        <v>349</v>
      </c>
      <c r="C94" s="14" t="s">
        <v>1844</v>
      </c>
      <c r="D94" s="14" t="s">
        <v>1845</v>
      </c>
      <c r="E94" s="14" t="s">
        <v>1576</v>
      </c>
      <c r="F94" s="14" t="s">
        <v>810</v>
      </c>
      <c r="G94" s="14" t="s">
        <v>1577</v>
      </c>
      <c r="H94" s="14" t="s">
        <v>1790</v>
      </c>
      <c r="I94" s="14" t="s">
        <v>543</v>
      </c>
      <c r="J94" s="14" t="s">
        <v>1846</v>
      </c>
      <c r="K94" s="14" t="s">
        <v>1580</v>
      </c>
      <c r="L94" s="14" t="s">
        <v>1581</v>
      </c>
    </row>
    <row r="95" spans="1:12" ht="75" x14ac:dyDescent="0.25">
      <c r="A95" s="14">
        <v>92</v>
      </c>
      <c r="B95" s="14" t="s">
        <v>352</v>
      </c>
      <c r="C95" s="14" t="s">
        <v>1847</v>
      </c>
      <c r="D95" s="14" t="s">
        <v>1848</v>
      </c>
      <c r="E95" s="14" t="s">
        <v>1576</v>
      </c>
      <c r="F95" s="14" t="s">
        <v>810</v>
      </c>
      <c r="G95" s="14" t="s">
        <v>1577</v>
      </c>
      <c r="H95" s="14" t="s">
        <v>1790</v>
      </c>
      <c r="I95" s="14" t="s">
        <v>543</v>
      </c>
      <c r="J95" s="14" t="s">
        <v>1591</v>
      </c>
      <c r="K95" s="14" t="s">
        <v>1580</v>
      </c>
      <c r="L95" s="14" t="s">
        <v>1581</v>
      </c>
    </row>
    <row r="96" spans="1:12" ht="90" x14ac:dyDescent="0.25">
      <c r="A96" s="14">
        <v>93</v>
      </c>
      <c r="B96" s="14" t="s">
        <v>354</v>
      </c>
      <c r="C96" s="14" t="s">
        <v>1849</v>
      </c>
      <c r="D96" s="14" t="s">
        <v>1850</v>
      </c>
      <c r="E96" s="14" t="s">
        <v>1576</v>
      </c>
      <c r="F96" s="14" t="s">
        <v>1797</v>
      </c>
      <c r="G96" s="14" t="s">
        <v>1577</v>
      </c>
      <c r="H96" s="14" t="s">
        <v>1798</v>
      </c>
      <c r="I96" s="14" t="s">
        <v>543</v>
      </c>
      <c r="J96" s="14" t="s">
        <v>1591</v>
      </c>
      <c r="K96" s="14" t="s">
        <v>1580</v>
      </c>
      <c r="L96" s="14" t="s">
        <v>1581</v>
      </c>
    </row>
    <row r="97" spans="1:12" ht="90" x14ac:dyDescent="0.25">
      <c r="A97" s="14">
        <v>94</v>
      </c>
      <c r="B97" s="14" t="s">
        <v>356</v>
      </c>
      <c r="C97" s="14" t="s">
        <v>1851</v>
      </c>
      <c r="D97" s="14" t="s">
        <v>1852</v>
      </c>
      <c r="E97" s="14" t="s">
        <v>1576</v>
      </c>
      <c r="F97" s="14" t="s">
        <v>1853</v>
      </c>
      <c r="G97" s="14" t="s">
        <v>1577</v>
      </c>
      <c r="H97" s="14" t="s">
        <v>1854</v>
      </c>
      <c r="I97" s="14" t="s">
        <v>543</v>
      </c>
      <c r="J97" s="14" t="s">
        <v>1620</v>
      </c>
      <c r="K97" s="14" t="s">
        <v>1580</v>
      </c>
      <c r="L97" s="14" t="s">
        <v>1581</v>
      </c>
    </row>
    <row r="98" spans="1:12" x14ac:dyDescent="0.25">
      <c r="A98">
        <v>95</v>
      </c>
      <c r="B98" t="s">
        <v>1855</v>
      </c>
      <c r="C98" t="s">
        <v>1856</v>
      </c>
      <c r="D98" t="s">
        <v>55</v>
      </c>
      <c r="E98" t="s">
        <v>55</v>
      </c>
      <c r="F98" t="s">
        <v>55</v>
      </c>
      <c r="G98" t="s">
        <v>55</v>
      </c>
      <c r="H98" t="s">
        <v>55</v>
      </c>
      <c r="I98" t="s">
        <v>55</v>
      </c>
      <c r="J98" t="s">
        <v>55</v>
      </c>
      <c r="K98" t="s">
        <v>55</v>
      </c>
      <c r="L98" t="s">
        <v>1857</v>
      </c>
    </row>
    <row r="99" spans="1:12" x14ac:dyDescent="0.25">
      <c r="A99">
        <v>96</v>
      </c>
    </row>
    <row r="100" spans="1:12" x14ac:dyDescent="0.25">
      <c r="A100">
        <v>97</v>
      </c>
    </row>
    <row r="101" spans="1:12" x14ac:dyDescent="0.25">
      <c r="A101">
        <v>98</v>
      </c>
    </row>
    <row r="102" spans="1:12" x14ac:dyDescent="0.25">
      <c r="A102">
        <v>99</v>
      </c>
    </row>
    <row r="103" spans="1:12" x14ac:dyDescent="0.25">
      <c r="A103">
        <v>100</v>
      </c>
    </row>
    <row r="104" spans="1:12" x14ac:dyDescent="0.25">
      <c r="A104">
        <v>101</v>
      </c>
    </row>
    <row r="105" spans="1:12" x14ac:dyDescent="0.25">
      <c r="A105">
        <v>102</v>
      </c>
    </row>
    <row r="106" spans="1:12" x14ac:dyDescent="0.25">
      <c r="A106">
        <v>103</v>
      </c>
    </row>
    <row r="107" spans="1:12" x14ac:dyDescent="0.25">
      <c r="A107">
        <v>104</v>
      </c>
    </row>
    <row r="108" spans="1:12" x14ac:dyDescent="0.25">
      <c r="A108">
        <v>105</v>
      </c>
    </row>
    <row r="109" spans="1:12" x14ac:dyDescent="0.25">
      <c r="A109">
        <v>106</v>
      </c>
    </row>
    <row r="110" spans="1:12" x14ac:dyDescent="0.25">
      <c r="A110">
        <v>107</v>
      </c>
    </row>
    <row r="111" spans="1:12" x14ac:dyDescent="0.25">
      <c r="A111">
        <v>108</v>
      </c>
    </row>
    <row r="112" spans="1:12" x14ac:dyDescent="0.25">
      <c r="A112">
        <v>109</v>
      </c>
    </row>
    <row r="113" spans="1:1" x14ac:dyDescent="0.25">
      <c r="A113">
        <v>110</v>
      </c>
    </row>
    <row r="114" spans="1:1" x14ac:dyDescent="0.25">
      <c r="A114">
        <v>111</v>
      </c>
    </row>
    <row r="115" spans="1:1" x14ac:dyDescent="0.25">
      <c r="A115">
        <v>112</v>
      </c>
    </row>
    <row r="116" spans="1:1" x14ac:dyDescent="0.25">
      <c r="A116">
        <v>113</v>
      </c>
    </row>
    <row r="117" spans="1:1" x14ac:dyDescent="0.25">
      <c r="A117">
        <v>114</v>
      </c>
    </row>
    <row r="118" spans="1:1" x14ac:dyDescent="0.25">
      <c r="A118">
        <v>115</v>
      </c>
    </row>
    <row r="119" spans="1:1" x14ac:dyDescent="0.25">
      <c r="A119">
        <v>116</v>
      </c>
    </row>
    <row r="120" spans="1:1" x14ac:dyDescent="0.25">
      <c r="A120">
        <v>117</v>
      </c>
    </row>
    <row r="121" spans="1:1" x14ac:dyDescent="0.25">
      <c r="A121">
        <v>118</v>
      </c>
    </row>
    <row r="122" spans="1:1" x14ac:dyDescent="0.25">
      <c r="A122">
        <v>119</v>
      </c>
    </row>
    <row r="123" spans="1:1" x14ac:dyDescent="0.25">
      <c r="A123">
        <v>120</v>
      </c>
    </row>
    <row r="124" spans="1:1" x14ac:dyDescent="0.25">
      <c r="A124">
        <v>121</v>
      </c>
    </row>
    <row r="125" spans="1:1" x14ac:dyDescent="0.25">
      <c r="A125">
        <v>122</v>
      </c>
    </row>
    <row r="126" spans="1:1" x14ac:dyDescent="0.25">
      <c r="A126">
        <v>123</v>
      </c>
    </row>
    <row r="127" spans="1:1" x14ac:dyDescent="0.25">
      <c r="A127">
        <v>124</v>
      </c>
    </row>
    <row r="128" spans="1:1" x14ac:dyDescent="0.25">
      <c r="A128">
        <v>125</v>
      </c>
    </row>
    <row r="129" spans="1:1" x14ac:dyDescent="0.25">
      <c r="A129">
        <v>126</v>
      </c>
    </row>
    <row r="130" spans="1:1" x14ac:dyDescent="0.25">
      <c r="A130">
        <v>127</v>
      </c>
    </row>
    <row r="131" spans="1:1" x14ac:dyDescent="0.25">
      <c r="A131">
        <v>128</v>
      </c>
    </row>
    <row r="132" spans="1:1" x14ac:dyDescent="0.25">
      <c r="A132">
        <v>129</v>
      </c>
    </row>
    <row r="133" spans="1:1" x14ac:dyDescent="0.25">
      <c r="A133">
        <v>130</v>
      </c>
    </row>
    <row r="134" spans="1:1" x14ac:dyDescent="0.25">
      <c r="A134">
        <v>131</v>
      </c>
    </row>
    <row r="135" spans="1:1" x14ac:dyDescent="0.25">
      <c r="A135">
        <v>132</v>
      </c>
    </row>
    <row r="136" spans="1:1" x14ac:dyDescent="0.25">
      <c r="A136">
        <v>133</v>
      </c>
    </row>
    <row r="137" spans="1:1" x14ac:dyDescent="0.25">
      <c r="A137">
        <v>134</v>
      </c>
    </row>
    <row r="138" spans="1:1" x14ac:dyDescent="0.25">
      <c r="A138">
        <v>135</v>
      </c>
    </row>
    <row r="139" spans="1:1" x14ac:dyDescent="0.25">
      <c r="A139">
        <v>136</v>
      </c>
    </row>
    <row r="140" spans="1:1" x14ac:dyDescent="0.25">
      <c r="A140">
        <v>137</v>
      </c>
    </row>
    <row r="141" spans="1:1" x14ac:dyDescent="0.25">
      <c r="A141">
        <v>138</v>
      </c>
    </row>
    <row r="142" spans="1:1" x14ac:dyDescent="0.25">
      <c r="A142">
        <v>139</v>
      </c>
    </row>
    <row r="143" spans="1:1" x14ac:dyDescent="0.25">
      <c r="A143">
        <v>140</v>
      </c>
    </row>
    <row r="144" spans="1:1" x14ac:dyDescent="0.25">
      <c r="A144">
        <v>141</v>
      </c>
    </row>
    <row r="145" spans="1:1" x14ac:dyDescent="0.25">
      <c r="A145">
        <v>142</v>
      </c>
    </row>
    <row r="146" spans="1:1" x14ac:dyDescent="0.25">
      <c r="A146">
        <v>143</v>
      </c>
    </row>
    <row r="147" spans="1:1" x14ac:dyDescent="0.25">
      <c r="A147">
        <v>144</v>
      </c>
    </row>
    <row r="148" spans="1:1" x14ac:dyDescent="0.25">
      <c r="A148">
        <v>145</v>
      </c>
    </row>
    <row r="149" spans="1:1" x14ac:dyDescent="0.25">
      <c r="A149">
        <v>146</v>
      </c>
    </row>
    <row r="150" spans="1:1" x14ac:dyDescent="0.25">
      <c r="A150">
        <v>147</v>
      </c>
    </row>
    <row r="151" spans="1:1" x14ac:dyDescent="0.25">
      <c r="A151">
        <v>148</v>
      </c>
    </row>
    <row r="152" spans="1:1" x14ac:dyDescent="0.25">
      <c r="A152">
        <v>149</v>
      </c>
    </row>
    <row r="153" spans="1:1" x14ac:dyDescent="0.25">
      <c r="A153">
        <v>150</v>
      </c>
    </row>
    <row r="154" spans="1:1" x14ac:dyDescent="0.25">
      <c r="A154">
        <v>151</v>
      </c>
    </row>
    <row r="155" spans="1:1" x14ac:dyDescent="0.25">
      <c r="A155">
        <v>152</v>
      </c>
    </row>
    <row r="156" spans="1:1" x14ac:dyDescent="0.25">
      <c r="A156">
        <v>153</v>
      </c>
    </row>
    <row r="157" spans="1:1" x14ac:dyDescent="0.25">
      <c r="A157">
        <v>154</v>
      </c>
    </row>
    <row r="158" spans="1:1" x14ac:dyDescent="0.25">
      <c r="A158">
        <v>155</v>
      </c>
    </row>
    <row r="159" spans="1:1" x14ac:dyDescent="0.25">
      <c r="A159">
        <v>156</v>
      </c>
    </row>
    <row r="160" spans="1:1" x14ac:dyDescent="0.25">
      <c r="A160">
        <v>157</v>
      </c>
    </row>
    <row r="161" spans="1:1" x14ac:dyDescent="0.25">
      <c r="A161">
        <v>158</v>
      </c>
    </row>
    <row r="162" spans="1:1" x14ac:dyDescent="0.25">
      <c r="A162">
        <v>159</v>
      </c>
    </row>
    <row r="163" spans="1:1" x14ac:dyDescent="0.25">
      <c r="A163">
        <v>160</v>
      </c>
    </row>
    <row r="164" spans="1:1" x14ac:dyDescent="0.25">
      <c r="A164">
        <v>161</v>
      </c>
    </row>
    <row r="165" spans="1:1" x14ac:dyDescent="0.25">
      <c r="A165">
        <v>162</v>
      </c>
    </row>
    <row r="166" spans="1:1" x14ac:dyDescent="0.25">
      <c r="A166">
        <v>163</v>
      </c>
    </row>
    <row r="167" spans="1:1" x14ac:dyDescent="0.25">
      <c r="A167">
        <v>164</v>
      </c>
    </row>
    <row r="168" spans="1:1" x14ac:dyDescent="0.25">
      <c r="A168">
        <v>165</v>
      </c>
    </row>
    <row r="169" spans="1:1" x14ac:dyDescent="0.25">
      <c r="A169">
        <v>166</v>
      </c>
    </row>
    <row r="170" spans="1:1" x14ac:dyDescent="0.25">
      <c r="A170">
        <v>167</v>
      </c>
    </row>
    <row r="171" spans="1:1" x14ac:dyDescent="0.25">
      <c r="A171">
        <v>168</v>
      </c>
    </row>
    <row r="172" spans="1:1" x14ac:dyDescent="0.25">
      <c r="A172">
        <v>169</v>
      </c>
    </row>
    <row r="173" spans="1:1" x14ac:dyDescent="0.25">
      <c r="A173">
        <v>170</v>
      </c>
    </row>
    <row r="174" spans="1:1" x14ac:dyDescent="0.25">
      <c r="A174">
        <v>171</v>
      </c>
    </row>
    <row r="175" spans="1:1" x14ac:dyDescent="0.25">
      <c r="A175">
        <v>172</v>
      </c>
    </row>
    <row r="176" spans="1:1" x14ac:dyDescent="0.25">
      <c r="A176">
        <v>173</v>
      </c>
    </row>
    <row r="177" spans="1:1" x14ac:dyDescent="0.25">
      <c r="A177">
        <v>174</v>
      </c>
    </row>
    <row r="178" spans="1:1" x14ac:dyDescent="0.25">
      <c r="A178">
        <v>175</v>
      </c>
    </row>
    <row r="179" spans="1:1" x14ac:dyDescent="0.25">
      <c r="A179">
        <v>176</v>
      </c>
    </row>
    <row r="180" spans="1:1" x14ac:dyDescent="0.25">
      <c r="A180">
        <v>177</v>
      </c>
    </row>
    <row r="181" spans="1:1" x14ac:dyDescent="0.25">
      <c r="A181">
        <v>178</v>
      </c>
    </row>
    <row r="182" spans="1:1" x14ac:dyDescent="0.25">
      <c r="A182">
        <v>179</v>
      </c>
    </row>
    <row r="183" spans="1:1" x14ac:dyDescent="0.25">
      <c r="A183">
        <v>180</v>
      </c>
    </row>
    <row r="184" spans="1:1" x14ac:dyDescent="0.25">
      <c r="A184">
        <v>181</v>
      </c>
    </row>
    <row r="185" spans="1:1" x14ac:dyDescent="0.25">
      <c r="A185">
        <v>182</v>
      </c>
    </row>
    <row r="186" spans="1:1" x14ac:dyDescent="0.25">
      <c r="A186">
        <v>183</v>
      </c>
    </row>
    <row r="187" spans="1:1" x14ac:dyDescent="0.25">
      <c r="A187">
        <v>184</v>
      </c>
    </row>
    <row r="188" spans="1:1" x14ac:dyDescent="0.25">
      <c r="A188">
        <v>185</v>
      </c>
    </row>
    <row r="189" spans="1:1" x14ac:dyDescent="0.25">
      <c r="A189">
        <v>186</v>
      </c>
    </row>
    <row r="190" spans="1:1" x14ac:dyDescent="0.25">
      <c r="A190">
        <v>187</v>
      </c>
    </row>
    <row r="191" spans="1:1" x14ac:dyDescent="0.25">
      <c r="A191">
        <v>188</v>
      </c>
    </row>
    <row r="192" spans="1:1" x14ac:dyDescent="0.25">
      <c r="A192">
        <v>189</v>
      </c>
    </row>
    <row r="193" spans="1:1" x14ac:dyDescent="0.25">
      <c r="A193">
        <v>190</v>
      </c>
    </row>
    <row r="194" spans="1:1" x14ac:dyDescent="0.25">
      <c r="A194">
        <v>191</v>
      </c>
    </row>
    <row r="195" spans="1:1" x14ac:dyDescent="0.25">
      <c r="A195">
        <v>192</v>
      </c>
    </row>
    <row r="196" spans="1:1" x14ac:dyDescent="0.25">
      <c r="A196">
        <v>193</v>
      </c>
    </row>
    <row r="197" spans="1:1" x14ac:dyDescent="0.25">
      <c r="A197">
        <v>194</v>
      </c>
    </row>
    <row r="198" spans="1:1" x14ac:dyDescent="0.25">
      <c r="A198">
        <v>195</v>
      </c>
    </row>
    <row r="199" spans="1:1" x14ac:dyDescent="0.25">
      <c r="A199">
        <v>196</v>
      </c>
    </row>
    <row r="200" spans="1:1" x14ac:dyDescent="0.25">
      <c r="A200">
        <v>197</v>
      </c>
    </row>
    <row r="201" spans="1:1" x14ac:dyDescent="0.25">
      <c r="A201">
        <v>198</v>
      </c>
    </row>
    <row r="202" spans="1:1" x14ac:dyDescent="0.25">
      <c r="A202">
        <v>199</v>
      </c>
    </row>
    <row r="203" spans="1:1" x14ac:dyDescent="0.25">
      <c r="A203">
        <v>200</v>
      </c>
    </row>
    <row r="204" spans="1:1" x14ac:dyDescent="0.25">
      <c r="A204">
        <v>201</v>
      </c>
    </row>
    <row r="205" spans="1:1" x14ac:dyDescent="0.25">
      <c r="A205">
        <v>202</v>
      </c>
    </row>
    <row r="206" spans="1:1" x14ac:dyDescent="0.25">
      <c r="A206">
        <v>203</v>
      </c>
    </row>
    <row r="207" spans="1:1" x14ac:dyDescent="0.25">
      <c r="A207">
        <v>204</v>
      </c>
    </row>
    <row r="208" spans="1:1" x14ac:dyDescent="0.25">
      <c r="A208">
        <v>205</v>
      </c>
    </row>
    <row r="209" spans="1:1" x14ac:dyDescent="0.25">
      <c r="A209">
        <v>206</v>
      </c>
    </row>
    <row r="210" spans="1:1" x14ac:dyDescent="0.25">
      <c r="A210">
        <v>207</v>
      </c>
    </row>
    <row r="211" spans="1:1" x14ac:dyDescent="0.25">
      <c r="A211">
        <v>208</v>
      </c>
    </row>
    <row r="212" spans="1:1" x14ac:dyDescent="0.25">
      <c r="A212">
        <v>209</v>
      </c>
    </row>
    <row r="213" spans="1:1" x14ac:dyDescent="0.25">
      <c r="A213">
        <v>210</v>
      </c>
    </row>
    <row r="214" spans="1:1" x14ac:dyDescent="0.25">
      <c r="A214">
        <v>211</v>
      </c>
    </row>
    <row r="215" spans="1:1" x14ac:dyDescent="0.25">
      <c r="A215">
        <v>212</v>
      </c>
    </row>
    <row r="216" spans="1:1" x14ac:dyDescent="0.25">
      <c r="A216">
        <v>213</v>
      </c>
    </row>
    <row r="217" spans="1:1" x14ac:dyDescent="0.25">
      <c r="A217">
        <v>214</v>
      </c>
    </row>
    <row r="218" spans="1:1" x14ac:dyDescent="0.25">
      <c r="A218">
        <v>215</v>
      </c>
    </row>
    <row r="219" spans="1:1" x14ac:dyDescent="0.25">
      <c r="A219">
        <v>216</v>
      </c>
    </row>
    <row r="220" spans="1:1" x14ac:dyDescent="0.25">
      <c r="A220">
        <v>217</v>
      </c>
    </row>
    <row r="221" spans="1:1" x14ac:dyDescent="0.25">
      <c r="A221">
        <v>218</v>
      </c>
    </row>
    <row r="222" spans="1:1" x14ac:dyDescent="0.25">
      <c r="A222">
        <v>219</v>
      </c>
    </row>
    <row r="223" spans="1:1" x14ac:dyDescent="0.25">
      <c r="A223">
        <v>220</v>
      </c>
    </row>
    <row r="224" spans="1:1" x14ac:dyDescent="0.25">
      <c r="A224">
        <v>221</v>
      </c>
    </row>
    <row r="225" spans="1:1" x14ac:dyDescent="0.25">
      <c r="A225">
        <v>222</v>
      </c>
    </row>
    <row r="226" spans="1:1" x14ac:dyDescent="0.25">
      <c r="A226">
        <v>223</v>
      </c>
    </row>
    <row r="227" spans="1:1" x14ac:dyDescent="0.25">
      <c r="A227">
        <v>224</v>
      </c>
    </row>
    <row r="228" spans="1:1" x14ac:dyDescent="0.25">
      <c r="A228">
        <v>225</v>
      </c>
    </row>
    <row r="229" spans="1:1" x14ac:dyDescent="0.25">
      <c r="A229">
        <v>226</v>
      </c>
    </row>
    <row r="230" spans="1:1" x14ac:dyDescent="0.25">
      <c r="A230">
        <v>227</v>
      </c>
    </row>
    <row r="231" spans="1:1" x14ac:dyDescent="0.25">
      <c r="A231">
        <v>228</v>
      </c>
    </row>
    <row r="232" spans="1:1" x14ac:dyDescent="0.25">
      <c r="A232">
        <v>229</v>
      </c>
    </row>
    <row r="233" spans="1:1" x14ac:dyDescent="0.25">
      <c r="A233">
        <v>230</v>
      </c>
    </row>
    <row r="234" spans="1:1" x14ac:dyDescent="0.25">
      <c r="A234">
        <v>231</v>
      </c>
    </row>
    <row r="235" spans="1:1" x14ac:dyDescent="0.25">
      <c r="A235">
        <v>232</v>
      </c>
    </row>
    <row r="236" spans="1:1" x14ac:dyDescent="0.25">
      <c r="A236">
        <v>233</v>
      </c>
    </row>
    <row r="237" spans="1:1" x14ac:dyDescent="0.25">
      <c r="A237">
        <v>234</v>
      </c>
    </row>
    <row r="238" spans="1:1" x14ac:dyDescent="0.25">
      <c r="A238">
        <v>235</v>
      </c>
    </row>
    <row r="239" spans="1:1" x14ac:dyDescent="0.25">
      <c r="A239">
        <v>236</v>
      </c>
    </row>
    <row r="240" spans="1:1" x14ac:dyDescent="0.25">
      <c r="A240">
        <v>237</v>
      </c>
    </row>
    <row r="241" spans="1:1" x14ac:dyDescent="0.25">
      <c r="A241">
        <v>238</v>
      </c>
    </row>
    <row r="242" spans="1:1" x14ac:dyDescent="0.25">
      <c r="A242">
        <v>239</v>
      </c>
    </row>
    <row r="243" spans="1:1" x14ac:dyDescent="0.25">
      <c r="A243">
        <v>240</v>
      </c>
    </row>
    <row r="244" spans="1:1" x14ac:dyDescent="0.25">
      <c r="A244">
        <v>241</v>
      </c>
    </row>
    <row r="245" spans="1:1" x14ac:dyDescent="0.25">
      <c r="A245">
        <v>242</v>
      </c>
    </row>
    <row r="246" spans="1:1" x14ac:dyDescent="0.25">
      <c r="A246">
        <v>243</v>
      </c>
    </row>
    <row r="247" spans="1:1" x14ac:dyDescent="0.25">
      <c r="A247">
        <v>244</v>
      </c>
    </row>
    <row r="248" spans="1:1" x14ac:dyDescent="0.25">
      <c r="A248">
        <v>245</v>
      </c>
    </row>
    <row r="249" spans="1:1" x14ac:dyDescent="0.25">
      <c r="A249">
        <v>246</v>
      </c>
    </row>
    <row r="250" spans="1:1" x14ac:dyDescent="0.25">
      <c r="A250">
        <v>247</v>
      </c>
    </row>
    <row r="251" spans="1:1" x14ac:dyDescent="0.25">
      <c r="A251">
        <v>248</v>
      </c>
    </row>
    <row r="252" spans="1:1" x14ac:dyDescent="0.25">
      <c r="A252">
        <v>249</v>
      </c>
    </row>
    <row r="253" spans="1:1" x14ac:dyDescent="0.25">
      <c r="A253">
        <v>250</v>
      </c>
    </row>
    <row r="254" spans="1:1" x14ac:dyDescent="0.25">
      <c r="A254">
        <v>251</v>
      </c>
    </row>
    <row r="255" spans="1:1" x14ac:dyDescent="0.25">
      <c r="A255">
        <v>252</v>
      </c>
    </row>
    <row r="256" spans="1:1" x14ac:dyDescent="0.25">
      <c r="A256">
        <v>253</v>
      </c>
    </row>
    <row r="257" spans="1:1" x14ac:dyDescent="0.25">
      <c r="A257">
        <v>254</v>
      </c>
    </row>
    <row r="258" spans="1:1" x14ac:dyDescent="0.25">
      <c r="A258">
        <v>255</v>
      </c>
    </row>
    <row r="259" spans="1:1" x14ac:dyDescent="0.25">
      <c r="A259">
        <v>256</v>
      </c>
    </row>
    <row r="260" spans="1:1" x14ac:dyDescent="0.25">
      <c r="A260">
        <v>257</v>
      </c>
    </row>
    <row r="261" spans="1:1" x14ac:dyDescent="0.25">
      <c r="A261">
        <v>258</v>
      </c>
    </row>
    <row r="262" spans="1:1" x14ac:dyDescent="0.25">
      <c r="A262">
        <v>259</v>
      </c>
    </row>
    <row r="263" spans="1:1" x14ac:dyDescent="0.25">
      <c r="A263">
        <v>260</v>
      </c>
    </row>
    <row r="264" spans="1:1" x14ac:dyDescent="0.25">
      <c r="A264">
        <v>261</v>
      </c>
    </row>
    <row r="265" spans="1:1" x14ac:dyDescent="0.25">
      <c r="A265">
        <v>262</v>
      </c>
    </row>
    <row r="266" spans="1:1" x14ac:dyDescent="0.25">
      <c r="A266">
        <v>263</v>
      </c>
    </row>
    <row r="267" spans="1:1" x14ac:dyDescent="0.25">
      <c r="A267">
        <v>264</v>
      </c>
    </row>
    <row r="268" spans="1:1" x14ac:dyDescent="0.25">
      <c r="A268">
        <v>265</v>
      </c>
    </row>
    <row r="269" spans="1:1" x14ac:dyDescent="0.25">
      <c r="A269">
        <v>266</v>
      </c>
    </row>
    <row r="270" spans="1:1" x14ac:dyDescent="0.25">
      <c r="A270">
        <v>267</v>
      </c>
    </row>
    <row r="271" spans="1:1" x14ac:dyDescent="0.25">
      <c r="A271">
        <v>268</v>
      </c>
    </row>
    <row r="272" spans="1:1" x14ac:dyDescent="0.25">
      <c r="A272">
        <v>269</v>
      </c>
    </row>
    <row r="273" spans="1:1" x14ac:dyDescent="0.25">
      <c r="A273">
        <v>270</v>
      </c>
    </row>
    <row r="274" spans="1:1" x14ac:dyDescent="0.25">
      <c r="A274">
        <v>271</v>
      </c>
    </row>
    <row r="275" spans="1:1" x14ac:dyDescent="0.25">
      <c r="A275">
        <v>272</v>
      </c>
    </row>
    <row r="276" spans="1:1" x14ac:dyDescent="0.25">
      <c r="A276">
        <v>273</v>
      </c>
    </row>
    <row r="277" spans="1:1" x14ac:dyDescent="0.25">
      <c r="A277">
        <v>274</v>
      </c>
    </row>
    <row r="278" spans="1:1" x14ac:dyDescent="0.25">
      <c r="A278">
        <v>275</v>
      </c>
    </row>
    <row r="279" spans="1:1" x14ac:dyDescent="0.25">
      <c r="A279">
        <v>276</v>
      </c>
    </row>
    <row r="280" spans="1:1" x14ac:dyDescent="0.25">
      <c r="A280">
        <v>277</v>
      </c>
    </row>
    <row r="281" spans="1:1" x14ac:dyDescent="0.25">
      <c r="A281">
        <v>278</v>
      </c>
    </row>
    <row r="282" spans="1:1" x14ac:dyDescent="0.25">
      <c r="A282">
        <v>279</v>
      </c>
    </row>
    <row r="283" spans="1:1" x14ac:dyDescent="0.25">
      <c r="A283">
        <v>280</v>
      </c>
    </row>
    <row r="284" spans="1:1" x14ac:dyDescent="0.25">
      <c r="A284">
        <v>281</v>
      </c>
    </row>
    <row r="285" spans="1:1" x14ac:dyDescent="0.25">
      <c r="A285">
        <v>282</v>
      </c>
    </row>
    <row r="286" spans="1:1" x14ac:dyDescent="0.25">
      <c r="A286">
        <v>283</v>
      </c>
    </row>
    <row r="287" spans="1:1" x14ac:dyDescent="0.25">
      <c r="A287">
        <v>284</v>
      </c>
    </row>
    <row r="288" spans="1:1" x14ac:dyDescent="0.25">
      <c r="A288">
        <v>285</v>
      </c>
    </row>
    <row r="289" spans="1:1" x14ac:dyDescent="0.25">
      <c r="A289">
        <v>286</v>
      </c>
    </row>
    <row r="290" spans="1:1" x14ac:dyDescent="0.25">
      <c r="A290">
        <v>287</v>
      </c>
    </row>
    <row r="291" spans="1:1" x14ac:dyDescent="0.25">
      <c r="A291">
        <v>288</v>
      </c>
    </row>
    <row r="292" spans="1:1" x14ac:dyDescent="0.25">
      <c r="A292">
        <v>289</v>
      </c>
    </row>
    <row r="293" spans="1:1" x14ac:dyDescent="0.25">
      <c r="A293">
        <v>290</v>
      </c>
    </row>
    <row r="294" spans="1:1" x14ac:dyDescent="0.25">
      <c r="A294">
        <v>291</v>
      </c>
    </row>
    <row r="295" spans="1:1" x14ac:dyDescent="0.25">
      <c r="A295">
        <v>292</v>
      </c>
    </row>
    <row r="296" spans="1:1" x14ac:dyDescent="0.25">
      <c r="A296">
        <v>293</v>
      </c>
    </row>
    <row r="297" spans="1:1" x14ac:dyDescent="0.25">
      <c r="A297">
        <v>294</v>
      </c>
    </row>
    <row r="298" spans="1:1" x14ac:dyDescent="0.25">
      <c r="A298">
        <v>295</v>
      </c>
    </row>
    <row r="299" spans="1:1" x14ac:dyDescent="0.25">
      <c r="A299">
        <v>296</v>
      </c>
    </row>
    <row r="300" spans="1:1" x14ac:dyDescent="0.25">
      <c r="A300">
        <v>297</v>
      </c>
    </row>
    <row r="301" spans="1:1" x14ac:dyDescent="0.25">
      <c r="A301">
        <v>298</v>
      </c>
    </row>
    <row r="302" spans="1:1" x14ac:dyDescent="0.25">
      <c r="A302">
        <v>299</v>
      </c>
    </row>
    <row r="303" spans="1:1" x14ac:dyDescent="0.25">
      <c r="A303">
        <v>300</v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0.39997558519241921"/>
  </sheetPr>
  <dimension ref="A1:L302"/>
  <sheetViews>
    <sheetView tabSelected="1" workbookViewId="0">
      <selection activeCell="B21" sqref="B21"/>
    </sheetView>
  </sheetViews>
  <sheetFormatPr defaultRowHeight="15" x14ac:dyDescent="0.25"/>
  <cols>
    <col min="1" max="2" width="11" customWidth="1"/>
    <col min="3" max="3" width="80" customWidth="1"/>
    <col min="4" max="4" width="48" customWidth="1"/>
    <col min="5" max="5" width="38" customWidth="1"/>
    <col min="6" max="9" width="28" customWidth="1"/>
    <col min="10" max="11" width="36" customWidth="1"/>
    <col min="12" max="12" width="52" customWidth="1"/>
  </cols>
  <sheetData>
    <row r="1" spans="1:12" ht="18.75" x14ac:dyDescent="0.3">
      <c r="A1" s="15" t="s">
        <v>864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25" customFormat="1" ht="31.5" x14ac:dyDescent="0.25">
      <c r="A2" s="24" t="s">
        <v>853</v>
      </c>
      <c r="B2" s="24" t="s">
        <v>65</v>
      </c>
      <c r="C2" s="24" t="s">
        <v>854</v>
      </c>
      <c r="D2" s="24" t="s">
        <v>855</v>
      </c>
      <c r="E2" s="24" t="s">
        <v>856</v>
      </c>
      <c r="F2" s="24" t="s">
        <v>857</v>
      </c>
      <c r="G2" s="24" t="s">
        <v>858</v>
      </c>
      <c r="H2" s="24" t="s">
        <v>859</v>
      </c>
      <c r="I2" s="24" t="s">
        <v>860</v>
      </c>
      <c r="J2" s="24" t="s">
        <v>861</v>
      </c>
      <c r="K2" s="24" t="s">
        <v>862</v>
      </c>
      <c r="L2" s="24" t="s">
        <v>863</v>
      </c>
    </row>
    <row r="3" spans="1:12" ht="45" x14ac:dyDescent="0.25">
      <c r="A3" s="13">
        <v>1</v>
      </c>
      <c r="B3" s="13" t="s">
        <v>99</v>
      </c>
      <c r="C3" s="13" t="s">
        <v>1574</v>
      </c>
      <c r="D3" s="13" t="s">
        <v>1575</v>
      </c>
      <c r="E3" s="13" t="s">
        <v>1858</v>
      </c>
      <c r="F3" s="13" t="s">
        <v>953</v>
      </c>
      <c r="G3" s="13" t="s">
        <v>60</v>
      </c>
      <c r="H3" s="13" t="s">
        <v>60</v>
      </c>
      <c r="I3" s="13" t="s">
        <v>953</v>
      </c>
      <c r="J3" s="13" t="s">
        <v>953</v>
      </c>
      <c r="K3" s="13" t="s">
        <v>953</v>
      </c>
      <c r="L3" s="13" t="s">
        <v>1859</v>
      </c>
    </row>
    <row r="4" spans="1:12" ht="105" x14ac:dyDescent="0.25">
      <c r="A4" s="13">
        <v>2</v>
      </c>
      <c r="B4" s="13" t="s">
        <v>102</v>
      </c>
      <c r="C4" s="13" t="s">
        <v>1582</v>
      </c>
      <c r="D4" s="13" t="s">
        <v>1583</v>
      </c>
      <c r="E4" s="13" t="s">
        <v>1858</v>
      </c>
      <c r="F4" s="13" t="s">
        <v>953</v>
      </c>
      <c r="G4" s="13" t="s">
        <v>60</v>
      </c>
      <c r="H4" s="13" t="s">
        <v>60</v>
      </c>
      <c r="I4" s="13" t="s">
        <v>953</v>
      </c>
      <c r="J4" s="13" t="s">
        <v>953</v>
      </c>
      <c r="K4" s="13" t="s">
        <v>953</v>
      </c>
      <c r="L4" s="13" t="s">
        <v>1859</v>
      </c>
    </row>
    <row r="5" spans="1:12" ht="105" x14ac:dyDescent="0.25">
      <c r="A5" s="13">
        <v>3</v>
      </c>
      <c r="B5" s="13" t="s">
        <v>105</v>
      </c>
      <c r="C5" s="13" t="s">
        <v>1587</v>
      </c>
      <c r="D5" s="13" t="s">
        <v>1588</v>
      </c>
      <c r="E5" s="13" t="s">
        <v>1858</v>
      </c>
      <c r="F5" s="13" t="s">
        <v>953</v>
      </c>
      <c r="G5" s="13" t="s">
        <v>60</v>
      </c>
      <c r="H5" s="13" t="s">
        <v>60</v>
      </c>
      <c r="I5" s="13" t="s">
        <v>953</v>
      </c>
      <c r="J5" s="13" t="s">
        <v>953</v>
      </c>
      <c r="K5" s="13" t="s">
        <v>953</v>
      </c>
      <c r="L5" s="13" t="s">
        <v>1859</v>
      </c>
    </row>
    <row r="6" spans="1:12" ht="45" x14ac:dyDescent="0.25">
      <c r="A6" s="13">
        <v>4</v>
      </c>
      <c r="B6" s="13" t="s">
        <v>108</v>
      </c>
      <c r="C6" s="13" t="s">
        <v>1592</v>
      </c>
      <c r="D6" s="13" t="s">
        <v>1593</v>
      </c>
      <c r="E6" s="13" t="s">
        <v>1858</v>
      </c>
      <c r="F6" s="13" t="s">
        <v>953</v>
      </c>
      <c r="G6" s="13" t="s">
        <v>60</v>
      </c>
      <c r="H6" s="13" t="s">
        <v>60</v>
      </c>
      <c r="I6" s="13" t="s">
        <v>953</v>
      </c>
      <c r="J6" s="13" t="s">
        <v>953</v>
      </c>
      <c r="K6" s="13" t="s">
        <v>953</v>
      </c>
      <c r="L6" s="13" t="s">
        <v>1859</v>
      </c>
    </row>
    <row r="7" spans="1:12" ht="105" x14ac:dyDescent="0.25">
      <c r="A7" s="13">
        <v>5</v>
      </c>
      <c r="B7" s="13" t="s">
        <v>111</v>
      </c>
      <c r="C7" s="13" t="s">
        <v>1598</v>
      </c>
      <c r="D7" s="13" t="s">
        <v>1599</v>
      </c>
      <c r="E7" s="13" t="s">
        <v>1858</v>
      </c>
      <c r="F7" s="13" t="s">
        <v>953</v>
      </c>
      <c r="G7" s="13" t="s">
        <v>60</v>
      </c>
      <c r="H7" s="13" t="s">
        <v>60</v>
      </c>
      <c r="I7" s="13" t="s">
        <v>953</v>
      </c>
      <c r="J7" s="13" t="s">
        <v>953</v>
      </c>
      <c r="K7" s="13" t="s">
        <v>953</v>
      </c>
      <c r="L7" s="13" t="s">
        <v>1859</v>
      </c>
    </row>
    <row r="8" spans="1:12" ht="60" x14ac:dyDescent="0.25">
      <c r="A8" s="13">
        <v>6</v>
      </c>
      <c r="B8" s="13" t="s">
        <v>114</v>
      </c>
      <c r="C8" s="13" t="s">
        <v>1604</v>
      </c>
      <c r="D8" s="13" t="s">
        <v>1605</v>
      </c>
      <c r="E8" s="13" t="s">
        <v>1858</v>
      </c>
      <c r="F8" s="13" t="s">
        <v>953</v>
      </c>
      <c r="G8" s="13" t="s">
        <v>60</v>
      </c>
      <c r="H8" s="13" t="s">
        <v>60</v>
      </c>
      <c r="I8" s="13" t="s">
        <v>953</v>
      </c>
      <c r="J8" s="13" t="s">
        <v>953</v>
      </c>
      <c r="K8" s="13" t="s">
        <v>953</v>
      </c>
      <c r="L8" s="13" t="s">
        <v>1859</v>
      </c>
    </row>
    <row r="9" spans="1:12" ht="105" x14ac:dyDescent="0.25">
      <c r="A9" s="13">
        <v>7</v>
      </c>
      <c r="B9" s="13" t="s">
        <v>117</v>
      </c>
      <c r="C9" s="13" t="s">
        <v>1608</v>
      </c>
      <c r="D9" s="13" t="s">
        <v>1609</v>
      </c>
      <c r="E9" s="13" t="s">
        <v>1858</v>
      </c>
      <c r="F9" s="13" t="s">
        <v>953</v>
      </c>
      <c r="G9" s="13" t="s">
        <v>60</v>
      </c>
      <c r="H9" s="13" t="s">
        <v>60</v>
      </c>
      <c r="I9" s="13" t="s">
        <v>953</v>
      </c>
      <c r="J9" s="13" t="s">
        <v>953</v>
      </c>
      <c r="K9" s="13" t="s">
        <v>953</v>
      </c>
      <c r="L9" s="13" t="s">
        <v>1859</v>
      </c>
    </row>
    <row r="10" spans="1:12" ht="60" x14ac:dyDescent="0.25">
      <c r="A10" s="13">
        <v>8</v>
      </c>
      <c r="B10" s="13" t="s">
        <v>120</v>
      </c>
      <c r="C10" s="13" t="s">
        <v>1613</v>
      </c>
      <c r="D10" s="13" t="s">
        <v>1614</v>
      </c>
      <c r="E10" s="13" t="s">
        <v>1858</v>
      </c>
      <c r="F10" s="13" t="s">
        <v>953</v>
      </c>
      <c r="G10" s="13" t="s">
        <v>60</v>
      </c>
      <c r="H10" s="13" t="s">
        <v>60</v>
      </c>
      <c r="I10" s="13" t="s">
        <v>953</v>
      </c>
      <c r="J10" s="13" t="s">
        <v>953</v>
      </c>
      <c r="K10" s="13" t="s">
        <v>953</v>
      </c>
      <c r="L10" s="13" t="s">
        <v>1859</v>
      </c>
    </row>
    <row r="11" spans="1:12" ht="45" x14ac:dyDescent="0.25">
      <c r="A11" s="13">
        <v>9</v>
      </c>
      <c r="B11" s="13" t="s">
        <v>123</v>
      </c>
      <c r="C11" s="13" t="s">
        <v>1615</v>
      </c>
      <c r="D11" s="13" t="s">
        <v>1616</v>
      </c>
      <c r="E11" s="13" t="s">
        <v>1858</v>
      </c>
      <c r="F11" s="13" t="s">
        <v>953</v>
      </c>
      <c r="G11" s="13" t="s">
        <v>60</v>
      </c>
      <c r="H11" s="13" t="s">
        <v>60</v>
      </c>
      <c r="I11" s="13" t="s">
        <v>953</v>
      </c>
      <c r="J11" s="13" t="s">
        <v>953</v>
      </c>
      <c r="K11" s="13" t="s">
        <v>953</v>
      </c>
      <c r="L11" s="13" t="s">
        <v>1859</v>
      </c>
    </row>
    <row r="12" spans="1:12" ht="75" x14ac:dyDescent="0.25">
      <c r="A12" s="13">
        <v>10</v>
      </c>
      <c r="B12" s="13" t="s">
        <v>126</v>
      </c>
      <c r="C12" s="13" t="s">
        <v>1617</v>
      </c>
      <c r="D12" s="13" t="s">
        <v>1618</v>
      </c>
      <c r="E12" s="13" t="s">
        <v>1858</v>
      </c>
      <c r="F12" s="13" t="s">
        <v>953</v>
      </c>
      <c r="G12" s="13" t="s">
        <v>60</v>
      </c>
      <c r="H12" s="13" t="s">
        <v>60</v>
      </c>
      <c r="I12" s="13" t="s">
        <v>953</v>
      </c>
      <c r="J12" s="13" t="s">
        <v>953</v>
      </c>
      <c r="K12" s="13" t="s">
        <v>953</v>
      </c>
      <c r="L12" s="13" t="s">
        <v>1859</v>
      </c>
    </row>
    <row r="13" spans="1:12" ht="60" x14ac:dyDescent="0.25">
      <c r="A13" s="13">
        <v>11</v>
      </c>
      <c r="B13" s="13" t="s">
        <v>129</v>
      </c>
      <c r="C13" s="13" t="s">
        <v>1621</v>
      </c>
      <c r="D13" s="13" t="s">
        <v>1622</v>
      </c>
      <c r="E13" s="13" t="s">
        <v>1858</v>
      </c>
      <c r="F13" s="13" t="s">
        <v>953</v>
      </c>
      <c r="G13" s="13" t="s">
        <v>60</v>
      </c>
      <c r="H13" s="13" t="s">
        <v>60</v>
      </c>
      <c r="I13" s="13" t="s">
        <v>953</v>
      </c>
      <c r="J13" s="13" t="s">
        <v>953</v>
      </c>
      <c r="K13" s="13" t="s">
        <v>953</v>
      </c>
      <c r="L13" s="13" t="s">
        <v>1859</v>
      </c>
    </row>
    <row r="14" spans="1:12" ht="45" x14ac:dyDescent="0.25">
      <c r="A14" s="13">
        <v>12</v>
      </c>
      <c r="B14" s="13" t="s">
        <v>131</v>
      </c>
      <c r="C14" s="13" t="s">
        <v>1623</v>
      </c>
      <c r="D14" s="13" t="s">
        <v>1624</v>
      </c>
      <c r="E14" s="13" t="s">
        <v>1858</v>
      </c>
      <c r="F14" s="13" t="s">
        <v>953</v>
      </c>
      <c r="G14" s="13" t="s">
        <v>60</v>
      </c>
      <c r="H14" s="13" t="s">
        <v>60</v>
      </c>
      <c r="I14" s="13" t="s">
        <v>953</v>
      </c>
      <c r="J14" s="13" t="s">
        <v>953</v>
      </c>
      <c r="K14" s="13" t="s">
        <v>953</v>
      </c>
      <c r="L14" s="13" t="s">
        <v>1859</v>
      </c>
    </row>
    <row r="15" spans="1:12" ht="60" x14ac:dyDescent="0.25">
      <c r="A15" s="13">
        <v>13</v>
      </c>
      <c r="B15" s="13" t="s">
        <v>134</v>
      </c>
      <c r="C15" s="13" t="s">
        <v>1625</v>
      </c>
      <c r="D15" s="13" t="s">
        <v>1626</v>
      </c>
      <c r="E15" s="13" t="s">
        <v>1858</v>
      </c>
      <c r="F15" s="13" t="s">
        <v>953</v>
      </c>
      <c r="G15" s="13" t="s">
        <v>60</v>
      </c>
      <c r="H15" s="13" t="s">
        <v>60</v>
      </c>
      <c r="I15" s="13" t="s">
        <v>953</v>
      </c>
      <c r="J15" s="13" t="s">
        <v>953</v>
      </c>
      <c r="K15" s="13" t="s">
        <v>953</v>
      </c>
      <c r="L15" s="13" t="s">
        <v>1859</v>
      </c>
    </row>
    <row r="16" spans="1:12" ht="45" x14ac:dyDescent="0.25">
      <c r="A16" s="13">
        <v>14</v>
      </c>
      <c r="B16" s="13" t="s">
        <v>137</v>
      </c>
      <c r="C16" s="13" t="s">
        <v>1631</v>
      </c>
      <c r="D16" s="13" t="s">
        <v>1632</v>
      </c>
      <c r="E16" s="13" t="s">
        <v>1858</v>
      </c>
      <c r="F16" s="13" t="s">
        <v>953</v>
      </c>
      <c r="G16" s="13" t="s">
        <v>60</v>
      </c>
      <c r="H16" s="13" t="s">
        <v>60</v>
      </c>
      <c r="I16" s="13" t="s">
        <v>953</v>
      </c>
      <c r="J16" s="13" t="s">
        <v>953</v>
      </c>
      <c r="K16" s="13" t="s">
        <v>953</v>
      </c>
      <c r="L16" s="13" t="s">
        <v>1859</v>
      </c>
    </row>
    <row r="17" spans="1:12" ht="60" x14ac:dyDescent="0.25">
      <c r="A17" s="13">
        <v>15</v>
      </c>
      <c r="B17" s="13" t="s">
        <v>141</v>
      </c>
      <c r="C17" s="13" t="s">
        <v>1635</v>
      </c>
      <c r="D17" s="13" t="s">
        <v>1636</v>
      </c>
      <c r="E17" s="13" t="s">
        <v>1858</v>
      </c>
      <c r="F17" s="13" t="s">
        <v>953</v>
      </c>
      <c r="G17" s="13" t="s">
        <v>60</v>
      </c>
      <c r="H17" s="13" t="s">
        <v>60</v>
      </c>
      <c r="I17" s="13" t="s">
        <v>953</v>
      </c>
      <c r="J17" s="13" t="s">
        <v>953</v>
      </c>
      <c r="K17" s="13" t="s">
        <v>953</v>
      </c>
      <c r="L17" s="13" t="s">
        <v>1859</v>
      </c>
    </row>
    <row r="18" spans="1:12" ht="60" x14ac:dyDescent="0.25">
      <c r="A18" s="13">
        <v>16</v>
      </c>
      <c r="B18" s="13" t="s">
        <v>143</v>
      </c>
      <c r="C18" s="13" t="s">
        <v>1640</v>
      </c>
      <c r="D18" s="13" t="s">
        <v>1641</v>
      </c>
      <c r="E18" s="13" t="s">
        <v>1858</v>
      </c>
      <c r="F18" s="13" t="s">
        <v>953</v>
      </c>
      <c r="G18" s="13" t="s">
        <v>60</v>
      </c>
      <c r="H18" s="13" t="s">
        <v>60</v>
      </c>
      <c r="I18" s="13" t="s">
        <v>953</v>
      </c>
      <c r="J18" s="13" t="s">
        <v>953</v>
      </c>
      <c r="K18" s="13" t="s">
        <v>953</v>
      </c>
      <c r="L18" s="13" t="s">
        <v>1859</v>
      </c>
    </row>
    <row r="19" spans="1:12" ht="45" x14ac:dyDescent="0.25">
      <c r="A19" s="13">
        <v>17</v>
      </c>
      <c r="B19" s="13" t="s">
        <v>145</v>
      </c>
      <c r="C19" s="13" t="s">
        <v>1644</v>
      </c>
      <c r="D19" s="13" t="s">
        <v>1645</v>
      </c>
      <c r="E19" s="13" t="s">
        <v>1858</v>
      </c>
      <c r="F19" s="13" t="s">
        <v>953</v>
      </c>
      <c r="G19" s="13" t="s">
        <v>60</v>
      </c>
      <c r="H19" s="13" t="s">
        <v>60</v>
      </c>
      <c r="I19" s="13" t="s">
        <v>953</v>
      </c>
      <c r="J19" s="13" t="s">
        <v>953</v>
      </c>
      <c r="K19" s="13" t="s">
        <v>953</v>
      </c>
      <c r="L19" s="13" t="s">
        <v>1859</v>
      </c>
    </row>
    <row r="20" spans="1:12" ht="60" x14ac:dyDescent="0.25">
      <c r="A20" s="13">
        <v>18</v>
      </c>
      <c r="B20" s="13" t="s">
        <v>147</v>
      </c>
      <c r="C20" s="13" t="s">
        <v>1646</v>
      </c>
      <c r="D20" s="13" t="s">
        <v>1647</v>
      </c>
      <c r="E20" s="13" t="s">
        <v>1858</v>
      </c>
      <c r="F20" s="13" t="s">
        <v>953</v>
      </c>
      <c r="G20" s="13" t="s">
        <v>60</v>
      </c>
      <c r="H20" s="13" t="s">
        <v>60</v>
      </c>
      <c r="I20" s="13" t="s">
        <v>953</v>
      </c>
      <c r="J20" s="13" t="s">
        <v>953</v>
      </c>
      <c r="K20" s="13" t="s">
        <v>953</v>
      </c>
      <c r="L20" s="13" t="s">
        <v>1859</v>
      </c>
    </row>
    <row r="21" spans="1:12" ht="90" x14ac:dyDescent="0.25">
      <c r="A21" s="13">
        <v>19</v>
      </c>
      <c r="B21" s="13" t="s">
        <v>149</v>
      </c>
      <c r="C21" s="13" t="s">
        <v>1648</v>
      </c>
      <c r="D21" s="13" t="s">
        <v>1649</v>
      </c>
      <c r="E21" s="13" t="s">
        <v>1858</v>
      </c>
      <c r="F21" s="13" t="s">
        <v>953</v>
      </c>
      <c r="G21" s="13" t="s">
        <v>60</v>
      </c>
      <c r="H21" s="13" t="s">
        <v>60</v>
      </c>
      <c r="I21" s="13" t="s">
        <v>953</v>
      </c>
      <c r="J21" s="13" t="s">
        <v>953</v>
      </c>
      <c r="K21" s="13" t="s">
        <v>953</v>
      </c>
      <c r="L21" s="13" t="s">
        <v>1859</v>
      </c>
    </row>
    <row r="22" spans="1:12" ht="60" x14ac:dyDescent="0.25">
      <c r="A22" s="13">
        <v>20</v>
      </c>
      <c r="B22" s="13" t="s">
        <v>151</v>
      </c>
      <c r="C22" s="13" t="s">
        <v>1652</v>
      </c>
      <c r="D22" s="13" t="s">
        <v>1653</v>
      </c>
      <c r="E22" s="13" t="s">
        <v>1858</v>
      </c>
      <c r="F22" s="13" t="s">
        <v>953</v>
      </c>
      <c r="G22" s="13" t="s">
        <v>60</v>
      </c>
      <c r="H22" s="13" t="s">
        <v>60</v>
      </c>
      <c r="I22" s="13" t="s">
        <v>953</v>
      </c>
      <c r="J22" s="13" t="s">
        <v>953</v>
      </c>
      <c r="K22" s="13" t="s">
        <v>953</v>
      </c>
      <c r="L22" s="13" t="s">
        <v>1859</v>
      </c>
    </row>
    <row r="23" spans="1:12" ht="75" x14ac:dyDescent="0.25">
      <c r="A23" s="13">
        <v>21</v>
      </c>
      <c r="B23" s="13" t="s">
        <v>153</v>
      </c>
      <c r="C23" s="13" t="s">
        <v>1654</v>
      </c>
      <c r="D23" s="13" t="s">
        <v>1655</v>
      </c>
      <c r="E23" s="13" t="s">
        <v>1858</v>
      </c>
      <c r="F23" s="13" t="s">
        <v>953</v>
      </c>
      <c r="G23" s="13" t="s">
        <v>60</v>
      </c>
      <c r="H23" s="13" t="s">
        <v>60</v>
      </c>
      <c r="I23" s="13" t="s">
        <v>953</v>
      </c>
      <c r="J23" s="13" t="s">
        <v>953</v>
      </c>
      <c r="K23" s="13" t="s">
        <v>953</v>
      </c>
      <c r="L23" s="13" t="s">
        <v>1859</v>
      </c>
    </row>
    <row r="24" spans="1:12" ht="90" x14ac:dyDescent="0.25">
      <c r="A24" s="13">
        <v>22</v>
      </c>
      <c r="B24" s="13" t="s">
        <v>155</v>
      </c>
      <c r="C24" s="13" t="s">
        <v>1657</v>
      </c>
      <c r="D24" s="13" t="s">
        <v>1658</v>
      </c>
      <c r="E24" s="13" t="s">
        <v>1858</v>
      </c>
      <c r="F24" s="13" t="s">
        <v>953</v>
      </c>
      <c r="G24" s="13" t="s">
        <v>60</v>
      </c>
      <c r="H24" s="13" t="s">
        <v>60</v>
      </c>
      <c r="I24" s="13" t="s">
        <v>953</v>
      </c>
      <c r="J24" s="13" t="s">
        <v>953</v>
      </c>
      <c r="K24" s="13" t="s">
        <v>953</v>
      </c>
      <c r="L24" s="13" t="s">
        <v>1859</v>
      </c>
    </row>
    <row r="25" spans="1:12" ht="90" x14ac:dyDescent="0.25">
      <c r="A25" s="13">
        <v>23</v>
      </c>
      <c r="B25" s="13" t="s">
        <v>157</v>
      </c>
      <c r="C25" s="13" t="s">
        <v>1660</v>
      </c>
      <c r="D25" s="13" t="s">
        <v>1661</v>
      </c>
      <c r="E25" s="13" t="s">
        <v>1858</v>
      </c>
      <c r="F25" s="13" t="s">
        <v>953</v>
      </c>
      <c r="G25" s="13" t="s">
        <v>60</v>
      </c>
      <c r="H25" s="13" t="s">
        <v>60</v>
      </c>
      <c r="I25" s="13" t="s">
        <v>953</v>
      </c>
      <c r="J25" s="13" t="s">
        <v>953</v>
      </c>
      <c r="K25" s="13" t="s">
        <v>953</v>
      </c>
      <c r="L25" s="13" t="s">
        <v>1859</v>
      </c>
    </row>
    <row r="26" spans="1:12" ht="60" x14ac:dyDescent="0.25">
      <c r="A26" s="13">
        <v>24</v>
      </c>
      <c r="B26" s="13" t="s">
        <v>160</v>
      </c>
      <c r="C26" s="13" t="s">
        <v>1664</v>
      </c>
      <c r="D26" s="13" t="s">
        <v>1665</v>
      </c>
      <c r="E26" s="13" t="s">
        <v>1858</v>
      </c>
      <c r="F26" s="13" t="s">
        <v>953</v>
      </c>
      <c r="G26" s="13" t="s">
        <v>60</v>
      </c>
      <c r="H26" s="13" t="s">
        <v>60</v>
      </c>
      <c r="I26" s="13" t="s">
        <v>953</v>
      </c>
      <c r="J26" s="13" t="s">
        <v>953</v>
      </c>
      <c r="K26" s="13" t="s">
        <v>953</v>
      </c>
      <c r="L26" s="13" t="s">
        <v>1859</v>
      </c>
    </row>
    <row r="27" spans="1:12" ht="105" x14ac:dyDescent="0.25">
      <c r="A27" s="13">
        <v>25</v>
      </c>
      <c r="B27" s="13" t="s">
        <v>162</v>
      </c>
      <c r="C27" s="13" t="s">
        <v>1666</v>
      </c>
      <c r="D27" s="13" t="s">
        <v>1649</v>
      </c>
      <c r="E27" s="13" t="s">
        <v>1858</v>
      </c>
      <c r="F27" s="13" t="s">
        <v>953</v>
      </c>
      <c r="G27" s="13" t="s">
        <v>60</v>
      </c>
      <c r="H27" s="13" t="s">
        <v>60</v>
      </c>
      <c r="I27" s="13" t="s">
        <v>953</v>
      </c>
      <c r="J27" s="13" t="s">
        <v>953</v>
      </c>
      <c r="K27" s="13" t="s">
        <v>953</v>
      </c>
      <c r="L27" s="13" t="s">
        <v>1859</v>
      </c>
    </row>
    <row r="28" spans="1:12" ht="90" x14ac:dyDescent="0.25">
      <c r="A28" s="13">
        <v>26</v>
      </c>
      <c r="B28" s="13" t="s">
        <v>164</v>
      </c>
      <c r="C28" s="13" t="s">
        <v>1670</v>
      </c>
      <c r="D28" s="13" t="s">
        <v>1671</v>
      </c>
      <c r="E28" s="13" t="s">
        <v>1858</v>
      </c>
      <c r="F28" s="13" t="s">
        <v>953</v>
      </c>
      <c r="G28" s="13" t="s">
        <v>60</v>
      </c>
      <c r="H28" s="13" t="s">
        <v>60</v>
      </c>
      <c r="I28" s="13" t="s">
        <v>953</v>
      </c>
      <c r="J28" s="13" t="s">
        <v>953</v>
      </c>
      <c r="K28" s="13" t="s">
        <v>953</v>
      </c>
      <c r="L28" s="13" t="s">
        <v>1859</v>
      </c>
    </row>
    <row r="29" spans="1:12" ht="90" x14ac:dyDescent="0.25">
      <c r="A29" s="13">
        <v>27</v>
      </c>
      <c r="B29" s="13" t="s">
        <v>167</v>
      </c>
      <c r="C29" s="13" t="s">
        <v>1674</v>
      </c>
      <c r="D29" s="13" t="s">
        <v>1655</v>
      </c>
      <c r="E29" s="13" t="s">
        <v>1858</v>
      </c>
      <c r="F29" s="13" t="s">
        <v>953</v>
      </c>
      <c r="G29" s="13" t="s">
        <v>60</v>
      </c>
      <c r="H29" s="13" t="s">
        <v>60</v>
      </c>
      <c r="I29" s="13" t="s">
        <v>953</v>
      </c>
      <c r="J29" s="13" t="s">
        <v>953</v>
      </c>
      <c r="K29" s="13" t="s">
        <v>953</v>
      </c>
      <c r="L29" s="13" t="s">
        <v>1859</v>
      </c>
    </row>
    <row r="30" spans="1:12" ht="75" x14ac:dyDescent="0.25">
      <c r="A30" s="13">
        <v>28</v>
      </c>
      <c r="B30" s="13" t="s">
        <v>170</v>
      </c>
      <c r="C30" s="13" t="s">
        <v>1677</v>
      </c>
      <c r="D30" s="13" t="s">
        <v>1678</v>
      </c>
      <c r="E30" s="13" t="s">
        <v>1858</v>
      </c>
      <c r="F30" s="13" t="s">
        <v>953</v>
      </c>
      <c r="G30" s="13" t="s">
        <v>60</v>
      </c>
      <c r="H30" s="13" t="s">
        <v>60</v>
      </c>
      <c r="I30" s="13" t="s">
        <v>953</v>
      </c>
      <c r="J30" s="13" t="s">
        <v>953</v>
      </c>
      <c r="K30" s="13" t="s">
        <v>953</v>
      </c>
      <c r="L30" s="13" t="s">
        <v>1859</v>
      </c>
    </row>
    <row r="31" spans="1:12" ht="75" x14ac:dyDescent="0.25">
      <c r="A31" s="13">
        <v>29</v>
      </c>
      <c r="B31" s="13" t="s">
        <v>173</v>
      </c>
      <c r="C31" s="13" t="s">
        <v>1679</v>
      </c>
      <c r="D31" s="13" t="s">
        <v>1680</v>
      </c>
      <c r="E31" s="13" t="s">
        <v>1858</v>
      </c>
      <c r="F31" s="13" t="s">
        <v>953</v>
      </c>
      <c r="G31" s="13" t="s">
        <v>60</v>
      </c>
      <c r="H31" s="13" t="s">
        <v>60</v>
      </c>
      <c r="I31" s="13" t="s">
        <v>953</v>
      </c>
      <c r="J31" s="13" t="s">
        <v>953</v>
      </c>
      <c r="K31" s="13" t="s">
        <v>953</v>
      </c>
      <c r="L31" s="13" t="s">
        <v>1859</v>
      </c>
    </row>
    <row r="32" spans="1:12" ht="90" x14ac:dyDescent="0.25">
      <c r="A32" s="13">
        <v>30</v>
      </c>
      <c r="B32" s="13" t="s">
        <v>176</v>
      </c>
      <c r="C32" s="13" t="s">
        <v>1683</v>
      </c>
      <c r="D32" s="13" t="s">
        <v>1684</v>
      </c>
      <c r="E32" s="13" t="s">
        <v>1858</v>
      </c>
      <c r="F32" s="13" t="s">
        <v>953</v>
      </c>
      <c r="G32" s="13" t="s">
        <v>60</v>
      </c>
      <c r="H32" s="13" t="s">
        <v>60</v>
      </c>
      <c r="I32" s="13" t="s">
        <v>953</v>
      </c>
      <c r="J32" s="13" t="s">
        <v>953</v>
      </c>
      <c r="K32" s="13" t="s">
        <v>953</v>
      </c>
      <c r="L32" s="13" t="s">
        <v>1859</v>
      </c>
    </row>
    <row r="33" spans="1:12" ht="75" x14ac:dyDescent="0.25">
      <c r="A33" s="13">
        <v>31</v>
      </c>
      <c r="B33" s="13" t="s">
        <v>179</v>
      </c>
      <c r="C33" s="13" t="s">
        <v>1687</v>
      </c>
      <c r="D33" s="13" t="s">
        <v>1688</v>
      </c>
      <c r="E33" s="13" t="s">
        <v>1858</v>
      </c>
      <c r="F33" s="13" t="s">
        <v>953</v>
      </c>
      <c r="G33" s="13" t="s">
        <v>60</v>
      </c>
      <c r="H33" s="13" t="s">
        <v>60</v>
      </c>
      <c r="I33" s="13" t="s">
        <v>953</v>
      </c>
      <c r="J33" s="13" t="s">
        <v>953</v>
      </c>
      <c r="K33" s="13" t="s">
        <v>953</v>
      </c>
      <c r="L33" s="13" t="s">
        <v>1859</v>
      </c>
    </row>
    <row r="34" spans="1:12" ht="60" x14ac:dyDescent="0.25">
      <c r="A34" s="13">
        <v>32</v>
      </c>
      <c r="B34" s="13" t="s">
        <v>182</v>
      </c>
      <c r="C34" s="13" t="s">
        <v>1689</v>
      </c>
      <c r="D34" s="13" t="s">
        <v>1690</v>
      </c>
      <c r="E34" s="13" t="s">
        <v>1858</v>
      </c>
      <c r="F34" s="13" t="s">
        <v>953</v>
      </c>
      <c r="G34" s="13" t="s">
        <v>60</v>
      </c>
      <c r="H34" s="13" t="s">
        <v>60</v>
      </c>
      <c r="I34" s="13" t="s">
        <v>953</v>
      </c>
      <c r="J34" s="13" t="s">
        <v>953</v>
      </c>
      <c r="K34" s="13" t="s">
        <v>953</v>
      </c>
      <c r="L34" s="13" t="s">
        <v>1859</v>
      </c>
    </row>
    <row r="35" spans="1:12" ht="60" x14ac:dyDescent="0.25">
      <c r="A35" s="13">
        <v>33</v>
      </c>
      <c r="B35" s="13" t="s">
        <v>185</v>
      </c>
      <c r="C35" s="13" t="s">
        <v>1691</v>
      </c>
      <c r="D35" s="13" t="s">
        <v>1692</v>
      </c>
      <c r="E35" s="13" t="s">
        <v>1858</v>
      </c>
      <c r="F35" s="13" t="s">
        <v>953</v>
      </c>
      <c r="G35" s="13" t="s">
        <v>60</v>
      </c>
      <c r="H35" s="13" t="s">
        <v>60</v>
      </c>
      <c r="I35" s="13" t="s">
        <v>953</v>
      </c>
      <c r="J35" s="13" t="s">
        <v>953</v>
      </c>
      <c r="K35" s="13" t="s">
        <v>953</v>
      </c>
      <c r="L35" s="13" t="s">
        <v>1859</v>
      </c>
    </row>
    <row r="36" spans="1:12" ht="75" x14ac:dyDescent="0.25">
      <c r="A36" s="13">
        <v>34</v>
      </c>
      <c r="B36" s="13" t="s">
        <v>188</v>
      </c>
      <c r="C36" s="13" t="s">
        <v>1693</v>
      </c>
      <c r="D36" s="13" t="s">
        <v>1694</v>
      </c>
      <c r="E36" s="13" t="s">
        <v>1858</v>
      </c>
      <c r="F36" s="13" t="s">
        <v>953</v>
      </c>
      <c r="G36" s="13" t="s">
        <v>60</v>
      </c>
      <c r="H36" s="13" t="s">
        <v>60</v>
      </c>
      <c r="I36" s="13" t="s">
        <v>953</v>
      </c>
      <c r="J36" s="13" t="s">
        <v>953</v>
      </c>
      <c r="K36" s="13" t="s">
        <v>953</v>
      </c>
      <c r="L36" s="13" t="s">
        <v>1859</v>
      </c>
    </row>
    <row r="37" spans="1:12" ht="75" x14ac:dyDescent="0.25">
      <c r="A37" s="13">
        <v>35</v>
      </c>
      <c r="B37" s="13" t="s">
        <v>191</v>
      </c>
      <c r="C37" s="13" t="s">
        <v>1695</v>
      </c>
      <c r="D37" s="13" t="s">
        <v>1696</v>
      </c>
      <c r="E37" s="13" t="s">
        <v>1858</v>
      </c>
      <c r="F37" s="13" t="s">
        <v>953</v>
      </c>
      <c r="G37" s="13" t="s">
        <v>60</v>
      </c>
      <c r="H37" s="13" t="s">
        <v>60</v>
      </c>
      <c r="I37" s="13" t="s">
        <v>953</v>
      </c>
      <c r="J37" s="13" t="s">
        <v>953</v>
      </c>
      <c r="K37" s="13" t="s">
        <v>953</v>
      </c>
      <c r="L37" s="13" t="s">
        <v>1859</v>
      </c>
    </row>
    <row r="38" spans="1:12" ht="90" x14ac:dyDescent="0.25">
      <c r="A38" s="13">
        <v>36</v>
      </c>
      <c r="B38" s="13" t="s">
        <v>194</v>
      </c>
      <c r="C38" s="13" t="s">
        <v>1697</v>
      </c>
      <c r="D38" s="13" t="s">
        <v>1698</v>
      </c>
      <c r="E38" s="13" t="s">
        <v>1858</v>
      </c>
      <c r="F38" s="13" t="s">
        <v>953</v>
      </c>
      <c r="G38" s="13" t="s">
        <v>60</v>
      </c>
      <c r="H38" s="13" t="s">
        <v>60</v>
      </c>
      <c r="I38" s="13" t="s">
        <v>953</v>
      </c>
      <c r="J38" s="13" t="s">
        <v>953</v>
      </c>
      <c r="K38" s="13" t="s">
        <v>953</v>
      </c>
      <c r="L38" s="13" t="s">
        <v>1859</v>
      </c>
    </row>
    <row r="39" spans="1:12" ht="60" x14ac:dyDescent="0.25">
      <c r="A39" s="13">
        <v>37</v>
      </c>
      <c r="B39" s="13" t="s">
        <v>196</v>
      </c>
      <c r="C39" s="13" t="s">
        <v>1689</v>
      </c>
      <c r="D39" s="13" t="s">
        <v>1699</v>
      </c>
      <c r="E39" s="13" t="s">
        <v>1858</v>
      </c>
      <c r="F39" s="13" t="s">
        <v>953</v>
      </c>
      <c r="G39" s="13" t="s">
        <v>60</v>
      </c>
      <c r="H39" s="13" t="s">
        <v>60</v>
      </c>
      <c r="I39" s="13" t="s">
        <v>953</v>
      </c>
      <c r="J39" s="13" t="s">
        <v>953</v>
      </c>
      <c r="K39" s="13" t="s">
        <v>953</v>
      </c>
      <c r="L39" s="13" t="s">
        <v>1859</v>
      </c>
    </row>
    <row r="40" spans="1:12" ht="75" x14ac:dyDescent="0.25">
      <c r="A40" s="13">
        <v>38</v>
      </c>
      <c r="B40" s="13" t="s">
        <v>199</v>
      </c>
      <c r="C40" s="13" t="s">
        <v>1700</v>
      </c>
      <c r="D40" s="13" t="s">
        <v>1701</v>
      </c>
      <c r="E40" s="13" t="s">
        <v>1858</v>
      </c>
      <c r="F40" s="13" t="s">
        <v>953</v>
      </c>
      <c r="G40" s="13" t="s">
        <v>60</v>
      </c>
      <c r="H40" s="13" t="s">
        <v>60</v>
      </c>
      <c r="I40" s="13" t="s">
        <v>953</v>
      </c>
      <c r="J40" s="13" t="s">
        <v>953</v>
      </c>
      <c r="K40" s="13" t="s">
        <v>953</v>
      </c>
      <c r="L40" s="13" t="s">
        <v>1859</v>
      </c>
    </row>
    <row r="41" spans="1:12" ht="60" x14ac:dyDescent="0.25">
      <c r="A41" s="13">
        <v>39</v>
      </c>
      <c r="B41" s="13" t="s">
        <v>202</v>
      </c>
      <c r="C41" s="13" t="s">
        <v>1689</v>
      </c>
      <c r="D41" s="13" t="s">
        <v>1702</v>
      </c>
      <c r="E41" s="13" t="s">
        <v>1858</v>
      </c>
      <c r="F41" s="13" t="s">
        <v>953</v>
      </c>
      <c r="G41" s="13" t="s">
        <v>60</v>
      </c>
      <c r="H41" s="13" t="s">
        <v>60</v>
      </c>
      <c r="I41" s="13" t="s">
        <v>953</v>
      </c>
      <c r="J41" s="13" t="s">
        <v>953</v>
      </c>
      <c r="K41" s="13" t="s">
        <v>953</v>
      </c>
      <c r="L41" s="13" t="s">
        <v>1859</v>
      </c>
    </row>
    <row r="42" spans="1:12" ht="45" x14ac:dyDescent="0.25">
      <c r="A42" s="13">
        <v>40</v>
      </c>
      <c r="B42" s="13" t="s">
        <v>205</v>
      </c>
      <c r="C42" s="13" t="s">
        <v>1703</v>
      </c>
      <c r="D42" s="13" t="s">
        <v>1704</v>
      </c>
      <c r="E42" s="13" t="s">
        <v>1858</v>
      </c>
      <c r="F42" s="13" t="s">
        <v>953</v>
      </c>
      <c r="G42" s="13" t="s">
        <v>60</v>
      </c>
      <c r="H42" s="13" t="s">
        <v>60</v>
      </c>
      <c r="I42" s="13" t="s">
        <v>953</v>
      </c>
      <c r="J42" s="13" t="s">
        <v>953</v>
      </c>
      <c r="K42" s="13" t="s">
        <v>953</v>
      </c>
      <c r="L42" s="13" t="s">
        <v>1859</v>
      </c>
    </row>
    <row r="43" spans="1:12" ht="105" x14ac:dyDescent="0.25">
      <c r="A43" s="13">
        <v>41</v>
      </c>
      <c r="B43" s="13" t="s">
        <v>207</v>
      </c>
      <c r="C43" s="13" t="s">
        <v>1705</v>
      </c>
      <c r="D43" s="13" t="s">
        <v>1706</v>
      </c>
      <c r="E43" s="13" t="s">
        <v>1858</v>
      </c>
      <c r="F43" s="13" t="s">
        <v>953</v>
      </c>
      <c r="G43" s="13" t="s">
        <v>60</v>
      </c>
      <c r="H43" s="13" t="s">
        <v>60</v>
      </c>
      <c r="I43" s="13" t="s">
        <v>953</v>
      </c>
      <c r="J43" s="13" t="s">
        <v>953</v>
      </c>
      <c r="K43" s="13" t="s">
        <v>953</v>
      </c>
      <c r="L43" s="13" t="s">
        <v>1859</v>
      </c>
    </row>
    <row r="44" spans="1:12" ht="75" x14ac:dyDescent="0.25">
      <c r="A44" s="13">
        <v>42</v>
      </c>
      <c r="B44" s="13" t="s">
        <v>210</v>
      </c>
      <c r="C44" s="13" t="s">
        <v>1710</v>
      </c>
      <c r="D44" s="13" t="s">
        <v>1711</v>
      </c>
      <c r="E44" s="13" t="s">
        <v>1858</v>
      </c>
      <c r="F44" s="13" t="s">
        <v>953</v>
      </c>
      <c r="G44" s="13" t="s">
        <v>60</v>
      </c>
      <c r="H44" s="13" t="s">
        <v>60</v>
      </c>
      <c r="I44" s="13" t="s">
        <v>953</v>
      </c>
      <c r="J44" s="13" t="s">
        <v>953</v>
      </c>
      <c r="K44" s="13" t="s">
        <v>953</v>
      </c>
      <c r="L44" s="13" t="s">
        <v>1859</v>
      </c>
    </row>
    <row r="45" spans="1:12" ht="90" x14ac:dyDescent="0.25">
      <c r="A45" s="13">
        <v>43</v>
      </c>
      <c r="B45" s="13" t="s">
        <v>213</v>
      </c>
      <c r="C45" s="13" t="s">
        <v>1714</v>
      </c>
      <c r="D45" s="13" t="s">
        <v>1715</v>
      </c>
      <c r="E45" s="13" t="s">
        <v>1858</v>
      </c>
      <c r="F45" s="13" t="s">
        <v>953</v>
      </c>
      <c r="G45" s="13" t="s">
        <v>60</v>
      </c>
      <c r="H45" s="13" t="s">
        <v>60</v>
      </c>
      <c r="I45" s="13" t="s">
        <v>953</v>
      </c>
      <c r="J45" s="13" t="s">
        <v>953</v>
      </c>
      <c r="K45" s="13" t="s">
        <v>953</v>
      </c>
      <c r="L45" s="13" t="s">
        <v>1859</v>
      </c>
    </row>
    <row r="46" spans="1:12" ht="90" x14ac:dyDescent="0.25">
      <c r="A46" s="13">
        <v>44</v>
      </c>
      <c r="B46" s="13" t="s">
        <v>216</v>
      </c>
      <c r="C46" s="13" t="s">
        <v>1718</v>
      </c>
      <c r="D46" s="13" t="s">
        <v>1719</v>
      </c>
      <c r="E46" s="13" t="s">
        <v>1858</v>
      </c>
      <c r="F46" s="13" t="s">
        <v>953</v>
      </c>
      <c r="G46" s="13" t="s">
        <v>60</v>
      </c>
      <c r="H46" s="13" t="s">
        <v>60</v>
      </c>
      <c r="I46" s="13" t="s">
        <v>953</v>
      </c>
      <c r="J46" s="13" t="s">
        <v>953</v>
      </c>
      <c r="K46" s="13" t="s">
        <v>953</v>
      </c>
      <c r="L46" s="13" t="s">
        <v>1859</v>
      </c>
    </row>
    <row r="47" spans="1:12" ht="75" x14ac:dyDescent="0.25">
      <c r="A47" s="13">
        <v>45</v>
      </c>
      <c r="B47" s="13" t="s">
        <v>219</v>
      </c>
      <c r="C47" s="13" t="s">
        <v>1722</v>
      </c>
      <c r="D47" s="13" t="s">
        <v>1696</v>
      </c>
      <c r="E47" s="13" t="s">
        <v>1858</v>
      </c>
      <c r="F47" s="13" t="s">
        <v>953</v>
      </c>
      <c r="G47" s="13" t="s">
        <v>60</v>
      </c>
      <c r="H47" s="13" t="s">
        <v>60</v>
      </c>
      <c r="I47" s="13" t="s">
        <v>953</v>
      </c>
      <c r="J47" s="13" t="s">
        <v>953</v>
      </c>
      <c r="K47" s="13" t="s">
        <v>953</v>
      </c>
      <c r="L47" s="13" t="s">
        <v>1859</v>
      </c>
    </row>
    <row r="48" spans="1:12" ht="75" x14ac:dyDescent="0.25">
      <c r="A48" s="13">
        <v>46</v>
      </c>
      <c r="B48" s="13" t="s">
        <v>222</v>
      </c>
      <c r="C48" s="13" t="s">
        <v>1724</v>
      </c>
      <c r="D48" s="13" t="s">
        <v>1725</v>
      </c>
      <c r="E48" s="13" t="s">
        <v>1858</v>
      </c>
      <c r="F48" s="13" t="s">
        <v>953</v>
      </c>
      <c r="G48" s="13" t="s">
        <v>60</v>
      </c>
      <c r="H48" s="13" t="s">
        <v>60</v>
      </c>
      <c r="I48" s="13" t="s">
        <v>953</v>
      </c>
      <c r="J48" s="13" t="s">
        <v>953</v>
      </c>
      <c r="K48" s="13" t="s">
        <v>953</v>
      </c>
      <c r="L48" s="13" t="s">
        <v>1859</v>
      </c>
    </row>
    <row r="49" spans="1:12" ht="90" x14ac:dyDescent="0.25">
      <c r="A49" s="13">
        <v>47</v>
      </c>
      <c r="B49" s="13" t="s">
        <v>225</v>
      </c>
      <c r="C49" s="13" t="s">
        <v>1727</v>
      </c>
      <c r="D49" s="13" t="s">
        <v>1728</v>
      </c>
      <c r="E49" s="13" t="s">
        <v>1858</v>
      </c>
      <c r="F49" s="13" t="s">
        <v>953</v>
      </c>
      <c r="G49" s="13" t="s">
        <v>60</v>
      </c>
      <c r="H49" s="13" t="s">
        <v>60</v>
      </c>
      <c r="I49" s="13" t="s">
        <v>953</v>
      </c>
      <c r="J49" s="13" t="s">
        <v>953</v>
      </c>
      <c r="K49" s="13" t="s">
        <v>953</v>
      </c>
      <c r="L49" s="13" t="s">
        <v>1859</v>
      </c>
    </row>
    <row r="50" spans="1:12" ht="90" x14ac:dyDescent="0.25">
      <c r="A50" s="13">
        <v>48</v>
      </c>
      <c r="B50" s="13" t="s">
        <v>228</v>
      </c>
      <c r="C50" s="13" t="s">
        <v>1732</v>
      </c>
      <c r="D50" s="13" t="s">
        <v>1733</v>
      </c>
      <c r="E50" s="13" t="s">
        <v>1858</v>
      </c>
      <c r="F50" s="13" t="s">
        <v>953</v>
      </c>
      <c r="G50" s="13" t="s">
        <v>60</v>
      </c>
      <c r="H50" s="13" t="s">
        <v>60</v>
      </c>
      <c r="I50" s="13" t="s">
        <v>953</v>
      </c>
      <c r="J50" s="13" t="s">
        <v>953</v>
      </c>
      <c r="K50" s="13" t="s">
        <v>953</v>
      </c>
      <c r="L50" s="13" t="s">
        <v>1859</v>
      </c>
    </row>
    <row r="51" spans="1:12" ht="75" x14ac:dyDescent="0.25">
      <c r="A51" s="13">
        <v>49</v>
      </c>
      <c r="B51" s="13" t="s">
        <v>231</v>
      </c>
      <c r="C51" s="13" t="s">
        <v>1734</v>
      </c>
      <c r="D51" s="13" t="s">
        <v>1735</v>
      </c>
      <c r="E51" s="13" t="s">
        <v>1858</v>
      </c>
      <c r="F51" s="13" t="s">
        <v>953</v>
      </c>
      <c r="G51" s="13" t="s">
        <v>60</v>
      </c>
      <c r="H51" s="13" t="s">
        <v>60</v>
      </c>
      <c r="I51" s="13" t="s">
        <v>953</v>
      </c>
      <c r="J51" s="13" t="s">
        <v>953</v>
      </c>
      <c r="K51" s="13" t="s">
        <v>953</v>
      </c>
      <c r="L51" s="13" t="s">
        <v>1859</v>
      </c>
    </row>
    <row r="52" spans="1:12" ht="60" x14ac:dyDescent="0.25">
      <c r="A52" s="13">
        <v>50</v>
      </c>
      <c r="B52" s="13" t="s">
        <v>234</v>
      </c>
      <c r="C52" s="13" t="s">
        <v>1739</v>
      </c>
      <c r="D52" s="13" t="s">
        <v>1740</v>
      </c>
      <c r="E52" s="13" t="s">
        <v>1858</v>
      </c>
      <c r="F52" s="13" t="s">
        <v>953</v>
      </c>
      <c r="G52" s="13" t="s">
        <v>60</v>
      </c>
      <c r="H52" s="13" t="s">
        <v>60</v>
      </c>
      <c r="I52" s="13" t="s">
        <v>953</v>
      </c>
      <c r="J52" s="13" t="s">
        <v>953</v>
      </c>
      <c r="K52" s="13" t="s">
        <v>953</v>
      </c>
      <c r="L52" s="13" t="s">
        <v>1859</v>
      </c>
    </row>
    <row r="53" spans="1:12" ht="75" x14ac:dyDescent="0.25">
      <c r="A53" s="13">
        <v>51</v>
      </c>
      <c r="B53" s="13" t="s">
        <v>236</v>
      </c>
      <c r="C53" s="13" t="s">
        <v>1741</v>
      </c>
      <c r="D53" s="13" t="s">
        <v>1742</v>
      </c>
      <c r="E53" s="13" t="s">
        <v>1858</v>
      </c>
      <c r="F53" s="13" t="s">
        <v>953</v>
      </c>
      <c r="G53" s="13" t="s">
        <v>60</v>
      </c>
      <c r="H53" s="13" t="s">
        <v>60</v>
      </c>
      <c r="I53" s="13" t="s">
        <v>953</v>
      </c>
      <c r="J53" s="13" t="s">
        <v>953</v>
      </c>
      <c r="K53" s="13" t="s">
        <v>953</v>
      </c>
      <c r="L53" s="13" t="s">
        <v>1859</v>
      </c>
    </row>
    <row r="54" spans="1:12" ht="75" x14ac:dyDescent="0.25">
      <c r="A54" s="13">
        <v>52</v>
      </c>
      <c r="B54" s="13" t="s">
        <v>239</v>
      </c>
      <c r="C54" s="13" t="s">
        <v>1744</v>
      </c>
      <c r="D54" s="13" t="s">
        <v>1745</v>
      </c>
      <c r="E54" s="13" t="s">
        <v>1858</v>
      </c>
      <c r="F54" s="13" t="s">
        <v>953</v>
      </c>
      <c r="G54" s="13" t="s">
        <v>60</v>
      </c>
      <c r="H54" s="13" t="s">
        <v>60</v>
      </c>
      <c r="I54" s="13" t="s">
        <v>953</v>
      </c>
      <c r="J54" s="13" t="s">
        <v>953</v>
      </c>
      <c r="K54" s="13" t="s">
        <v>953</v>
      </c>
      <c r="L54" s="13" t="s">
        <v>1859</v>
      </c>
    </row>
    <row r="55" spans="1:12" ht="75" x14ac:dyDescent="0.25">
      <c r="A55" s="13">
        <v>53</v>
      </c>
      <c r="B55" s="13" t="s">
        <v>242</v>
      </c>
      <c r="C55" s="13" t="s">
        <v>1747</v>
      </c>
      <c r="D55" s="13" t="s">
        <v>1748</v>
      </c>
      <c r="E55" s="13" t="s">
        <v>1858</v>
      </c>
      <c r="F55" s="13" t="s">
        <v>953</v>
      </c>
      <c r="G55" s="13" t="s">
        <v>60</v>
      </c>
      <c r="H55" s="13" t="s">
        <v>60</v>
      </c>
      <c r="I55" s="13" t="s">
        <v>953</v>
      </c>
      <c r="J55" s="13" t="s">
        <v>953</v>
      </c>
      <c r="K55" s="13" t="s">
        <v>953</v>
      </c>
      <c r="L55" s="13" t="s">
        <v>1859</v>
      </c>
    </row>
    <row r="56" spans="1:12" ht="90" x14ac:dyDescent="0.25">
      <c r="A56" s="13">
        <v>54</v>
      </c>
      <c r="B56" s="13" t="s">
        <v>244</v>
      </c>
      <c r="C56" s="13" t="s">
        <v>1749</v>
      </c>
      <c r="D56" s="13" t="s">
        <v>1750</v>
      </c>
      <c r="E56" s="13" t="s">
        <v>1858</v>
      </c>
      <c r="F56" s="13" t="s">
        <v>953</v>
      </c>
      <c r="G56" s="13" t="s">
        <v>60</v>
      </c>
      <c r="H56" s="13" t="s">
        <v>60</v>
      </c>
      <c r="I56" s="13" t="s">
        <v>953</v>
      </c>
      <c r="J56" s="13" t="s">
        <v>953</v>
      </c>
      <c r="K56" s="13" t="s">
        <v>953</v>
      </c>
      <c r="L56" s="13" t="s">
        <v>1859</v>
      </c>
    </row>
    <row r="57" spans="1:12" ht="75" x14ac:dyDescent="0.25">
      <c r="A57" s="13">
        <v>55</v>
      </c>
      <c r="B57" s="13" t="s">
        <v>246</v>
      </c>
      <c r="C57" s="13" t="s">
        <v>1753</v>
      </c>
      <c r="D57" s="13" t="s">
        <v>1754</v>
      </c>
      <c r="E57" s="13" t="s">
        <v>1858</v>
      </c>
      <c r="F57" s="13" t="s">
        <v>953</v>
      </c>
      <c r="G57" s="13" t="s">
        <v>60</v>
      </c>
      <c r="H57" s="13" t="s">
        <v>60</v>
      </c>
      <c r="I57" s="13" t="s">
        <v>953</v>
      </c>
      <c r="J57" s="13" t="s">
        <v>953</v>
      </c>
      <c r="K57" s="13" t="s">
        <v>953</v>
      </c>
      <c r="L57" s="13" t="s">
        <v>1859</v>
      </c>
    </row>
    <row r="58" spans="1:12" ht="90" x14ac:dyDescent="0.25">
      <c r="A58" s="13">
        <v>56</v>
      </c>
      <c r="B58" s="13" t="s">
        <v>249</v>
      </c>
      <c r="C58" s="13" t="s">
        <v>1755</v>
      </c>
      <c r="D58" s="13" t="s">
        <v>1756</v>
      </c>
      <c r="E58" s="13" t="s">
        <v>1858</v>
      </c>
      <c r="F58" s="13" t="s">
        <v>953</v>
      </c>
      <c r="G58" s="13" t="s">
        <v>60</v>
      </c>
      <c r="H58" s="13" t="s">
        <v>60</v>
      </c>
      <c r="I58" s="13" t="s">
        <v>953</v>
      </c>
      <c r="J58" s="13" t="s">
        <v>953</v>
      </c>
      <c r="K58" s="13" t="s">
        <v>953</v>
      </c>
      <c r="L58" s="13" t="s">
        <v>1859</v>
      </c>
    </row>
    <row r="59" spans="1:12" ht="90" x14ac:dyDescent="0.25">
      <c r="A59" s="13">
        <v>57</v>
      </c>
      <c r="B59" s="13" t="s">
        <v>252</v>
      </c>
      <c r="C59" s="13" t="s">
        <v>1757</v>
      </c>
      <c r="D59" s="13" t="s">
        <v>1758</v>
      </c>
      <c r="E59" s="13" t="s">
        <v>1858</v>
      </c>
      <c r="F59" s="13" t="s">
        <v>953</v>
      </c>
      <c r="G59" s="13" t="s">
        <v>60</v>
      </c>
      <c r="H59" s="13" t="s">
        <v>60</v>
      </c>
      <c r="I59" s="13" t="s">
        <v>953</v>
      </c>
      <c r="J59" s="13" t="s">
        <v>953</v>
      </c>
      <c r="K59" s="13" t="s">
        <v>953</v>
      </c>
      <c r="L59" s="13" t="s">
        <v>1859</v>
      </c>
    </row>
    <row r="60" spans="1:12" ht="90" x14ac:dyDescent="0.25">
      <c r="A60" s="13">
        <v>58</v>
      </c>
      <c r="B60" s="13" t="s">
        <v>255</v>
      </c>
      <c r="C60" s="13" t="s">
        <v>1761</v>
      </c>
      <c r="D60" s="13" t="s">
        <v>1762</v>
      </c>
      <c r="E60" s="13" t="s">
        <v>1858</v>
      </c>
      <c r="F60" s="13" t="s">
        <v>953</v>
      </c>
      <c r="G60" s="13" t="s">
        <v>60</v>
      </c>
      <c r="H60" s="13" t="s">
        <v>60</v>
      </c>
      <c r="I60" s="13" t="s">
        <v>953</v>
      </c>
      <c r="J60" s="13" t="s">
        <v>953</v>
      </c>
      <c r="K60" s="13" t="s">
        <v>953</v>
      </c>
      <c r="L60" s="13" t="s">
        <v>1859</v>
      </c>
    </row>
    <row r="61" spans="1:12" ht="90" x14ac:dyDescent="0.25">
      <c r="A61" s="13">
        <v>59</v>
      </c>
      <c r="B61" s="13" t="s">
        <v>258</v>
      </c>
      <c r="C61" s="13" t="s">
        <v>1763</v>
      </c>
      <c r="D61" s="13" t="s">
        <v>1764</v>
      </c>
      <c r="E61" s="13" t="s">
        <v>1858</v>
      </c>
      <c r="F61" s="13" t="s">
        <v>953</v>
      </c>
      <c r="G61" s="13" t="s">
        <v>60</v>
      </c>
      <c r="H61" s="13" t="s">
        <v>60</v>
      </c>
      <c r="I61" s="13" t="s">
        <v>953</v>
      </c>
      <c r="J61" s="13" t="s">
        <v>953</v>
      </c>
      <c r="K61" s="13" t="s">
        <v>953</v>
      </c>
      <c r="L61" s="13" t="s">
        <v>1859</v>
      </c>
    </row>
    <row r="62" spans="1:12" ht="60" x14ac:dyDescent="0.25">
      <c r="A62" s="13">
        <v>60</v>
      </c>
      <c r="B62" s="13" t="s">
        <v>261</v>
      </c>
      <c r="C62" s="13" t="s">
        <v>1766</v>
      </c>
      <c r="D62" s="13" t="s">
        <v>1767</v>
      </c>
      <c r="E62" s="13" t="s">
        <v>1858</v>
      </c>
      <c r="F62" s="13" t="s">
        <v>953</v>
      </c>
      <c r="G62" s="13" t="s">
        <v>60</v>
      </c>
      <c r="H62" s="13" t="s">
        <v>60</v>
      </c>
      <c r="I62" s="13" t="s">
        <v>953</v>
      </c>
      <c r="J62" s="13" t="s">
        <v>953</v>
      </c>
      <c r="K62" s="13" t="s">
        <v>953</v>
      </c>
      <c r="L62" s="13" t="s">
        <v>1859</v>
      </c>
    </row>
    <row r="63" spans="1:12" ht="90" x14ac:dyDescent="0.25">
      <c r="A63" s="13">
        <v>61</v>
      </c>
      <c r="B63" s="13" t="s">
        <v>264</v>
      </c>
      <c r="C63" s="13" t="s">
        <v>1768</v>
      </c>
      <c r="D63" s="13" t="s">
        <v>1769</v>
      </c>
      <c r="E63" s="13" t="s">
        <v>1858</v>
      </c>
      <c r="F63" s="13" t="s">
        <v>953</v>
      </c>
      <c r="G63" s="13" t="s">
        <v>60</v>
      </c>
      <c r="H63" s="13" t="s">
        <v>60</v>
      </c>
      <c r="I63" s="13" t="s">
        <v>953</v>
      </c>
      <c r="J63" s="13" t="s">
        <v>953</v>
      </c>
      <c r="K63" s="13" t="s">
        <v>953</v>
      </c>
      <c r="L63" s="13" t="s">
        <v>1859</v>
      </c>
    </row>
    <row r="64" spans="1:12" ht="90" x14ac:dyDescent="0.25">
      <c r="A64" s="13">
        <v>62</v>
      </c>
      <c r="B64" s="13" t="s">
        <v>266</v>
      </c>
      <c r="C64" s="13" t="s">
        <v>1770</v>
      </c>
      <c r="D64" s="13" t="s">
        <v>1771</v>
      </c>
      <c r="E64" s="13" t="s">
        <v>1858</v>
      </c>
      <c r="F64" s="13" t="s">
        <v>953</v>
      </c>
      <c r="G64" s="13" t="s">
        <v>60</v>
      </c>
      <c r="H64" s="13" t="s">
        <v>60</v>
      </c>
      <c r="I64" s="13" t="s">
        <v>953</v>
      </c>
      <c r="J64" s="13" t="s">
        <v>953</v>
      </c>
      <c r="K64" s="13" t="s">
        <v>953</v>
      </c>
      <c r="L64" s="13" t="s">
        <v>1859</v>
      </c>
    </row>
    <row r="65" spans="1:12" ht="75" x14ac:dyDescent="0.25">
      <c r="A65" s="13">
        <v>63</v>
      </c>
      <c r="B65" s="13" t="s">
        <v>269</v>
      </c>
      <c r="C65" s="13" t="s">
        <v>1772</v>
      </c>
      <c r="D65" s="13" t="s">
        <v>1773</v>
      </c>
      <c r="E65" s="13" t="s">
        <v>1858</v>
      </c>
      <c r="F65" s="13" t="s">
        <v>953</v>
      </c>
      <c r="G65" s="13" t="s">
        <v>60</v>
      </c>
      <c r="H65" s="13" t="s">
        <v>60</v>
      </c>
      <c r="I65" s="13" t="s">
        <v>953</v>
      </c>
      <c r="J65" s="13" t="s">
        <v>953</v>
      </c>
      <c r="K65" s="13" t="s">
        <v>953</v>
      </c>
      <c r="L65" s="13" t="s">
        <v>1859</v>
      </c>
    </row>
    <row r="66" spans="1:12" ht="90" x14ac:dyDescent="0.25">
      <c r="A66" s="13">
        <v>64</v>
      </c>
      <c r="B66" s="13" t="s">
        <v>272</v>
      </c>
      <c r="C66" s="13" t="s">
        <v>1777</v>
      </c>
      <c r="D66" s="13" t="s">
        <v>1778</v>
      </c>
      <c r="E66" s="13" t="s">
        <v>1858</v>
      </c>
      <c r="F66" s="13" t="s">
        <v>953</v>
      </c>
      <c r="G66" s="13" t="s">
        <v>60</v>
      </c>
      <c r="H66" s="13" t="s">
        <v>60</v>
      </c>
      <c r="I66" s="13" t="s">
        <v>953</v>
      </c>
      <c r="J66" s="13" t="s">
        <v>953</v>
      </c>
      <c r="K66" s="13" t="s">
        <v>953</v>
      </c>
      <c r="L66" s="13" t="s">
        <v>1859</v>
      </c>
    </row>
    <row r="67" spans="1:12" ht="75" x14ac:dyDescent="0.25">
      <c r="A67" s="13">
        <v>65</v>
      </c>
      <c r="B67" s="13" t="s">
        <v>275</v>
      </c>
      <c r="C67" s="13" t="s">
        <v>1779</v>
      </c>
      <c r="D67" s="13" t="s">
        <v>1780</v>
      </c>
      <c r="E67" s="13" t="s">
        <v>1858</v>
      </c>
      <c r="F67" s="13" t="s">
        <v>953</v>
      </c>
      <c r="G67" s="13" t="s">
        <v>60</v>
      </c>
      <c r="H67" s="13" t="s">
        <v>60</v>
      </c>
      <c r="I67" s="13" t="s">
        <v>953</v>
      </c>
      <c r="J67" s="13" t="s">
        <v>953</v>
      </c>
      <c r="K67" s="13" t="s">
        <v>953</v>
      </c>
      <c r="L67" s="13" t="s">
        <v>1859</v>
      </c>
    </row>
    <row r="68" spans="1:12" ht="75" x14ac:dyDescent="0.25">
      <c r="A68" s="13">
        <v>66</v>
      </c>
      <c r="B68" s="13" t="s">
        <v>278</v>
      </c>
      <c r="C68" s="13" t="s">
        <v>1783</v>
      </c>
      <c r="D68" s="13" t="s">
        <v>1784</v>
      </c>
      <c r="E68" s="13" t="s">
        <v>1858</v>
      </c>
      <c r="F68" s="13" t="s">
        <v>953</v>
      </c>
      <c r="G68" s="13" t="s">
        <v>60</v>
      </c>
      <c r="H68" s="13" t="s">
        <v>60</v>
      </c>
      <c r="I68" s="13" t="s">
        <v>953</v>
      </c>
      <c r="J68" s="13" t="s">
        <v>953</v>
      </c>
      <c r="K68" s="13" t="s">
        <v>953</v>
      </c>
      <c r="L68" s="13" t="s">
        <v>1859</v>
      </c>
    </row>
    <row r="69" spans="1:12" ht="60" x14ac:dyDescent="0.25">
      <c r="A69" s="13">
        <v>67</v>
      </c>
      <c r="B69" s="13" t="s">
        <v>281</v>
      </c>
      <c r="C69" s="13" t="s">
        <v>1788</v>
      </c>
      <c r="D69" s="13" t="s">
        <v>1789</v>
      </c>
      <c r="E69" s="13" t="s">
        <v>1858</v>
      </c>
      <c r="F69" s="13" t="s">
        <v>953</v>
      </c>
      <c r="G69" s="13" t="s">
        <v>60</v>
      </c>
      <c r="H69" s="13" t="s">
        <v>60</v>
      </c>
      <c r="I69" s="13" t="s">
        <v>953</v>
      </c>
      <c r="J69" s="13" t="s">
        <v>953</v>
      </c>
      <c r="K69" s="13" t="s">
        <v>953</v>
      </c>
      <c r="L69" s="13" t="s">
        <v>1859</v>
      </c>
    </row>
    <row r="70" spans="1:12" ht="90" x14ac:dyDescent="0.25">
      <c r="A70" s="13">
        <v>68</v>
      </c>
      <c r="B70" s="13" t="s">
        <v>284</v>
      </c>
      <c r="C70" s="13" t="s">
        <v>1792</v>
      </c>
      <c r="D70" s="13" t="s">
        <v>1711</v>
      </c>
      <c r="E70" s="13" t="s">
        <v>1858</v>
      </c>
      <c r="F70" s="13" t="s">
        <v>953</v>
      </c>
      <c r="G70" s="13" t="s">
        <v>60</v>
      </c>
      <c r="H70" s="13" t="s">
        <v>60</v>
      </c>
      <c r="I70" s="13" t="s">
        <v>953</v>
      </c>
      <c r="J70" s="13" t="s">
        <v>953</v>
      </c>
      <c r="K70" s="13" t="s">
        <v>953</v>
      </c>
      <c r="L70" s="13" t="s">
        <v>1859</v>
      </c>
    </row>
    <row r="71" spans="1:12" ht="75" x14ac:dyDescent="0.25">
      <c r="A71" s="13">
        <v>69</v>
      </c>
      <c r="B71" s="13" t="s">
        <v>287</v>
      </c>
      <c r="C71" s="13" t="s">
        <v>1795</v>
      </c>
      <c r="D71" s="13" t="s">
        <v>1796</v>
      </c>
      <c r="E71" s="13" t="s">
        <v>1858</v>
      </c>
      <c r="F71" s="13" t="s">
        <v>953</v>
      </c>
      <c r="G71" s="13" t="s">
        <v>60</v>
      </c>
      <c r="H71" s="13" t="s">
        <v>60</v>
      </c>
      <c r="I71" s="13" t="s">
        <v>953</v>
      </c>
      <c r="J71" s="13" t="s">
        <v>953</v>
      </c>
      <c r="K71" s="13" t="s">
        <v>953</v>
      </c>
      <c r="L71" s="13" t="s">
        <v>1859</v>
      </c>
    </row>
    <row r="72" spans="1:12" ht="60" x14ac:dyDescent="0.25">
      <c r="A72" s="13">
        <v>70</v>
      </c>
      <c r="B72" s="13" t="s">
        <v>290</v>
      </c>
      <c r="C72" s="13" t="s">
        <v>1799</v>
      </c>
      <c r="D72" s="13" t="s">
        <v>1800</v>
      </c>
      <c r="E72" s="13" t="s">
        <v>1858</v>
      </c>
      <c r="F72" s="13" t="s">
        <v>953</v>
      </c>
      <c r="G72" s="13" t="s">
        <v>60</v>
      </c>
      <c r="H72" s="13" t="s">
        <v>60</v>
      </c>
      <c r="I72" s="13" t="s">
        <v>953</v>
      </c>
      <c r="J72" s="13" t="s">
        <v>953</v>
      </c>
      <c r="K72" s="13" t="s">
        <v>953</v>
      </c>
      <c r="L72" s="13" t="s">
        <v>1859</v>
      </c>
    </row>
    <row r="73" spans="1:12" ht="75" x14ac:dyDescent="0.25">
      <c r="A73" s="13">
        <v>71</v>
      </c>
      <c r="B73" s="13" t="s">
        <v>293</v>
      </c>
      <c r="C73" s="13" t="s">
        <v>1802</v>
      </c>
      <c r="D73" s="13" t="s">
        <v>1803</v>
      </c>
      <c r="E73" s="13" t="s">
        <v>1858</v>
      </c>
      <c r="F73" s="13" t="s">
        <v>953</v>
      </c>
      <c r="G73" s="13" t="s">
        <v>60</v>
      </c>
      <c r="H73" s="13" t="s">
        <v>60</v>
      </c>
      <c r="I73" s="13" t="s">
        <v>953</v>
      </c>
      <c r="J73" s="13" t="s">
        <v>953</v>
      </c>
      <c r="K73" s="13" t="s">
        <v>953</v>
      </c>
      <c r="L73" s="13" t="s">
        <v>1859</v>
      </c>
    </row>
    <row r="74" spans="1:12" ht="60" x14ac:dyDescent="0.25">
      <c r="A74" s="13">
        <v>72</v>
      </c>
      <c r="B74" s="13" t="s">
        <v>296</v>
      </c>
      <c r="C74" s="13" t="s">
        <v>1805</v>
      </c>
      <c r="D74" s="13" t="s">
        <v>1806</v>
      </c>
      <c r="E74" s="13" t="s">
        <v>1858</v>
      </c>
      <c r="F74" s="13" t="s">
        <v>953</v>
      </c>
      <c r="G74" s="13" t="s">
        <v>60</v>
      </c>
      <c r="H74" s="13" t="s">
        <v>60</v>
      </c>
      <c r="I74" s="13" t="s">
        <v>953</v>
      </c>
      <c r="J74" s="13" t="s">
        <v>953</v>
      </c>
      <c r="K74" s="13" t="s">
        <v>953</v>
      </c>
      <c r="L74" s="13" t="s">
        <v>1859</v>
      </c>
    </row>
    <row r="75" spans="1:12" ht="90" x14ac:dyDescent="0.25">
      <c r="A75" s="13">
        <v>73</v>
      </c>
      <c r="B75" s="13" t="s">
        <v>299</v>
      </c>
      <c r="C75" s="13" t="s">
        <v>1807</v>
      </c>
      <c r="D75" s="13" t="s">
        <v>1808</v>
      </c>
      <c r="E75" s="13" t="s">
        <v>1858</v>
      </c>
      <c r="F75" s="13" t="s">
        <v>953</v>
      </c>
      <c r="G75" s="13" t="s">
        <v>60</v>
      </c>
      <c r="H75" s="13" t="s">
        <v>60</v>
      </c>
      <c r="I75" s="13" t="s">
        <v>953</v>
      </c>
      <c r="J75" s="13" t="s">
        <v>953</v>
      </c>
      <c r="K75" s="13" t="s">
        <v>953</v>
      </c>
      <c r="L75" s="13" t="s">
        <v>1859</v>
      </c>
    </row>
    <row r="76" spans="1:12" ht="75" x14ac:dyDescent="0.25">
      <c r="A76" s="13">
        <v>74</v>
      </c>
      <c r="B76" s="13" t="s">
        <v>302</v>
      </c>
      <c r="C76" s="13" t="s">
        <v>1811</v>
      </c>
      <c r="D76" s="13" t="s">
        <v>1812</v>
      </c>
      <c r="E76" s="13" t="s">
        <v>1858</v>
      </c>
      <c r="F76" s="13" t="s">
        <v>953</v>
      </c>
      <c r="G76" s="13" t="s">
        <v>60</v>
      </c>
      <c r="H76" s="13" t="s">
        <v>60</v>
      </c>
      <c r="I76" s="13" t="s">
        <v>953</v>
      </c>
      <c r="J76" s="13" t="s">
        <v>953</v>
      </c>
      <c r="K76" s="13" t="s">
        <v>953</v>
      </c>
      <c r="L76" s="13" t="s">
        <v>1859</v>
      </c>
    </row>
    <row r="77" spans="1:12" ht="75" x14ac:dyDescent="0.25">
      <c r="A77" s="13">
        <v>75</v>
      </c>
      <c r="B77" s="13" t="s">
        <v>305</v>
      </c>
      <c r="C77" s="13" t="s">
        <v>1813</v>
      </c>
      <c r="D77" s="13" t="s">
        <v>1814</v>
      </c>
      <c r="E77" s="13" t="s">
        <v>1858</v>
      </c>
      <c r="F77" s="13" t="s">
        <v>953</v>
      </c>
      <c r="G77" s="13" t="s">
        <v>60</v>
      </c>
      <c r="H77" s="13" t="s">
        <v>60</v>
      </c>
      <c r="I77" s="13" t="s">
        <v>953</v>
      </c>
      <c r="J77" s="13" t="s">
        <v>953</v>
      </c>
      <c r="K77" s="13" t="s">
        <v>953</v>
      </c>
      <c r="L77" s="13" t="s">
        <v>1859</v>
      </c>
    </row>
    <row r="78" spans="1:12" ht="60" x14ac:dyDescent="0.25">
      <c r="A78" s="13">
        <v>76</v>
      </c>
      <c r="B78" s="13" t="s">
        <v>308</v>
      </c>
      <c r="C78" s="13" t="s">
        <v>1815</v>
      </c>
      <c r="D78" s="13" t="s">
        <v>1816</v>
      </c>
      <c r="E78" s="13" t="s">
        <v>1858</v>
      </c>
      <c r="F78" s="13" t="s">
        <v>953</v>
      </c>
      <c r="G78" s="13" t="s">
        <v>60</v>
      </c>
      <c r="H78" s="13" t="s">
        <v>60</v>
      </c>
      <c r="I78" s="13" t="s">
        <v>953</v>
      </c>
      <c r="J78" s="13" t="s">
        <v>953</v>
      </c>
      <c r="K78" s="13" t="s">
        <v>953</v>
      </c>
      <c r="L78" s="13" t="s">
        <v>1859</v>
      </c>
    </row>
    <row r="79" spans="1:12" ht="75" x14ac:dyDescent="0.25">
      <c r="A79" s="13">
        <v>77</v>
      </c>
      <c r="B79" s="13" t="s">
        <v>311</v>
      </c>
      <c r="C79" s="13" t="s">
        <v>1817</v>
      </c>
      <c r="D79" s="13" t="s">
        <v>1818</v>
      </c>
      <c r="E79" s="13" t="s">
        <v>1858</v>
      </c>
      <c r="F79" s="13" t="s">
        <v>953</v>
      </c>
      <c r="G79" s="13" t="s">
        <v>60</v>
      </c>
      <c r="H79" s="13" t="s">
        <v>60</v>
      </c>
      <c r="I79" s="13" t="s">
        <v>953</v>
      </c>
      <c r="J79" s="13" t="s">
        <v>953</v>
      </c>
      <c r="K79" s="13" t="s">
        <v>953</v>
      </c>
      <c r="L79" s="13" t="s">
        <v>1859</v>
      </c>
    </row>
    <row r="80" spans="1:12" ht="75" x14ac:dyDescent="0.25">
      <c r="A80" s="13">
        <v>78</v>
      </c>
      <c r="B80" s="13" t="s">
        <v>314</v>
      </c>
      <c r="C80" s="13" t="s">
        <v>1819</v>
      </c>
      <c r="D80" s="13" t="s">
        <v>1820</v>
      </c>
      <c r="E80" s="13" t="s">
        <v>1858</v>
      </c>
      <c r="F80" s="13" t="s">
        <v>953</v>
      </c>
      <c r="G80" s="13" t="s">
        <v>60</v>
      </c>
      <c r="H80" s="13" t="s">
        <v>60</v>
      </c>
      <c r="I80" s="13" t="s">
        <v>953</v>
      </c>
      <c r="J80" s="13" t="s">
        <v>953</v>
      </c>
      <c r="K80" s="13" t="s">
        <v>953</v>
      </c>
      <c r="L80" s="13" t="s">
        <v>1859</v>
      </c>
    </row>
    <row r="81" spans="1:12" ht="75" x14ac:dyDescent="0.25">
      <c r="A81" s="13">
        <v>79</v>
      </c>
      <c r="B81" s="13" t="s">
        <v>316</v>
      </c>
      <c r="C81" s="13" t="s">
        <v>1821</v>
      </c>
      <c r="D81" s="13" t="s">
        <v>1822</v>
      </c>
      <c r="E81" s="13" t="s">
        <v>1858</v>
      </c>
      <c r="F81" s="13" t="s">
        <v>953</v>
      </c>
      <c r="G81" s="13" t="s">
        <v>60</v>
      </c>
      <c r="H81" s="13" t="s">
        <v>60</v>
      </c>
      <c r="I81" s="13" t="s">
        <v>953</v>
      </c>
      <c r="J81" s="13" t="s">
        <v>953</v>
      </c>
      <c r="K81" s="13" t="s">
        <v>953</v>
      </c>
      <c r="L81" s="13" t="s">
        <v>1859</v>
      </c>
    </row>
    <row r="82" spans="1:12" ht="90" x14ac:dyDescent="0.25">
      <c r="A82" s="13">
        <v>80</v>
      </c>
      <c r="B82" s="13" t="s">
        <v>318</v>
      </c>
      <c r="C82" s="13" t="s">
        <v>1823</v>
      </c>
      <c r="D82" s="13" t="s">
        <v>1824</v>
      </c>
      <c r="E82" s="13" t="s">
        <v>1858</v>
      </c>
      <c r="F82" s="13" t="s">
        <v>953</v>
      </c>
      <c r="G82" s="13" t="s">
        <v>60</v>
      </c>
      <c r="H82" s="13" t="s">
        <v>60</v>
      </c>
      <c r="I82" s="13" t="s">
        <v>953</v>
      </c>
      <c r="J82" s="13" t="s">
        <v>953</v>
      </c>
      <c r="K82" s="13" t="s">
        <v>953</v>
      </c>
      <c r="L82" s="13" t="s">
        <v>1859</v>
      </c>
    </row>
    <row r="83" spans="1:12" ht="75" x14ac:dyDescent="0.25">
      <c r="A83" s="13">
        <v>81</v>
      </c>
      <c r="B83" s="13" t="s">
        <v>321</v>
      </c>
      <c r="C83" s="13" t="s">
        <v>1825</v>
      </c>
      <c r="D83" s="13" t="s">
        <v>1818</v>
      </c>
      <c r="E83" s="13" t="s">
        <v>1858</v>
      </c>
      <c r="F83" s="13" t="s">
        <v>953</v>
      </c>
      <c r="G83" s="13" t="s">
        <v>60</v>
      </c>
      <c r="H83" s="13" t="s">
        <v>60</v>
      </c>
      <c r="I83" s="13" t="s">
        <v>953</v>
      </c>
      <c r="J83" s="13" t="s">
        <v>953</v>
      </c>
      <c r="K83" s="13" t="s">
        <v>953</v>
      </c>
      <c r="L83" s="13" t="s">
        <v>1859</v>
      </c>
    </row>
    <row r="84" spans="1:12" ht="90" x14ac:dyDescent="0.25">
      <c r="A84" s="13">
        <v>82</v>
      </c>
      <c r="B84" s="13" t="s">
        <v>323</v>
      </c>
      <c r="C84" s="13" t="s">
        <v>1826</v>
      </c>
      <c r="D84" s="13" t="s">
        <v>1827</v>
      </c>
      <c r="E84" s="13" t="s">
        <v>1858</v>
      </c>
      <c r="F84" s="13" t="s">
        <v>953</v>
      </c>
      <c r="G84" s="13" t="s">
        <v>60</v>
      </c>
      <c r="H84" s="13" t="s">
        <v>60</v>
      </c>
      <c r="I84" s="13" t="s">
        <v>953</v>
      </c>
      <c r="J84" s="13" t="s">
        <v>953</v>
      </c>
      <c r="K84" s="13" t="s">
        <v>953</v>
      </c>
      <c r="L84" s="13" t="s">
        <v>1859</v>
      </c>
    </row>
    <row r="85" spans="1:12" ht="75" x14ac:dyDescent="0.25">
      <c r="A85" s="13">
        <v>83</v>
      </c>
      <c r="B85" s="13" t="s">
        <v>325</v>
      </c>
      <c r="C85" s="13" t="s">
        <v>1828</v>
      </c>
      <c r="D85" s="13" t="s">
        <v>1829</v>
      </c>
      <c r="E85" s="13" t="s">
        <v>1858</v>
      </c>
      <c r="F85" s="13" t="s">
        <v>953</v>
      </c>
      <c r="G85" s="13" t="s">
        <v>60</v>
      </c>
      <c r="H85" s="13" t="s">
        <v>60</v>
      </c>
      <c r="I85" s="13" t="s">
        <v>953</v>
      </c>
      <c r="J85" s="13" t="s">
        <v>953</v>
      </c>
      <c r="K85" s="13" t="s">
        <v>953</v>
      </c>
      <c r="L85" s="13" t="s">
        <v>1859</v>
      </c>
    </row>
    <row r="86" spans="1:12" ht="90" x14ac:dyDescent="0.25">
      <c r="A86" s="13">
        <v>84</v>
      </c>
      <c r="B86" s="13" t="s">
        <v>328</v>
      </c>
      <c r="C86" s="13" t="s">
        <v>1830</v>
      </c>
      <c r="D86" s="13" t="s">
        <v>1831</v>
      </c>
      <c r="E86" s="13" t="s">
        <v>1858</v>
      </c>
      <c r="F86" s="13" t="s">
        <v>953</v>
      </c>
      <c r="G86" s="13" t="s">
        <v>60</v>
      </c>
      <c r="H86" s="13" t="s">
        <v>60</v>
      </c>
      <c r="I86" s="13" t="s">
        <v>953</v>
      </c>
      <c r="J86" s="13" t="s">
        <v>953</v>
      </c>
      <c r="K86" s="13" t="s">
        <v>953</v>
      </c>
      <c r="L86" s="13" t="s">
        <v>1859</v>
      </c>
    </row>
    <row r="87" spans="1:12" ht="75" x14ac:dyDescent="0.25">
      <c r="A87" s="13">
        <v>85</v>
      </c>
      <c r="B87" s="13" t="s">
        <v>331</v>
      </c>
      <c r="C87" s="13" t="s">
        <v>1832</v>
      </c>
      <c r="D87" s="13" t="s">
        <v>1833</v>
      </c>
      <c r="E87" s="13" t="s">
        <v>1858</v>
      </c>
      <c r="F87" s="13" t="s">
        <v>953</v>
      </c>
      <c r="G87" s="13" t="s">
        <v>60</v>
      </c>
      <c r="H87" s="13" t="s">
        <v>60</v>
      </c>
      <c r="I87" s="13" t="s">
        <v>953</v>
      </c>
      <c r="J87" s="13" t="s">
        <v>953</v>
      </c>
      <c r="K87" s="13" t="s">
        <v>953</v>
      </c>
      <c r="L87" s="13" t="s">
        <v>1859</v>
      </c>
    </row>
    <row r="88" spans="1:12" ht="60" x14ac:dyDescent="0.25">
      <c r="A88" s="13">
        <v>86</v>
      </c>
      <c r="B88" s="13" t="s">
        <v>334</v>
      </c>
      <c r="C88" s="13" t="s">
        <v>1689</v>
      </c>
      <c r="D88" s="13" t="s">
        <v>1834</v>
      </c>
      <c r="E88" s="13" t="s">
        <v>1858</v>
      </c>
      <c r="F88" s="13" t="s">
        <v>953</v>
      </c>
      <c r="G88" s="13" t="s">
        <v>60</v>
      </c>
      <c r="H88" s="13" t="s">
        <v>60</v>
      </c>
      <c r="I88" s="13" t="s">
        <v>953</v>
      </c>
      <c r="J88" s="13" t="s">
        <v>953</v>
      </c>
      <c r="K88" s="13" t="s">
        <v>953</v>
      </c>
      <c r="L88" s="13" t="s">
        <v>1859</v>
      </c>
    </row>
    <row r="89" spans="1:12" ht="60" x14ac:dyDescent="0.25">
      <c r="A89" s="13">
        <v>87</v>
      </c>
      <c r="B89" s="13" t="s">
        <v>337</v>
      </c>
      <c r="C89" s="13" t="s">
        <v>1835</v>
      </c>
      <c r="D89" s="13" t="s">
        <v>1836</v>
      </c>
      <c r="E89" s="13" t="s">
        <v>1858</v>
      </c>
      <c r="F89" s="13" t="s">
        <v>953</v>
      </c>
      <c r="G89" s="13" t="s">
        <v>60</v>
      </c>
      <c r="H89" s="13" t="s">
        <v>60</v>
      </c>
      <c r="I89" s="13" t="s">
        <v>953</v>
      </c>
      <c r="J89" s="13" t="s">
        <v>953</v>
      </c>
      <c r="K89" s="13" t="s">
        <v>953</v>
      </c>
      <c r="L89" s="13" t="s">
        <v>1859</v>
      </c>
    </row>
    <row r="90" spans="1:12" ht="60" x14ac:dyDescent="0.25">
      <c r="A90" s="13">
        <v>88</v>
      </c>
      <c r="B90" s="13" t="s">
        <v>340</v>
      </c>
      <c r="C90" s="13" t="s">
        <v>1837</v>
      </c>
      <c r="D90" s="13" t="s">
        <v>1834</v>
      </c>
      <c r="E90" s="13" t="s">
        <v>1858</v>
      </c>
      <c r="F90" s="13" t="s">
        <v>953</v>
      </c>
      <c r="G90" s="13" t="s">
        <v>60</v>
      </c>
      <c r="H90" s="13" t="s">
        <v>60</v>
      </c>
      <c r="I90" s="13" t="s">
        <v>953</v>
      </c>
      <c r="J90" s="13" t="s">
        <v>953</v>
      </c>
      <c r="K90" s="13" t="s">
        <v>953</v>
      </c>
      <c r="L90" s="13" t="s">
        <v>1859</v>
      </c>
    </row>
    <row r="91" spans="1:12" ht="60" x14ac:dyDescent="0.25">
      <c r="A91" s="13">
        <v>89</v>
      </c>
      <c r="B91" s="13" t="s">
        <v>343</v>
      </c>
      <c r="C91" s="13" t="s">
        <v>1838</v>
      </c>
      <c r="D91" s="13" t="s">
        <v>1839</v>
      </c>
      <c r="E91" s="13" t="s">
        <v>1858</v>
      </c>
      <c r="F91" s="13" t="s">
        <v>953</v>
      </c>
      <c r="G91" s="13" t="s">
        <v>60</v>
      </c>
      <c r="H91" s="13" t="s">
        <v>60</v>
      </c>
      <c r="I91" s="13" t="s">
        <v>953</v>
      </c>
      <c r="J91" s="13" t="s">
        <v>953</v>
      </c>
      <c r="K91" s="13" t="s">
        <v>953</v>
      </c>
      <c r="L91" s="13" t="s">
        <v>1859</v>
      </c>
    </row>
    <row r="92" spans="1:12" ht="75" x14ac:dyDescent="0.25">
      <c r="A92" s="13">
        <v>90</v>
      </c>
      <c r="B92" s="13" t="s">
        <v>346</v>
      </c>
      <c r="C92" s="13" t="s">
        <v>1840</v>
      </c>
      <c r="D92" s="13" t="s">
        <v>1841</v>
      </c>
      <c r="E92" s="13" t="s">
        <v>1858</v>
      </c>
      <c r="F92" s="13" t="s">
        <v>953</v>
      </c>
      <c r="G92" s="13" t="s">
        <v>60</v>
      </c>
      <c r="H92" s="13" t="s">
        <v>60</v>
      </c>
      <c r="I92" s="13" t="s">
        <v>953</v>
      </c>
      <c r="J92" s="13" t="s">
        <v>953</v>
      </c>
      <c r="K92" s="13" t="s">
        <v>953</v>
      </c>
      <c r="L92" s="13" t="s">
        <v>1859</v>
      </c>
    </row>
    <row r="93" spans="1:12" ht="75" x14ac:dyDescent="0.25">
      <c r="A93" s="13">
        <v>91</v>
      </c>
      <c r="B93" s="13" t="s">
        <v>349</v>
      </c>
      <c r="C93" s="13" t="s">
        <v>1844</v>
      </c>
      <c r="D93" s="13" t="s">
        <v>1845</v>
      </c>
      <c r="E93" s="13" t="s">
        <v>1858</v>
      </c>
      <c r="F93" s="13" t="s">
        <v>953</v>
      </c>
      <c r="G93" s="13" t="s">
        <v>60</v>
      </c>
      <c r="H93" s="13" t="s">
        <v>60</v>
      </c>
      <c r="I93" s="13" t="s">
        <v>953</v>
      </c>
      <c r="J93" s="13" t="s">
        <v>953</v>
      </c>
      <c r="K93" s="13" t="s">
        <v>953</v>
      </c>
      <c r="L93" s="13" t="s">
        <v>1859</v>
      </c>
    </row>
    <row r="94" spans="1:12" ht="75" x14ac:dyDescent="0.25">
      <c r="A94" s="13">
        <v>92</v>
      </c>
      <c r="B94" s="13" t="s">
        <v>352</v>
      </c>
      <c r="C94" s="13" t="s">
        <v>1847</v>
      </c>
      <c r="D94" s="13" t="s">
        <v>1848</v>
      </c>
      <c r="E94" s="13" t="s">
        <v>1858</v>
      </c>
      <c r="F94" s="13" t="s">
        <v>953</v>
      </c>
      <c r="G94" s="13" t="s">
        <v>60</v>
      </c>
      <c r="H94" s="13" t="s">
        <v>60</v>
      </c>
      <c r="I94" s="13" t="s">
        <v>953</v>
      </c>
      <c r="J94" s="13" t="s">
        <v>953</v>
      </c>
      <c r="K94" s="13" t="s">
        <v>953</v>
      </c>
      <c r="L94" s="13" t="s">
        <v>1859</v>
      </c>
    </row>
    <row r="95" spans="1:12" ht="90" x14ac:dyDescent="0.25">
      <c r="A95" s="13">
        <v>93</v>
      </c>
      <c r="B95" s="13" t="s">
        <v>354</v>
      </c>
      <c r="C95" s="13" t="s">
        <v>1849</v>
      </c>
      <c r="D95" s="13" t="s">
        <v>1850</v>
      </c>
      <c r="E95" s="13" t="s">
        <v>1858</v>
      </c>
      <c r="F95" s="13" t="s">
        <v>953</v>
      </c>
      <c r="G95" s="13" t="s">
        <v>60</v>
      </c>
      <c r="H95" s="13" t="s">
        <v>60</v>
      </c>
      <c r="I95" s="13" t="s">
        <v>953</v>
      </c>
      <c r="J95" s="13" t="s">
        <v>953</v>
      </c>
      <c r="K95" s="13" t="s">
        <v>953</v>
      </c>
      <c r="L95" s="13" t="s">
        <v>1859</v>
      </c>
    </row>
    <row r="96" spans="1:12" ht="90" x14ac:dyDescent="0.25">
      <c r="A96" s="13">
        <v>94</v>
      </c>
      <c r="B96" s="13" t="s">
        <v>356</v>
      </c>
      <c r="C96" s="13" t="s">
        <v>1851</v>
      </c>
      <c r="D96" s="13" t="s">
        <v>1852</v>
      </c>
      <c r="E96" s="13" t="s">
        <v>1858</v>
      </c>
      <c r="F96" s="13" t="s">
        <v>953</v>
      </c>
      <c r="G96" s="13" t="s">
        <v>60</v>
      </c>
      <c r="H96" s="13" t="s">
        <v>60</v>
      </c>
      <c r="I96" s="13" t="s">
        <v>953</v>
      </c>
      <c r="J96" s="13" t="s">
        <v>953</v>
      </c>
      <c r="K96" s="13" t="s">
        <v>953</v>
      </c>
      <c r="L96" s="13" t="s">
        <v>1859</v>
      </c>
    </row>
    <row r="97" spans="1:12" x14ac:dyDescent="0.25">
      <c r="A97">
        <v>95</v>
      </c>
      <c r="B97" t="s">
        <v>1855</v>
      </c>
      <c r="C97" t="s">
        <v>1860</v>
      </c>
      <c r="D97" t="s">
        <v>55</v>
      </c>
      <c r="E97" t="s">
        <v>55</v>
      </c>
      <c r="F97" t="s">
        <v>55</v>
      </c>
      <c r="G97" t="s">
        <v>55</v>
      </c>
      <c r="H97" t="s">
        <v>55</v>
      </c>
      <c r="I97" t="s">
        <v>55</v>
      </c>
      <c r="J97" t="s">
        <v>55</v>
      </c>
      <c r="K97" t="s">
        <v>55</v>
      </c>
      <c r="L97" t="s">
        <v>1857</v>
      </c>
    </row>
    <row r="98" spans="1:12" x14ac:dyDescent="0.25">
      <c r="A98">
        <v>96</v>
      </c>
    </row>
    <row r="99" spans="1:12" x14ac:dyDescent="0.25">
      <c r="A99">
        <v>97</v>
      </c>
    </row>
    <row r="100" spans="1:12" x14ac:dyDescent="0.25">
      <c r="A100">
        <v>98</v>
      </c>
    </row>
    <row r="101" spans="1:12" x14ac:dyDescent="0.25">
      <c r="A101">
        <v>99</v>
      </c>
    </row>
    <row r="102" spans="1:12" x14ac:dyDescent="0.25">
      <c r="A102">
        <v>100</v>
      </c>
    </row>
    <row r="103" spans="1:12" x14ac:dyDescent="0.25">
      <c r="A103">
        <v>101</v>
      </c>
    </row>
    <row r="104" spans="1:12" x14ac:dyDescent="0.25">
      <c r="A104">
        <v>102</v>
      </c>
    </row>
    <row r="105" spans="1:12" x14ac:dyDescent="0.25">
      <c r="A105">
        <v>103</v>
      </c>
    </row>
    <row r="106" spans="1:12" x14ac:dyDescent="0.25">
      <c r="A106">
        <v>104</v>
      </c>
    </row>
    <row r="107" spans="1:12" x14ac:dyDescent="0.25">
      <c r="A107">
        <v>105</v>
      </c>
    </row>
    <row r="108" spans="1:12" x14ac:dyDescent="0.25">
      <c r="A108">
        <v>106</v>
      </c>
    </row>
    <row r="109" spans="1:12" x14ac:dyDescent="0.25">
      <c r="A109">
        <v>107</v>
      </c>
    </row>
    <row r="110" spans="1:12" x14ac:dyDescent="0.25">
      <c r="A110">
        <v>108</v>
      </c>
    </row>
    <row r="111" spans="1:12" x14ac:dyDescent="0.25">
      <c r="A111">
        <v>109</v>
      </c>
    </row>
    <row r="112" spans="1:12" x14ac:dyDescent="0.25">
      <c r="A112">
        <v>110</v>
      </c>
    </row>
    <row r="113" spans="1:1" x14ac:dyDescent="0.25">
      <c r="A113">
        <v>111</v>
      </c>
    </row>
    <row r="114" spans="1:1" x14ac:dyDescent="0.25">
      <c r="A114">
        <v>112</v>
      </c>
    </row>
    <row r="115" spans="1:1" x14ac:dyDescent="0.25">
      <c r="A115">
        <v>113</v>
      </c>
    </row>
    <row r="116" spans="1:1" x14ac:dyDescent="0.25">
      <c r="A116">
        <v>114</v>
      </c>
    </row>
    <row r="117" spans="1:1" x14ac:dyDescent="0.25">
      <c r="A117">
        <v>115</v>
      </c>
    </row>
    <row r="118" spans="1:1" x14ac:dyDescent="0.25">
      <c r="A118">
        <v>116</v>
      </c>
    </row>
    <row r="119" spans="1:1" x14ac:dyDescent="0.25">
      <c r="A119">
        <v>117</v>
      </c>
    </row>
    <row r="120" spans="1:1" x14ac:dyDescent="0.25">
      <c r="A120">
        <v>118</v>
      </c>
    </row>
    <row r="121" spans="1:1" x14ac:dyDescent="0.25">
      <c r="A121">
        <v>119</v>
      </c>
    </row>
    <row r="122" spans="1:1" x14ac:dyDescent="0.25">
      <c r="A122">
        <v>120</v>
      </c>
    </row>
    <row r="123" spans="1:1" x14ac:dyDescent="0.25">
      <c r="A123">
        <v>121</v>
      </c>
    </row>
    <row r="124" spans="1:1" x14ac:dyDescent="0.25">
      <c r="A124">
        <v>122</v>
      </c>
    </row>
    <row r="125" spans="1:1" x14ac:dyDescent="0.25">
      <c r="A125">
        <v>123</v>
      </c>
    </row>
    <row r="126" spans="1:1" x14ac:dyDescent="0.25">
      <c r="A126">
        <v>124</v>
      </c>
    </row>
    <row r="127" spans="1:1" x14ac:dyDescent="0.25">
      <c r="A127">
        <v>125</v>
      </c>
    </row>
    <row r="128" spans="1:1" x14ac:dyDescent="0.25">
      <c r="A128">
        <v>126</v>
      </c>
    </row>
    <row r="129" spans="1:1" x14ac:dyDescent="0.25">
      <c r="A129">
        <v>127</v>
      </c>
    </row>
    <row r="130" spans="1:1" x14ac:dyDescent="0.25">
      <c r="A130">
        <v>128</v>
      </c>
    </row>
    <row r="131" spans="1:1" x14ac:dyDescent="0.25">
      <c r="A131">
        <v>129</v>
      </c>
    </row>
    <row r="132" spans="1:1" x14ac:dyDescent="0.25">
      <c r="A132">
        <v>130</v>
      </c>
    </row>
    <row r="133" spans="1:1" x14ac:dyDescent="0.25">
      <c r="A133">
        <v>131</v>
      </c>
    </row>
    <row r="134" spans="1:1" x14ac:dyDescent="0.25">
      <c r="A134">
        <v>132</v>
      </c>
    </row>
    <row r="135" spans="1:1" x14ac:dyDescent="0.25">
      <c r="A135">
        <v>133</v>
      </c>
    </row>
    <row r="136" spans="1:1" x14ac:dyDescent="0.25">
      <c r="A136">
        <v>134</v>
      </c>
    </row>
    <row r="137" spans="1:1" x14ac:dyDescent="0.25">
      <c r="A137">
        <v>135</v>
      </c>
    </row>
    <row r="138" spans="1:1" x14ac:dyDescent="0.25">
      <c r="A138">
        <v>136</v>
      </c>
    </row>
    <row r="139" spans="1:1" x14ac:dyDescent="0.25">
      <c r="A139">
        <v>137</v>
      </c>
    </row>
    <row r="140" spans="1:1" x14ac:dyDescent="0.25">
      <c r="A140">
        <v>138</v>
      </c>
    </row>
    <row r="141" spans="1:1" x14ac:dyDescent="0.25">
      <c r="A141">
        <v>139</v>
      </c>
    </row>
    <row r="142" spans="1:1" x14ac:dyDescent="0.25">
      <c r="A142">
        <v>140</v>
      </c>
    </row>
    <row r="143" spans="1:1" x14ac:dyDescent="0.25">
      <c r="A143">
        <v>141</v>
      </c>
    </row>
    <row r="144" spans="1:1" x14ac:dyDescent="0.25">
      <c r="A144">
        <v>142</v>
      </c>
    </row>
    <row r="145" spans="1:1" x14ac:dyDescent="0.25">
      <c r="A145">
        <v>143</v>
      </c>
    </row>
    <row r="146" spans="1:1" x14ac:dyDescent="0.25">
      <c r="A146">
        <v>144</v>
      </c>
    </row>
    <row r="147" spans="1:1" x14ac:dyDescent="0.25">
      <c r="A147">
        <v>145</v>
      </c>
    </row>
    <row r="148" spans="1:1" x14ac:dyDescent="0.25">
      <c r="A148">
        <v>146</v>
      </c>
    </row>
    <row r="149" spans="1:1" x14ac:dyDescent="0.25">
      <c r="A149">
        <v>147</v>
      </c>
    </row>
    <row r="150" spans="1:1" x14ac:dyDescent="0.25">
      <c r="A150">
        <v>148</v>
      </c>
    </row>
    <row r="151" spans="1:1" x14ac:dyDescent="0.25">
      <c r="A151">
        <v>149</v>
      </c>
    </row>
    <row r="152" spans="1:1" x14ac:dyDescent="0.25">
      <c r="A152">
        <v>150</v>
      </c>
    </row>
    <row r="153" spans="1:1" x14ac:dyDescent="0.25">
      <c r="A153">
        <v>151</v>
      </c>
    </row>
    <row r="154" spans="1:1" x14ac:dyDescent="0.25">
      <c r="A154">
        <v>152</v>
      </c>
    </row>
    <row r="155" spans="1:1" x14ac:dyDescent="0.25">
      <c r="A155">
        <v>153</v>
      </c>
    </row>
    <row r="156" spans="1:1" x14ac:dyDescent="0.25">
      <c r="A156">
        <v>154</v>
      </c>
    </row>
    <row r="157" spans="1:1" x14ac:dyDescent="0.25">
      <c r="A157">
        <v>155</v>
      </c>
    </row>
    <row r="158" spans="1:1" x14ac:dyDescent="0.25">
      <c r="A158">
        <v>156</v>
      </c>
    </row>
    <row r="159" spans="1:1" x14ac:dyDescent="0.25">
      <c r="A159">
        <v>157</v>
      </c>
    </row>
    <row r="160" spans="1:1" x14ac:dyDescent="0.25">
      <c r="A160">
        <v>158</v>
      </c>
    </row>
    <row r="161" spans="1:1" x14ac:dyDescent="0.25">
      <c r="A161">
        <v>159</v>
      </c>
    </row>
    <row r="162" spans="1:1" x14ac:dyDescent="0.25">
      <c r="A162">
        <v>160</v>
      </c>
    </row>
    <row r="163" spans="1:1" x14ac:dyDescent="0.25">
      <c r="A163">
        <v>161</v>
      </c>
    </row>
    <row r="164" spans="1:1" x14ac:dyDescent="0.25">
      <c r="A164">
        <v>162</v>
      </c>
    </row>
    <row r="165" spans="1:1" x14ac:dyDescent="0.25">
      <c r="A165">
        <v>163</v>
      </c>
    </row>
    <row r="166" spans="1:1" x14ac:dyDescent="0.25">
      <c r="A166">
        <v>164</v>
      </c>
    </row>
    <row r="167" spans="1:1" x14ac:dyDescent="0.25">
      <c r="A167">
        <v>165</v>
      </c>
    </row>
    <row r="168" spans="1:1" x14ac:dyDescent="0.25">
      <c r="A168">
        <v>166</v>
      </c>
    </row>
    <row r="169" spans="1:1" x14ac:dyDescent="0.25">
      <c r="A169">
        <v>167</v>
      </c>
    </row>
    <row r="170" spans="1:1" x14ac:dyDescent="0.25">
      <c r="A170">
        <v>168</v>
      </c>
    </row>
    <row r="171" spans="1:1" x14ac:dyDescent="0.25">
      <c r="A171">
        <v>169</v>
      </c>
    </row>
    <row r="172" spans="1:1" x14ac:dyDescent="0.25">
      <c r="A172">
        <v>170</v>
      </c>
    </row>
    <row r="173" spans="1:1" x14ac:dyDescent="0.25">
      <c r="A173">
        <v>171</v>
      </c>
    </row>
    <row r="174" spans="1:1" x14ac:dyDescent="0.25">
      <c r="A174">
        <v>172</v>
      </c>
    </row>
    <row r="175" spans="1:1" x14ac:dyDescent="0.25">
      <c r="A175">
        <v>173</v>
      </c>
    </row>
    <row r="176" spans="1:1" x14ac:dyDescent="0.25">
      <c r="A176">
        <v>174</v>
      </c>
    </row>
    <row r="177" spans="1:1" x14ac:dyDescent="0.25">
      <c r="A177">
        <v>175</v>
      </c>
    </row>
    <row r="178" spans="1:1" x14ac:dyDescent="0.25">
      <c r="A178">
        <v>176</v>
      </c>
    </row>
    <row r="179" spans="1:1" x14ac:dyDescent="0.25">
      <c r="A179">
        <v>177</v>
      </c>
    </row>
    <row r="180" spans="1:1" x14ac:dyDescent="0.25">
      <c r="A180">
        <v>178</v>
      </c>
    </row>
    <row r="181" spans="1:1" x14ac:dyDescent="0.25">
      <c r="A181">
        <v>179</v>
      </c>
    </row>
    <row r="182" spans="1:1" x14ac:dyDescent="0.25">
      <c r="A182">
        <v>180</v>
      </c>
    </row>
    <row r="183" spans="1:1" x14ac:dyDescent="0.25">
      <c r="A183">
        <v>181</v>
      </c>
    </row>
    <row r="184" spans="1:1" x14ac:dyDescent="0.25">
      <c r="A184">
        <v>182</v>
      </c>
    </row>
    <row r="185" spans="1:1" x14ac:dyDescent="0.25">
      <c r="A185">
        <v>183</v>
      </c>
    </row>
    <row r="186" spans="1:1" x14ac:dyDescent="0.25">
      <c r="A186">
        <v>184</v>
      </c>
    </row>
    <row r="187" spans="1:1" x14ac:dyDescent="0.25">
      <c r="A187">
        <v>185</v>
      </c>
    </row>
    <row r="188" spans="1:1" x14ac:dyDescent="0.25">
      <c r="A188">
        <v>186</v>
      </c>
    </row>
    <row r="189" spans="1:1" x14ac:dyDescent="0.25">
      <c r="A189">
        <v>187</v>
      </c>
    </row>
    <row r="190" spans="1:1" x14ac:dyDescent="0.25">
      <c r="A190">
        <v>188</v>
      </c>
    </row>
    <row r="191" spans="1:1" x14ac:dyDescent="0.25">
      <c r="A191">
        <v>189</v>
      </c>
    </row>
    <row r="192" spans="1:1" x14ac:dyDescent="0.25">
      <c r="A192">
        <v>190</v>
      </c>
    </row>
    <row r="193" spans="1:1" x14ac:dyDescent="0.25">
      <c r="A193">
        <v>191</v>
      </c>
    </row>
    <row r="194" spans="1:1" x14ac:dyDescent="0.25">
      <c r="A194">
        <v>192</v>
      </c>
    </row>
    <row r="195" spans="1:1" x14ac:dyDescent="0.25">
      <c r="A195">
        <v>193</v>
      </c>
    </row>
    <row r="196" spans="1:1" x14ac:dyDescent="0.25">
      <c r="A196">
        <v>194</v>
      </c>
    </row>
    <row r="197" spans="1:1" x14ac:dyDescent="0.25">
      <c r="A197">
        <v>195</v>
      </c>
    </row>
    <row r="198" spans="1:1" x14ac:dyDescent="0.25">
      <c r="A198">
        <v>196</v>
      </c>
    </row>
    <row r="199" spans="1:1" x14ac:dyDescent="0.25">
      <c r="A199">
        <v>197</v>
      </c>
    </row>
    <row r="200" spans="1:1" x14ac:dyDescent="0.25">
      <c r="A200">
        <v>198</v>
      </c>
    </row>
    <row r="201" spans="1:1" x14ac:dyDescent="0.25">
      <c r="A201">
        <v>199</v>
      </c>
    </row>
    <row r="202" spans="1:1" x14ac:dyDescent="0.25">
      <c r="A202">
        <v>200</v>
      </c>
    </row>
    <row r="203" spans="1:1" x14ac:dyDescent="0.25">
      <c r="A203">
        <v>201</v>
      </c>
    </row>
    <row r="204" spans="1:1" x14ac:dyDescent="0.25">
      <c r="A204">
        <v>202</v>
      </c>
    </row>
    <row r="205" spans="1:1" x14ac:dyDescent="0.25">
      <c r="A205">
        <v>203</v>
      </c>
    </row>
    <row r="206" spans="1:1" x14ac:dyDescent="0.25">
      <c r="A206">
        <v>204</v>
      </c>
    </row>
    <row r="207" spans="1:1" x14ac:dyDescent="0.25">
      <c r="A207">
        <v>205</v>
      </c>
    </row>
    <row r="208" spans="1:1" x14ac:dyDescent="0.25">
      <c r="A208">
        <v>206</v>
      </c>
    </row>
    <row r="209" spans="1:1" x14ac:dyDescent="0.25">
      <c r="A209">
        <v>207</v>
      </c>
    </row>
    <row r="210" spans="1:1" x14ac:dyDescent="0.25">
      <c r="A210">
        <v>208</v>
      </c>
    </row>
    <row r="211" spans="1:1" x14ac:dyDescent="0.25">
      <c r="A211">
        <v>209</v>
      </c>
    </row>
    <row r="212" spans="1:1" x14ac:dyDescent="0.25">
      <c r="A212">
        <v>210</v>
      </c>
    </row>
    <row r="213" spans="1:1" x14ac:dyDescent="0.25">
      <c r="A213">
        <v>211</v>
      </c>
    </row>
    <row r="214" spans="1:1" x14ac:dyDescent="0.25">
      <c r="A214">
        <v>212</v>
      </c>
    </row>
    <row r="215" spans="1:1" x14ac:dyDescent="0.25">
      <c r="A215">
        <v>213</v>
      </c>
    </row>
    <row r="216" spans="1:1" x14ac:dyDescent="0.25">
      <c r="A216">
        <v>214</v>
      </c>
    </row>
    <row r="217" spans="1:1" x14ac:dyDescent="0.25">
      <c r="A217">
        <v>215</v>
      </c>
    </row>
    <row r="218" spans="1:1" x14ac:dyDescent="0.25">
      <c r="A218">
        <v>216</v>
      </c>
    </row>
    <row r="219" spans="1:1" x14ac:dyDescent="0.25">
      <c r="A219">
        <v>217</v>
      </c>
    </row>
    <row r="220" spans="1:1" x14ac:dyDescent="0.25">
      <c r="A220">
        <v>218</v>
      </c>
    </row>
    <row r="221" spans="1:1" x14ac:dyDescent="0.25">
      <c r="A221">
        <v>219</v>
      </c>
    </row>
    <row r="222" spans="1:1" x14ac:dyDescent="0.25">
      <c r="A222">
        <v>220</v>
      </c>
    </row>
    <row r="223" spans="1:1" x14ac:dyDescent="0.25">
      <c r="A223">
        <v>221</v>
      </c>
    </row>
    <row r="224" spans="1:1" x14ac:dyDescent="0.25">
      <c r="A224">
        <v>222</v>
      </c>
    </row>
    <row r="225" spans="1:1" x14ac:dyDescent="0.25">
      <c r="A225">
        <v>223</v>
      </c>
    </row>
    <row r="226" spans="1:1" x14ac:dyDescent="0.25">
      <c r="A226">
        <v>224</v>
      </c>
    </row>
    <row r="227" spans="1:1" x14ac:dyDescent="0.25">
      <c r="A227">
        <v>225</v>
      </c>
    </row>
    <row r="228" spans="1:1" x14ac:dyDescent="0.25">
      <c r="A228">
        <v>226</v>
      </c>
    </row>
    <row r="229" spans="1:1" x14ac:dyDescent="0.25">
      <c r="A229">
        <v>227</v>
      </c>
    </row>
    <row r="230" spans="1:1" x14ac:dyDescent="0.25">
      <c r="A230">
        <v>228</v>
      </c>
    </row>
    <row r="231" spans="1:1" x14ac:dyDescent="0.25">
      <c r="A231">
        <v>229</v>
      </c>
    </row>
    <row r="232" spans="1:1" x14ac:dyDescent="0.25">
      <c r="A232">
        <v>230</v>
      </c>
    </row>
    <row r="233" spans="1:1" x14ac:dyDescent="0.25">
      <c r="A233">
        <v>231</v>
      </c>
    </row>
    <row r="234" spans="1:1" x14ac:dyDescent="0.25">
      <c r="A234">
        <v>232</v>
      </c>
    </row>
    <row r="235" spans="1:1" x14ac:dyDescent="0.25">
      <c r="A235">
        <v>233</v>
      </c>
    </row>
    <row r="236" spans="1:1" x14ac:dyDescent="0.25">
      <c r="A236">
        <v>234</v>
      </c>
    </row>
    <row r="237" spans="1:1" x14ac:dyDescent="0.25">
      <c r="A237">
        <v>235</v>
      </c>
    </row>
    <row r="238" spans="1:1" x14ac:dyDescent="0.25">
      <c r="A238">
        <v>236</v>
      </c>
    </row>
    <row r="239" spans="1:1" x14ac:dyDescent="0.25">
      <c r="A239">
        <v>237</v>
      </c>
    </row>
    <row r="240" spans="1:1" x14ac:dyDescent="0.25">
      <c r="A240">
        <v>238</v>
      </c>
    </row>
    <row r="241" spans="1:1" x14ac:dyDescent="0.25">
      <c r="A241">
        <v>239</v>
      </c>
    </row>
    <row r="242" spans="1:1" x14ac:dyDescent="0.25">
      <c r="A242">
        <v>240</v>
      </c>
    </row>
    <row r="243" spans="1:1" x14ac:dyDescent="0.25">
      <c r="A243">
        <v>241</v>
      </c>
    </row>
    <row r="244" spans="1:1" x14ac:dyDescent="0.25">
      <c r="A244">
        <v>242</v>
      </c>
    </row>
    <row r="245" spans="1:1" x14ac:dyDescent="0.25">
      <c r="A245">
        <v>243</v>
      </c>
    </row>
    <row r="246" spans="1:1" x14ac:dyDescent="0.25">
      <c r="A246">
        <v>244</v>
      </c>
    </row>
    <row r="247" spans="1:1" x14ac:dyDescent="0.25">
      <c r="A247">
        <v>245</v>
      </c>
    </row>
    <row r="248" spans="1:1" x14ac:dyDescent="0.25">
      <c r="A248">
        <v>246</v>
      </c>
    </row>
    <row r="249" spans="1:1" x14ac:dyDescent="0.25">
      <c r="A249">
        <v>247</v>
      </c>
    </row>
    <row r="250" spans="1:1" x14ac:dyDescent="0.25">
      <c r="A250">
        <v>248</v>
      </c>
    </row>
    <row r="251" spans="1:1" x14ac:dyDescent="0.25">
      <c r="A251">
        <v>249</v>
      </c>
    </row>
    <row r="252" spans="1:1" x14ac:dyDescent="0.25">
      <c r="A252">
        <v>250</v>
      </c>
    </row>
    <row r="253" spans="1:1" x14ac:dyDescent="0.25">
      <c r="A253">
        <v>251</v>
      </c>
    </row>
    <row r="254" spans="1:1" x14ac:dyDescent="0.25">
      <c r="A254">
        <v>252</v>
      </c>
    </row>
    <row r="255" spans="1:1" x14ac:dyDescent="0.25">
      <c r="A255">
        <v>253</v>
      </c>
    </row>
    <row r="256" spans="1:1" x14ac:dyDescent="0.25">
      <c r="A256">
        <v>254</v>
      </c>
    </row>
    <row r="257" spans="1:1" x14ac:dyDescent="0.25">
      <c r="A257">
        <v>255</v>
      </c>
    </row>
    <row r="258" spans="1:1" x14ac:dyDescent="0.25">
      <c r="A258">
        <v>256</v>
      </c>
    </row>
    <row r="259" spans="1:1" x14ac:dyDescent="0.25">
      <c r="A259">
        <v>257</v>
      </c>
    </row>
    <row r="260" spans="1:1" x14ac:dyDescent="0.25">
      <c r="A260">
        <v>258</v>
      </c>
    </row>
    <row r="261" spans="1:1" x14ac:dyDescent="0.25">
      <c r="A261">
        <v>259</v>
      </c>
    </row>
    <row r="262" spans="1:1" x14ac:dyDescent="0.25">
      <c r="A262">
        <v>260</v>
      </c>
    </row>
    <row r="263" spans="1:1" x14ac:dyDescent="0.25">
      <c r="A263">
        <v>261</v>
      </c>
    </row>
    <row r="264" spans="1:1" x14ac:dyDescent="0.25">
      <c r="A264">
        <v>262</v>
      </c>
    </row>
    <row r="265" spans="1:1" x14ac:dyDescent="0.25">
      <c r="A265">
        <v>263</v>
      </c>
    </row>
    <row r="266" spans="1:1" x14ac:dyDescent="0.25">
      <c r="A266">
        <v>264</v>
      </c>
    </row>
    <row r="267" spans="1:1" x14ac:dyDescent="0.25">
      <c r="A267">
        <v>265</v>
      </c>
    </row>
    <row r="268" spans="1:1" x14ac:dyDescent="0.25">
      <c r="A268">
        <v>266</v>
      </c>
    </row>
    <row r="269" spans="1:1" x14ac:dyDescent="0.25">
      <c r="A269">
        <v>267</v>
      </c>
    </row>
    <row r="270" spans="1:1" x14ac:dyDescent="0.25">
      <c r="A270">
        <v>268</v>
      </c>
    </row>
    <row r="271" spans="1:1" x14ac:dyDescent="0.25">
      <c r="A271">
        <v>269</v>
      </c>
    </row>
    <row r="272" spans="1:1" x14ac:dyDescent="0.25">
      <c r="A272">
        <v>270</v>
      </c>
    </row>
    <row r="273" spans="1:1" x14ac:dyDescent="0.25">
      <c r="A273">
        <v>271</v>
      </c>
    </row>
    <row r="274" spans="1:1" x14ac:dyDescent="0.25">
      <c r="A274">
        <v>272</v>
      </c>
    </row>
    <row r="275" spans="1:1" x14ac:dyDescent="0.25">
      <c r="A275">
        <v>273</v>
      </c>
    </row>
    <row r="276" spans="1:1" x14ac:dyDescent="0.25">
      <c r="A276">
        <v>274</v>
      </c>
    </row>
    <row r="277" spans="1:1" x14ac:dyDescent="0.25">
      <c r="A277">
        <v>275</v>
      </c>
    </row>
    <row r="278" spans="1:1" x14ac:dyDescent="0.25">
      <c r="A278">
        <v>276</v>
      </c>
    </row>
    <row r="279" spans="1:1" x14ac:dyDescent="0.25">
      <c r="A279">
        <v>277</v>
      </c>
    </row>
    <row r="280" spans="1:1" x14ac:dyDescent="0.25">
      <c r="A280">
        <v>278</v>
      </c>
    </row>
    <row r="281" spans="1:1" x14ac:dyDescent="0.25">
      <c r="A281">
        <v>279</v>
      </c>
    </row>
    <row r="282" spans="1:1" x14ac:dyDescent="0.25">
      <c r="A282">
        <v>280</v>
      </c>
    </row>
    <row r="283" spans="1:1" x14ac:dyDescent="0.25">
      <c r="A283">
        <v>281</v>
      </c>
    </row>
    <row r="284" spans="1:1" x14ac:dyDescent="0.25">
      <c r="A284">
        <v>282</v>
      </c>
    </row>
    <row r="285" spans="1:1" x14ac:dyDescent="0.25">
      <c r="A285">
        <v>283</v>
      </c>
    </row>
    <row r="286" spans="1:1" x14ac:dyDescent="0.25">
      <c r="A286">
        <v>284</v>
      </c>
    </row>
    <row r="287" spans="1:1" x14ac:dyDescent="0.25">
      <c r="A287">
        <v>285</v>
      </c>
    </row>
    <row r="288" spans="1:1" x14ac:dyDescent="0.25">
      <c r="A288">
        <v>286</v>
      </c>
    </row>
    <row r="289" spans="1:1" x14ac:dyDescent="0.25">
      <c r="A289">
        <v>287</v>
      </c>
    </row>
    <row r="290" spans="1:1" x14ac:dyDescent="0.25">
      <c r="A290">
        <v>288</v>
      </c>
    </row>
    <row r="291" spans="1:1" x14ac:dyDescent="0.25">
      <c r="A291">
        <v>289</v>
      </c>
    </row>
    <row r="292" spans="1:1" x14ac:dyDescent="0.25">
      <c r="A292">
        <v>290</v>
      </c>
    </row>
    <row r="293" spans="1:1" x14ac:dyDescent="0.25">
      <c r="A293">
        <v>291</v>
      </c>
    </row>
    <row r="294" spans="1:1" x14ac:dyDescent="0.25">
      <c r="A294">
        <v>292</v>
      </c>
    </row>
    <row r="295" spans="1:1" x14ac:dyDescent="0.25">
      <c r="A295">
        <v>293</v>
      </c>
    </row>
    <row r="296" spans="1:1" x14ac:dyDescent="0.25">
      <c r="A296">
        <v>294</v>
      </c>
    </row>
    <row r="297" spans="1:1" x14ac:dyDescent="0.25">
      <c r="A297">
        <v>295</v>
      </c>
    </row>
    <row r="298" spans="1:1" x14ac:dyDescent="0.25">
      <c r="A298">
        <v>296</v>
      </c>
    </row>
    <row r="299" spans="1:1" x14ac:dyDescent="0.25">
      <c r="A299">
        <v>297</v>
      </c>
    </row>
    <row r="300" spans="1:1" x14ac:dyDescent="0.25">
      <c r="A300">
        <v>298</v>
      </c>
    </row>
    <row r="301" spans="1:1" x14ac:dyDescent="0.25">
      <c r="A301">
        <v>299</v>
      </c>
    </row>
    <row r="302" spans="1:1" x14ac:dyDescent="0.25">
      <c r="A302">
        <v>300</v>
      </c>
    </row>
  </sheetData>
  <mergeCells count="1">
    <mergeCell ref="A1:L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K4"/>
  <sheetViews>
    <sheetView tabSelected="1" workbookViewId="0">
      <selection activeCell="B21" sqref="B21"/>
    </sheetView>
  </sheetViews>
  <sheetFormatPr defaultRowHeight="15" x14ac:dyDescent="0.25"/>
  <cols>
    <col min="1" max="1" width="11" customWidth="1"/>
    <col min="2" max="2" width="48" customWidth="1"/>
    <col min="3" max="4" width="28" customWidth="1"/>
    <col min="5" max="5" width="14" customWidth="1"/>
    <col min="6" max="6" width="32" customWidth="1"/>
    <col min="7" max="7" width="20" customWidth="1"/>
    <col min="8" max="8" width="58" customWidth="1"/>
    <col min="9" max="9" width="20" customWidth="1"/>
    <col min="10" max="10" width="58" customWidth="1"/>
    <col min="11" max="11" width="18" customWidth="1"/>
  </cols>
  <sheetData>
    <row r="1" spans="1:11" ht="18.75" x14ac:dyDescent="0.3">
      <c r="A1" s="15" t="s">
        <v>865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s="25" customFormat="1" ht="15.75" x14ac:dyDescent="0.25"/>
    <row r="3" spans="1:11" ht="30" x14ac:dyDescent="0.25">
      <c r="A3" s="3" t="s">
        <v>65</v>
      </c>
      <c r="B3" s="3" t="s">
        <v>866</v>
      </c>
      <c r="C3" s="3" t="s">
        <v>867</v>
      </c>
      <c r="D3" s="3" t="s">
        <v>868</v>
      </c>
      <c r="E3" s="3" t="s">
        <v>869</v>
      </c>
      <c r="F3" s="3" t="s">
        <v>870</v>
      </c>
      <c r="G3" s="3" t="s">
        <v>871</v>
      </c>
      <c r="H3" s="3" t="s">
        <v>872</v>
      </c>
      <c r="I3" s="3" t="s">
        <v>873</v>
      </c>
      <c r="J3" s="3" t="s">
        <v>874</v>
      </c>
      <c r="K3" s="3" t="s">
        <v>875</v>
      </c>
    </row>
    <row r="4" spans="1:11" ht="30" x14ac:dyDescent="0.25">
      <c r="A4" s="13" t="s">
        <v>1861</v>
      </c>
      <c r="B4" s="13" t="s">
        <v>1862</v>
      </c>
      <c r="C4" s="13" t="s">
        <v>1863</v>
      </c>
      <c r="D4" s="13" t="s">
        <v>1864</v>
      </c>
      <c r="E4" s="13" t="s">
        <v>1865</v>
      </c>
      <c r="F4" s="13" t="s">
        <v>60</v>
      </c>
      <c r="G4" s="13" t="s">
        <v>42</v>
      </c>
      <c r="H4" s="13" t="s">
        <v>1866</v>
      </c>
      <c r="I4" s="13" t="s">
        <v>42</v>
      </c>
      <c r="J4" s="13" t="s">
        <v>1867</v>
      </c>
      <c r="K4" s="13" t="s">
        <v>1868</v>
      </c>
    </row>
  </sheetData>
  <mergeCells count="1">
    <mergeCell ref="A1:K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U112"/>
  <sheetViews>
    <sheetView tabSelected="1" workbookViewId="0">
      <selection activeCell="B21" sqref="B21"/>
    </sheetView>
  </sheetViews>
  <sheetFormatPr defaultRowHeight="15" x14ac:dyDescent="0.25"/>
  <cols>
    <col min="1" max="1" width="10" customWidth="1"/>
    <col min="2" max="2" width="60" customWidth="1"/>
    <col min="3" max="3" width="28" customWidth="1"/>
    <col min="4" max="4" width="34" customWidth="1"/>
    <col min="5" max="5" width="48" customWidth="1"/>
    <col min="6" max="6" width="18" customWidth="1"/>
    <col min="7" max="7" width="58" customWidth="1"/>
    <col min="8" max="8" width="52" customWidth="1"/>
    <col min="9" max="11" width="50" customWidth="1"/>
    <col min="12" max="12" width="64" customWidth="1"/>
    <col min="13" max="19" width="18" customWidth="1"/>
    <col min="20" max="20" width="34" customWidth="1"/>
    <col min="21" max="21" width="80" customWidth="1"/>
  </cols>
  <sheetData>
    <row r="1" spans="1:21" ht="18.75" x14ac:dyDescent="0.3">
      <c r="A1" s="15" t="s">
        <v>876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25" customFormat="1" ht="15.75" x14ac:dyDescent="0.25"/>
    <row r="3" spans="1:21" x14ac:dyDescent="0.25">
      <c r="A3" s="3" t="s">
        <v>877</v>
      </c>
      <c r="B3" s="3" t="s">
        <v>878</v>
      </c>
      <c r="C3" s="3" t="s">
        <v>879</v>
      </c>
      <c r="D3" s="3" t="s">
        <v>880</v>
      </c>
      <c r="E3" s="3" t="s">
        <v>881</v>
      </c>
      <c r="F3" s="3" t="s">
        <v>882</v>
      </c>
    </row>
    <row r="4" spans="1:21" x14ac:dyDescent="0.25">
      <c r="A4" t="s">
        <v>1869</v>
      </c>
      <c r="B4" t="s">
        <v>1870</v>
      </c>
      <c r="C4" t="s">
        <v>1871</v>
      </c>
      <c r="D4" t="s">
        <v>1872</v>
      </c>
      <c r="E4" t="s">
        <v>42</v>
      </c>
      <c r="F4" t="s">
        <v>1873</v>
      </c>
    </row>
    <row r="5" spans="1:21" x14ac:dyDescent="0.25">
      <c r="A5" t="s">
        <v>1874</v>
      </c>
      <c r="B5" t="s">
        <v>1875</v>
      </c>
      <c r="C5" t="s">
        <v>1871</v>
      </c>
      <c r="D5" t="s">
        <v>1876</v>
      </c>
      <c r="E5" t="s">
        <v>42</v>
      </c>
      <c r="F5" t="s">
        <v>1873</v>
      </c>
    </row>
    <row r="6" spans="1:21" x14ac:dyDescent="0.25">
      <c r="A6" t="s">
        <v>1877</v>
      </c>
      <c r="B6" t="s">
        <v>1878</v>
      </c>
      <c r="C6" t="s">
        <v>1871</v>
      </c>
      <c r="D6" t="s">
        <v>1879</v>
      </c>
      <c r="E6" t="s">
        <v>42</v>
      </c>
      <c r="F6" t="s">
        <v>1873</v>
      </c>
    </row>
    <row r="7" spans="1:21" x14ac:dyDescent="0.25">
      <c r="A7" t="s">
        <v>1880</v>
      </c>
      <c r="B7" t="s">
        <v>1881</v>
      </c>
      <c r="C7" t="s">
        <v>1871</v>
      </c>
      <c r="D7" t="s">
        <v>1882</v>
      </c>
      <c r="E7" t="s">
        <v>42</v>
      </c>
      <c r="F7" t="s">
        <v>1873</v>
      </c>
    </row>
    <row r="8" spans="1:21" x14ac:dyDescent="0.25">
      <c r="A8" t="s">
        <v>1883</v>
      </c>
      <c r="B8" t="s">
        <v>1884</v>
      </c>
      <c r="C8" t="s">
        <v>1871</v>
      </c>
      <c r="D8" t="s">
        <v>1885</v>
      </c>
      <c r="E8" t="s">
        <v>42</v>
      </c>
      <c r="F8" t="s">
        <v>1873</v>
      </c>
    </row>
    <row r="9" spans="1:21" x14ac:dyDescent="0.25">
      <c r="A9" t="s">
        <v>1886</v>
      </c>
      <c r="B9" t="s">
        <v>1887</v>
      </c>
      <c r="C9" t="s">
        <v>1888</v>
      </c>
      <c r="D9" t="s">
        <v>1889</v>
      </c>
      <c r="E9" t="s">
        <v>42</v>
      </c>
      <c r="F9" t="s">
        <v>1873</v>
      </c>
    </row>
    <row r="12" spans="1:21" ht="30" x14ac:dyDescent="0.25">
      <c r="A12" s="3" t="s">
        <v>883</v>
      </c>
      <c r="B12" s="3" t="s">
        <v>884</v>
      </c>
      <c r="C12" s="3" t="s">
        <v>885</v>
      </c>
      <c r="D12" s="3" t="s">
        <v>886</v>
      </c>
      <c r="E12" s="3" t="s">
        <v>887</v>
      </c>
      <c r="F12" s="3" t="s">
        <v>888</v>
      </c>
      <c r="G12" s="3" t="s">
        <v>889</v>
      </c>
      <c r="H12" s="3" t="s">
        <v>890</v>
      </c>
      <c r="I12" s="3" t="s">
        <v>891</v>
      </c>
      <c r="J12" s="3" t="s">
        <v>892</v>
      </c>
      <c r="K12" s="3" t="s">
        <v>893</v>
      </c>
      <c r="L12" s="3" t="s">
        <v>894</v>
      </c>
      <c r="M12" s="3" t="s">
        <v>895</v>
      </c>
      <c r="N12" s="3" t="s">
        <v>896</v>
      </c>
      <c r="O12" s="3" t="s">
        <v>897</v>
      </c>
      <c r="P12" s="3" t="s">
        <v>898</v>
      </c>
      <c r="Q12" s="3" t="s">
        <v>899</v>
      </c>
      <c r="R12" s="3" t="s">
        <v>900</v>
      </c>
      <c r="S12" s="3" t="s">
        <v>901</v>
      </c>
      <c r="T12" s="3" t="s">
        <v>902</v>
      </c>
      <c r="U12" s="3" t="s">
        <v>903</v>
      </c>
    </row>
    <row r="13" spans="1:21" ht="54" x14ac:dyDescent="0.25">
      <c r="A13" s="2" t="s">
        <v>1890</v>
      </c>
      <c r="B13" s="2" t="s">
        <v>1891</v>
      </c>
      <c r="C13" s="2" t="s">
        <v>1892</v>
      </c>
      <c r="D13" s="2" t="s">
        <v>1893</v>
      </c>
      <c r="E13" s="2" t="s">
        <v>1894</v>
      </c>
      <c r="F13" s="2">
        <v>15</v>
      </c>
      <c r="G13" s="2" t="s">
        <v>1895</v>
      </c>
      <c r="H13" s="2" t="s">
        <v>1896</v>
      </c>
      <c r="I13" s="2" t="s">
        <v>1897</v>
      </c>
      <c r="J13" s="2" t="s">
        <v>1898</v>
      </c>
      <c r="K13" s="2" t="s">
        <v>1899</v>
      </c>
      <c r="L13" s="2" t="s">
        <v>1900</v>
      </c>
      <c r="M13" s="2" t="s">
        <v>1901</v>
      </c>
      <c r="N13" s="2" t="s">
        <v>1901</v>
      </c>
      <c r="O13" s="2" t="s">
        <v>1901</v>
      </c>
      <c r="P13" s="2" t="s">
        <v>1901</v>
      </c>
      <c r="Q13" s="2" t="s">
        <v>1901</v>
      </c>
      <c r="R13" s="2" t="s">
        <v>1901</v>
      </c>
      <c r="S13" s="2">
        <f t="shared" ref="S13:S44" si="0">COUNTIF(M13:R13,"Yes")</f>
        <v>0</v>
      </c>
      <c r="T13" s="2" t="s">
        <v>1902</v>
      </c>
      <c r="U13" s="2" t="s">
        <v>1903</v>
      </c>
    </row>
    <row r="14" spans="1:21" ht="27" x14ac:dyDescent="0.25">
      <c r="A14" s="2" t="s">
        <v>1904</v>
      </c>
      <c r="B14" s="2" t="s">
        <v>1905</v>
      </c>
      <c r="C14" s="2" t="s">
        <v>1906</v>
      </c>
      <c r="D14" s="2" t="s">
        <v>1907</v>
      </c>
      <c r="E14" s="2" t="s">
        <v>1908</v>
      </c>
      <c r="F14" s="2">
        <v>9</v>
      </c>
      <c r="G14" s="2" t="s">
        <v>1909</v>
      </c>
      <c r="H14" s="2" t="s">
        <v>1910</v>
      </c>
      <c r="I14" s="2" t="s">
        <v>1911</v>
      </c>
      <c r="J14" s="2" t="s">
        <v>1912</v>
      </c>
      <c r="K14" s="2" t="s">
        <v>1913</v>
      </c>
      <c r="L14" s="2" t="s">
        <v>1914</v>
      </c>
      <c r="M14" s="2" t="s">
        <v>1901</v>
      </c>
      <c r="N14" s="2" t="s">
        <v>1901</v>
      </c>
      <c r="O14" s="2" t="s">
        <v>1901</v>
      </c>
      <c r="P14" s="2" t="s">
        <v>1901</v>
      </c>
      <c r="Q14" s="2" t="s">
        <v>1901</v>
      </c>
      <c r="R14" s="2" t="s">
        <v>1901</v>
      </c>
      <c r="S14" s="2">
        <f t="shared" si="0"/>
        <v>0</v>
      </c>
      <c r="T14" s="2" t="s">
        <v>1902</v>
      </c>
      <c r="U14" s="2" t="s">
        <v>1915</v>
      </c>
    </row>
    <row r="15" spans="1:21" ht="54" x14ac:dyDescent="0.25">
      <c r="A15" s="2" t="s">
        <v>1916</v>
      </c>
      <c r="B15" s="2" t="s">
        <v>1917</v>
      </c>
      <c r="C15" s="2" t="s">
        <v>1918</v>
      </c>
      <c r="D15" s="2" t="s">
        <v>1919</v>
      </c>
      <c r="E15" s="2" t="s">
        <v>1920</v>
      </c>
      <c r="F15" s="2">
        <v>22</v>
      </c>
      <c r="G15" s="2" t="s">
        <v>1921</v>
      </c>
      <c r="H15" s="2" t="s">
        <v>1922</v>
      </c>
      <c r="I15" s="2" t="s">
        <v>1923</v>
      </c>
      <c r="J15" s="2" t="s">
        <v>1924</v>
      </c>
      <c r="K15" s="2" t="s">
        <v>1925</v>
      </c>
      <c r="L15" s="2" t="s">
        <v>1926</v>
      </c>
      <c r="M15" s="2" t="s">
        <v>1901</v>
      </c>
      <c r="N15" s="2" t="s">
        <v>1901</v>
      </c>
      <c r="O15" s="2" t="s">
        <v>1901</v>
      </c>
      <c r="P15" s="2" t="s">
        <v>1901</v>
      </c>
      <c r="Q15" s="2" t="s">
        <v>1901</v>
      </c>
      <c r="R15" s="2" t="s">
        <v>1901</v>
      </c>
      <c r="S15" s="2">
        <f t="shared" si="0"/>
        <v>0</v>
      </c>
      <c r="T15" s="2" t="s">
        <v>1902</v>
      </c>
      <c r="U15" s="2" t="s">
        <v>1927</v>
      </c>
    </row>
    <row r="16" spans="1:21" ht="40.5" x14ac:dyDescent="0.25">
      <c r="A16" s="2" t="s">
        <v>1928</v>
      </c>
      <c r="B16" s="2" t="s">
        <v>1929</v>
      </c>
      <c r="C16" s="2" t="s">
        <v>1341</v>
      </c>
      <c r="D16" s="2" t="s">
        <v>1930</v>
      </c>
      <c r="E16" s="2" t="s">
        <v>1931</v>
      </c>
      <c r="F16" s="2">
        <v>21</v>
      </c>
      <c r="G16" s="2" t="s">
        <v>1932</v>
      </c>
      <c r="H16" s="2" t="s">
        <v>1933</v>
      </c>
      <c r="I16" s="2" t="s">
        <v>1934</v>
      </c>
      <c r="J16" s="2" t="s">
        <v>1935</v>
      </c>
      <c r="K16" s="2" t="s">
        <v>1936</v>
      </c>
      <c r="L16" s="2" t="s">
        <v>1937</v>
      </c>
      <c r="M16" s="2" t="s">
        <v>1901</v>
      </c>
      <c r="N16" s="2" t="s">
        <v>1901</v>
      </c>
      <c r="O16" s="2" t="s">
        <v>1901</v>
      </c>
      <c r="P16" s="2" t="s">
        <v>1901</v>
      </c>
      <c r="Q16" s="2" t="s">
        <v>1901</v>
      </c>
      <c r="R16" s="2" t="s">
        <v>1901</v>
      </c>
      <c r="S16" s="2">
        <f t="shared" si="0"/>
        <v>0</v>
      </c>
      <c r="T16" s="2" t="s">
        <v>1902</v>
      </c>
      <c r="U16" s="2" t="s">
        <v>1938</v>
      </c>
    </row>
    <row r="17" spans="1:21" ht="54" x14ac:dyDescent="0.25">
      <c r="A17" s="2" t="s">
        <v>1939</v>
      </c>
      <c r="B17" s="2" t="s">
        <v>1940</v>
      </c>
      <c r="C17" s="2" t="s">
        <v>1941</v>
      </c>
      <c r="D17" s="2" t="s">
        <v>1942</v>
      </c>
      <c r="E17" s="2" t="s">
        <v>1943</v>
      </c>
      <c r="F17" s="2">
        <v>31</v>
      </c>
      <c r="G17" s="2" t="s">
        <v>1944</v>
      </c>
      <c r="H17" s="2" t="s">
        <v>1945</v>
      </c>
      <c r="I17" s="2" t="s">
        <v>1946</v>
      </c>
      <c r="J17" s="2" t="s">
        <v>1947</v>
      </c>
      <c r="K17" s="2" t="s">
        <v>1948</v>
      </c>
      <c r="L17" s="2" t="s">
        <v>1949</v>
      </c>
      <c r="M17" s="2" t="s">
        <v>1901</v>
      </c>
      <c r="N17" s="2" t="s">
        <v>1901</v>
      </c>
      <c r="O17" s="2" t="s">
        <v>1901</v>
      </c>
      <c r="P17" s="2" t="s">
        <v>1901</v>
      </c>
      <c r="Q17" s="2" t="s">
        <v>1901</v>
      </c>
      <c r="R17" s="2" t="s">
        <v>1901</v>
      </c>
      <c r="S17" s="2">
        <f t="shared" si="0"/>
        <v>0</v>
      </c>
      <c r="T17" s="2" t="s">
        <v>1902</v>
      </c>
      <c r="U17" s="2" t="s">
        <v>1950</v>
      </c>
    </row>
    <row r="18" spans="1:21" ht="54" x14ac:dyDescent="0.25">
      <c r="A18" s="2" t="s">
        <v>1951</v>
      </c>
      <c r="B18" s="2" t="s">
        <v>1952</v>
      </c>
      <c r="C18" s="2" t="s">
        <v>1953</v>
      </c>
      <c r="D18" s="2" t="s">
        <v>978</v>
      </c>
      <c r="E18" s="2" t="s">
        <v>1954</v>
      </c>
      <c r="F18" s="2">
        <v>8</v>
      </c>
      <c r="G18" s="2" t="s">
        <v>1955</v>
      </c>
      <c r="H18" s="2" t="s">
        <v>1956</v>
      </c>
      <c r="I18" s="2" t="s">
        <v>1957</v>
      </c>
      <c r="J18" s="2" t="s">
        <v>1958</v>
      </c>
      <c r="K18" s="2" t="s">
        <v>1959</v>
      </c>
      <c r="L18" s="2" t="s">
        <v>1960</v>
      </c>
      <c r="M18" s="2" t="s">
        <v>1901</v>
      </c>
      <c r="N18" s="2" t="s">
        <v>1901</v>
      </c>
      <c r="O18" s="2" t="s">
        <v>1901</v>
      </c>
      <c r="P18" s="2" t="s">
        <v>1901</v>
      </c>
      <c r="Q18" s="2" t="s">
        <v>1901</v>
      </c>
      <c r="R18" s="2" t="s">
        <v>1901</v>
      </c>
      <c r="S18" s="2">
        <f t="shared" si="0"/>
        <v>0</v>
      </c>
      <c r="T18" s="2" t="s">
        <v>1902</v>
      </c>
      <c r="U18" s="2" t="s">
        <v>1961</v>
      </c>
    </row>
    <row r="19" spans="1:21" ht="54" x14ac:dyDescent="0.25">
      <c r="A19" s="2" t="s">
        <v>1962</v>
      </c>
      <c r="B19" s="2" t="s">
        <v>1963</v>
      </c>
      <c r="C19" s="2" t="s">
        <v>1892</v>
      </c>
      <c r="D19" s="2" t="s">
        <v>1964</v>
      </c>
      <c r="E19" s="2" t="s">
        <v>1965</v>
      </c>
      <c r="F19" s="2">
        <v>6</v>
      </c>
      <c r="G19" s="2" t="s">
        <v>1966</v>
      </c>
      <c r="H19" s="2" t="s">
        <v>1967</v>
      </c>
      <c r="I19" s="2" t="s">
        <v>1968</v>
      </c>
      <c r="J19" s="2" t="s">
        <v>1969</v>
      </c>
      <c r="K19" s="2" t="s">
        <v>1970</v>
      </c>
      <c r="L19" s="2" t="s">
        <v>1971</v>
      </c>
      <c r="M19" s="2" t="s">
        <v>1901</v>
      </c>
      <c r="N19" s="2" t="s">
        <v>1901</v>
      </c>
      <c r="O19" s="2" t="s">
        <v>1901</v>
      </c>
      <c r="P19" s="2" t="s">
        <v>1901</v>
      </c>
      <c r="Q19" s="2" t="s">
        <v>1901</v>
      </c>
      <c r="R19" s="2" t="s">
        <v>1901</v>
      </c>
      <c r="S19" s="2">
        <f t="shared" si="0"/>
        <v>0</v>
      </c>
      <c r="T19" s="2" t="s">
        <v>1902</v>
      </c>
      <c r="U19" s="2" t="s">
        <v>1972</v>
      </c>
    </row>
    <row r="20" spans="1:21" ht="27" x14ac:dyDescent="0.25">
      <c r="A20" s="2" t="s">
        <v>1973</v>
      </c>
      <c r="B20" s="2" t="s">
        <v>1974</v>
      </c>
      <c r="C20" s="2" t="s">
        <v>962</v>
      </c>
      <c r="D20" s="2" t="s">
        <v>962</v>
      </c>
      <c r="E20" s="2" t="s">
        <v>962</v>
      </c>
      <c r="F20" s="2">
        <v>0</v>
      </c>
      <c r="G20" s="2" t="s">
        <v>1975</v>
      </c>
      <c r="H20" s="2" t="s">
        <v>1976</v>
      </c>
      <c r="I20" s="2" t="s">
        <v>1977</v>
      </c>
      <c r="J20" s="2" t="s">
        <v>1978</v>
      </c>
      <c r="K20" s="2" t="s">
        <v>1979</v>
      </c>
      <c r="L20" s="2" t="s">
        <v>1980</v>
      </c>
      <c r="M20" s="2" t="s">
        <v>1901</v>
      </c>
      <c r="N20" s="2" t="s">
        <v>1901</v>
      </c>
      <c r="O20" s="2" t="s">
        <v>1901</v>
      </c>
      <c r="P20" s="2" t="s">
        <v>1901</v>
      </c>
      <c r="Q20" s="2" t="s">
        <v>1901</v>
      </c>
      <c r="R20" s="2" t="s">
        <v>1901</v>
      </c>
      <c r="S20" s="2">
        <f t="shared" si="0"/>
        <v>0</v>
      </c>
      <c r="T20" s="2" t="s">
        <v>1902</v>
      </c>
      <c r="U20" s="2" t="s">
        <v>1981</v>
      </c>
    </row>
    <row r="21" spans="1:21" ht="54" x14ac:dyDescent="0.25">
      <c r="A21" s="2" t="s">
        <v>1982</v>
      </c>
      <c r="B21" s="2" t="s">
        <v>1983</v>
      </c>
      <c r="C21" s="2" t="s">
        <v>1953</v>
      </c>
      <c r="D21" s="2" t="s">
        <v>1984</v>
      </c>
      <c r="E21" s="2" t="s">
        <v>1985</v>
      </c>
      <c r="F21" s="2">
        <v>7</v>
      </c>
      <c r="G21" s="2" t="s">
        <v>1986</v>
      </c>
      <c r="H21" s="2" t="s">
        <v>1987</v>
      </c>
      <c r="I21" s="2" t="s">
        <v>1988</v>
      </c>
      <c r="J21" s="2" t="s">
        <v>1989</v>
      </c>
      <c r="K21" s="2" t="s">
        <v>1990</v>
      </c>
      <c r="L21" s="2" t="s">
        <v>1991</v>
      </c>
      <c r="M21" s="2" t="s">
        <v>1901</v>
      </c>
      <c r="N21" s="2" t="s">
        <v>1901</v>
      </c>
      <c r="O21" s="2" t="s">
        <v>1901</v>
      </c>
      <c r="P21" s="2" t="s">
        <v>1901</v>
      </c>
      <c r="Q21" s="2" t="s">
        <v>1901</v>
      </c>
      <c r="R21" s="2" t="s">
        <v>1901</v>
      </c>
      <c r="S21" s="2">
        <f t="shared" si="0"/>
        <v>0</v>
      </c>
      <c r="T21" s="2" t="s">
        <v>1902</v>
      </c>
      <c r="U21" s="2" t="s">
        <v>1992</v>
      </c>
    </row>
    <row r="22" spans="1:21" ht="27" x14ac:dyDescent="0.25">
      <c r="A22" s="2" t="s">
        <v>1993</v>
      </c>
      <c r="B22" s="2" t="s">
        <v>1994</v>
      </c>
      <c r="C22" s="2" t="s">
        <v>1203</v>
      </c>
      <c r="D22" s="2" t="s">
        <v>1995</v>
      </c>
      <c r="E22" s="2" t="s">
        <v>1996</v>
      </c>
      <c r="F22" s="2">
        <v>8</v>
      </c>
      <c r="G22" s="2" t="s">
        <v>1955</v>
      </c>
      <c r="H22" s="2" t="s">
        <v>1997</v>
      </c>
      <c r="I22" s="2" t="s">
        <v>1998</v>
      </c>
      <c r="J22" s="2" t="s">
        <v>1999</v>
      </c>
      <c r="K22" s="2" t="s">
        <v>1959</v>
      </c>
      <c r="L22" s="2" t="s">
        <v>2000</v>
      </c>
      <c r="M22" s="2" t="s">
        <v>1901</v>
      </c>
      <c r="N22" s="2" t="s">
        <v>1901</v>
      </c>
      <c r="O22" s="2" t="s">
        <v>1901</v>
      </c>
      <c r="P22" s="2" t="s">
        <v>1901</v>
      </c>
      <c r="Q22" s="2" t="s">
        <v>1901</v>
      </c>
      <c r="R22" s="2" t="s">
        <v>1901</v>
      </c>
      <c r="S22" s="2">
        <f t="shared" si="0"/>
        <v>0</v>
      </c>
      <c r="T22" s="2" t="s">
        <v>1902</v>
      </c>
      <c r="U22" s="2" t="s">
        <v>2001</v>
      </c>
    </row>
    <row r="23" spans="1:21" x14ac:dyDescent="0.25">
      <c r="A23" s="2" t="s">
        <v>2002</v>
      </c>
      <c r="B23" s="2" t="s">
        <v>2003</v>
      </c>
      <c r="C23" s="2" t="s">
        <v>55</v>
      </c>
      <c r="D23" s="2" t="s">
        <v>55</v>
      </c>
      <c r="E23" s="2" t="s">
        <v>55</v>
      </c>
      <c r="F23" s="2">
        <v>0</v>
      </c>
      <c r="G23" s="2" t="s">
        <v>55</v>
      </c>
      <c r="H23" s="2" t="s">
        <v>55</v>
      </c>
      <c r="I23" s="2" t="s">
        <v>55</v>
      </c>
      <c r="J23" s="2" t="s">
        <v>55</v>
      </c>
      <c r="K23" s="2" t="s">
        <v>55</v>
      </c>
      <c r="L23" s="2" t="s">
        <v>55</v>
      </c>
      <c r="M23" s="2" t="s">
        <v>55</v>
      </c>
      <c r="N23" s="2" t="s">
        <v>55</v>
      </c>
      <c r="O23" s="2" t="s">
        <v>55</v>
      </c>
      <c r="P23" s="2" t="s">
        <v>55</v>
      </c>
      <c r="Q23" s="2" t="s">
        <v>55</v>
      </c>
      <c r="R23" s="2" t="s">
        <v>55</v>
      </c>
      <c r="S23" s="2">
        <f t="shared" si="0"/>
        <v>0</v>
      </c>
      <c r="T23" s="2" t="s">
        <v>2004</v>
      </c>
      <c r="U23" s="2" t="s">
        <v>2005</v>
      </c>
    </row>
    <row r="24" spans="1:21" x14ac:dyDescent="0.25">
      <c r="A24" s="2" t="s">
        <v>2006</v>
      </c>
      <c r="B24" s="2" t="s">
        <v>2003</v>
      </c>
      <c r="C24" s="2" t="s">
        <v>55</v>
      </c>
      <c r="D24" s="2" t="s">
        <v>55</v>
      </c>
      <c r="E24" s="2" t="s">
        <v>55</v>
      </c>
      <c r="F24" s="2">
        <v>0</v>
      </c>
      <c r="G24" s="2" t="s">
        <v>55</v>
      </c>
      <c r="H24" s="2" t="s">
        <v>55</v>
      </c>
      <c r="I24" s="2" t="s">
        <v>55</v>
      </c>
      <c r="J24" s="2" t="s">
        <v>55</v>
      </c>
      <c r="K24" s="2" t="s">
        <v>55</v>
      </c>
      <c r="L24" s="2" t="s">
        <v>55</v>
      </c>
      <c r="M24" s="2" t="s">
        <v>55</v>
      </c>
      <c r="N24" s="2" t="s">
        <v>55</v>
      </c>
      <c r="O24" s="2" t="s">
        <v>55</v>
      </c>
      <c r="P24" s="2" t="s">
        <v>55</v>
      </c>
      <c r="Q24" s="2" t="s">
        <v>55</v>
      </c>
      <c r="R24" s="2" t="s">
        <v>55</v>
      </c>
      <c r="S24" s="2">
        <f t="shared" si="0"/>
        <v>0</v>
      </c>
      <c r="T24" s="2" t="s">
        <v>2004</v>
      </c>
      <c r="U24" s="2" t="s">
        <v>2005</v>
      </c>
    </row>
    <row r="25" spans="1:21" x14ac:dyDescent="0.25">
      <c r="A25" s="2" t="s">
        <v>2007</v>
      </c>
      <c r="B25" s="2" t="s">
        <v>2003</v>
      </c>
      <c r="C25" s="2" t="s">
        <v>55</v>
      </c>
      <c r="D25" s="2" t="s">
        <v>55</v>
      </c>
      <c r="E25" s="2" t="s">
        <v>55</v>
      </c>
      <c r="F25" s="2">
        <v>0</v>
      </c>
      <c r="G25" s="2" t="s">
        <v>55</v>
      </c>
      <c r="H25" s="2" t="s">
        <v>55</v>
      </c>
      <c r="I25" s="2" t="s">
        <v>55</v>
      </c>
      <c r="J25" s="2" t="s">
        <v>55</v>
      </c>
      <c r="K25" s="2" t="s">
        <v>55</v>
      </c>
      <c r="L25" s="2" t="s">
        <v>55</v>
      </c>
      <c r="M25" s="2" t="s">
        <v>55</v>
      </c>
      <c r="N25" s="2" t="s">
        <v>55</v>
      </c>
      <c r="O25" s="2" t="s">
        <v>55</v>
      </c>
      <c r="P25" s="2" t="s">
        <v>55</v>
      </c>
      <c r="Q25" s="2" t="s">
        <v>55</v>
      </c>
      <c r="R25" s="2" t="s">
        <v>55</v>
      </c>
      <c r="S25" s="2">
        <f t="shared" si="0"/>
        <v>0</v>
      </c>
      <c r="T25" s="2" t="s">
        <v>2004</v>
      </c>
      <c r="U25" s="2" t="s">
        <v>2005</v>
      </c>
    </row>
    <row r="26" spans="1:21" x14ac:dyDescent="0.25">
      <c r="A26" s="2" t="s">
        <v>2008</v>
      </c>
      <c r="B26" s="2" t="s">
        <v>2003</v>
      </c>
      <c r="C26" s="2" t="s">
        <v>55</v>
      </c>
      <c r="D26" s="2" t="s">
        <v>55</v>
      </c>
      <c r="E26" s="2" t="s">
        <v>55</v>
      </c>
      <c r="F26" s="2">
        <v>0</v>
      </c>
      <c r="G26" s="2" t="s">
        <v>55</v>
      </c>
      <c r="H26" s="2" t="s">
        <v>55</v>
      </c>
      <c r="I26" s="2" t="s">
        <v>55</v>
      </c>
      <c r="J26" s="2" t="s">
        <v>55</v>
      </c>
      <c r="K26" s="2" t="s">
        <v>55</v>
      </c>
      <c r="L26" s="2" t="s">
        <v>55</v>
      </c>
      <c r="M26" s="2" t="s">
        <v>55</v>
      </c>
      <c r="N26" s="2" t="s">
        <v>55</v>
      </c>
      <c r="O26" s="2" t="s">
        <v>55</v>
      </c>
      <c r="P26" s="2" t="s">
        <v>55</v>
      </c>
      <c r="Q26" s="2" t="s">
        <v>55</v>
      </c>
      <c r="R26" s="2" t="s">
        <v>55</v>
      </c>
      <c r="S26" s="2">
        <f t="shared" si="0"/>
        <v>0</v>
      </c>
      <c r="T26" s="2" t="s">
        <v>2004</v>
      </c>
      <c r="U26" s="2" t="s">
        <v>2005</v>
      </c>
    </row>
    <row r="27" spans="1:21" x14ac:dyDescent="0.25">
      <c r="A27" s="2" t="s">
        <v>2009</v>
      </c>
      <c r="B27" s="2" t="s">
        <v>2003</v>
      </c>
      <c r="C27" s="2" t="s">
        <v>55</v>
      </c>
      <c r="D27" s="2" t="s">
        <v>55</v>
      </c>
      <c r="E27" s="2" t="s">
        <v>55</v>
      </c>
      <c r="F27" s="2">
        <v>0</v>
      </c>
      <c r="G27" s="2" t="s">
        <v>55</v>
      </c>
      <c r="H27" s="2" t="s">
        <v>55</v>
      </c>
      <c r="I27" s="2" t="s">
        <v>55</v>
      </c>
      <c r="J27" s="2" t="s">
        <v>55</v>
      </c>
      <c r="K27" s="2" t="s">
        <v>55</v>
      </c>
      <c r="L27" s="2" t="s">
        <v>55</v>
      </c>
      <c r="M27" s="2" t="s">
        <v>55</v>
      </c>
      <c r="N27" s="2" t="s">
        <v>55</v>
      </c>
      <c r="O27" s="2" t="s">
        <v>55</v>
      </c>
      <c r="P27" s="2" t="s">
        <v>55</v>
      </c>
      <c r="Q27" s="2" t="s">
        <v>55</v>
      </c>
      <c r="R27" s="2" t="s">
        <v>55</v>
      </c>
      <c r="S27" s="2">
        <f t="shared" si="0"/>
        <v>0</v>
      </c>
      <c r="T27" s="2" t="s">
        <v>2004</v>
      </c>
      <c r="U27" s="2" t="s">
        <v>2005</v>
      </c>
    </row>
    <row r="28" spans="1:21" x14ac:dyDescent="0.25">
      <c r="A28" s="2" t="s">
        <v>2010</v>
      </c>
      <c r="B28" s="2" t="s">
        <v>2003</v>
      </c>
      <c r="C28" s="2" t="s">
        <v>55</v>
      </c>
      <c r="D28" s="2" t="s">
        <v>55</v>
      </c>
      <c r="E28" s="2" t="s">
        <v>55</v>
      </c>
      <c r="F28" s="2">
        <v>0</v>
      </c>
      <c r="G28" s="2" t="s">
        <v>55</v>
      </c>
      <c r="H28" s="2" t="s">
        <v>55</v>
      </c>
      <c r="I28" s="2" t="s">
        <v>55</v>
      </c>
      <c r="J28" s="2" t="s">
        <v>55</v>
      </c>
      <c r="K28" s="2" t="s">
        <v>55</v>
      </c>
      <c r="L28" s="2" t="s">
        <v>55</v>
      </c>
      <c r="M28" s="2" t="s">
        <v>55</v>
      </c>
      <c r="N28" s="2" t="s">
        <v>55</v>
      </c>
      <c r="O28" s="2" t="s">
        <v>55</v>
      </c>
      <c r="P28" s="2" t="s">
        <v>55</v>
      </c>
      <c r="Q28" s="2" t="s">
        <v>55</v>
      </c>
      <c r="R28" s="2" t="s">
        <v>55</v>
      </c>
      <c r="S28" s="2">
        <f t="shared" si="0"/>
        <v>0</v>
      </c>
      <c r="T28" s="2" t="s">
        <v>2004</v>
      </c>
      <c r="U28" s="2" t="s">
        <v>2005</v>
      </c>
    </row>
    <row r="29" spans="1:21" x14ac:dyDescent="0.25">
      <c r="A29" s="2" t="s">
        <v>2011</v>
      </c>
      <c r="B29" s="2" t="s">
        <v>2003</v>
      </c>
      <c r="C29" s="2" t="s">
        <v>55</v>
      </c>
      <c r="D29" s="2" t="s">
        <v>55</v>
      </c>
      <c r="E29" s="2" t="s">
        <v>55</v>
      </c>
      <c r="F29" s="2">
        <v>0</v>
      </c>
      <c r="G29" s="2" t="s">
        <v>55</v>
      </c>
      <c r="H29" s="2" t="s">
        <v>55</v>
      </c>
      <c r="I29" s="2" t="s">
        <v>55</v>
      </c>
      <c r="J29" s="2" t="s">
        <v>55</v>
      </c>
      <c r="K29" s="2" t="s">
        <v>55</v>
      </c>
      <c r="L29" s="2" t="s">
        <v>55</v>
      </c>
      <c r="M29" s="2" t="s">
        <v>55</v>
      </c>
      <c r="N29" s="2" t="s">
        <v>55</v>
      </c>
      <c r="O29" s="2" t="s">
        <v>55</v>
      </c>
      <c r="P29" s="2" t="s">
        <v>55</v>
      </c>
      <c r="Q29" s="2" t="s">
        <v>55</v>
      </c>
      <c r="R29" s="2" t="s">
        <v>55</v>
      </c>
      <c r="S29" s="2">
        <f t="shared" si="0"/>
        <v>0</v>
      </c>
      <c r="T29" s="2" t="s">
        <v>2004</v>
      </c>
      <c r="U29" s="2" t="s">
        <v>2005</v>
      </c>
    </row>
    <row r="30" spans="1:21" x14ac:dyDescent="0.25">
      <c r="A30" s="2" t="s">
        <v>2012</v>
      </c>
      <c r="B30" s="2" t="s">
        <v>2003</v>
      </c>
      <c r="C30" s="2" t="s">
        <v>55</v>
      </c>
      <c r="D30" s="2" t="s">
        <v>55</v>
      </c>
      <c r="E30" s="2" t="s">
        <v>55</v>
      </c>
      <c r="F30" s="2">
        <v>0</v>
      </c>
      <c r="G30" s="2" t="s">
        <v>55</v>
      </c>
      <c r="H30" s="2" t="s">
        <v>55</v>
      </c>
      <c r="I30" s="2" t="s">
        <v>55</v>
      </c>
      <c r="J30" s="2" t="s">
        <v>55</v>
      </c>
      <c r="K30" s="2" t="s">
        <v>55</v>
      </c>
      <c r="L30" s="2" t="s">
        <v>55</v>
      </c>
      <c r="M30" s="2" t="s">
        <v>55</v>
      </c>
      <c r="N30" s="2" t="s">
        <v>55</v>
      </c>
      <c r="O30" s="2" t="s">
        <v>55</v>
      </c>
      <c r="P30" s="2" t="s">
        <v>55</v>
      </c>
      <c r="Q30" s="2" t="s">
        <v>55</v>
      </c>
      <c r="R30" s="2" t="s">
        <v>55</v>
      </c>
      <c r="S30" s="2">
        <f t="shared" si="0"/>
        <v>0</v>
      </c>
      <c r="T30" s="2" t="s">
        <v>2004</v>
      </c>
      <c r="U30" s="2" t="s">
        <v>2005</v>
      </c>
    </row>
    <row r="31" spans="1:21" x14ac:dyDescent="0.25">
      <c r="A31" s="2" t="s">
        <v>2013</v>
      </c>
      <c r="B31" s="2" t="s">
        <v>2003</v>
      </c>
      <c r="C31" s="2" t="s">
        <v>55</v>
      </c>
      <c r="D31" s="2" t="s">
        <v>55</v>
      </c>
      <c r="E31" s="2" t="s">
        <v>55</v>
      </c>
      <c r="F31" s="2">
        <v>0</v>
      </c>
      <c r="G31" s="2" t="s">
        <v>55</v>
      </c>
      <c r="H31" s="2" t="s">
        <v>55</v>
      </c>
      <c r="I31" s="2" t="s">
        <v>55</v>
      </c>
      <c r="J31" s="2" t="s">
        <v>55</v>
      </c>
      <c r="K31" s="2" t="s">
        <v>55</v>
      </c>
      <c r="L31" s="2" t="s">
        <v>55</v>
      </c>
      <c r="M31" s="2" t="s">
        <v>55</v>
      </c>
      <c r="N31" s="2" t="s">
        <v>55</v>
      </c>
      <c r="O31" s="2" t="s">
        <v>55</v>
      </c>
      <c r="P31" s="2" t="s">
        <v>55</v>
      </c>
      <c r="Q31" s="2" t="s">
        <v>55</v>
      </c>
      <c r="R31" s="2" t="s">
        <v>55</v>
      </c>
      <c r="S31" s="2">
        <f t="shared" si="0"/>
        <v>0</v>
      </c>
      <c r="T31" s="2" t="s">
        <v>2004</v>
      </c>
      <c r="U31" s="2" t="s">
        <v>2005</v>
      </c>
    </row>
    <row r="32" spans="1:21" x14ac:dyDescent="0.25">
      <c r="A32" s="2" t="s">
        <v>2014</v>
      </c>
      <c r="B32" s="2" t="s">
        <v>2003</v>
      </c>
      <c r="C32" s="2" t="s">
        <v>55</v>
      </c>
      <c r="D32" s="2" t="s">
        <v>55</v>
      </c>
      <c r="E32" s="2" t="s">
        <v>55</v>
      </c>
      <c r="F32" s="2">
        <v>0</v>
      </c>
      <c r="G32" s="2" t="s">
        <v>55</v>
      </c>
      <c r="H32" s="2" t="s">
        <v>55</v>
      </c>
      <c r="I32" s="2" t="s">
        <v>55</v>
      </c>
      <c r="J32" s="2" t="s">
        <v>55</v>
      </c>
      <c r="K32" s="2" t="s">
        <v>55</v>
      </c>
      <c r="L32" s="2" t="s">
        <v>55</v>
      </c>
      <c r="M32" s="2" t="s">
        <v>55</v>
      </c>
      <c r="N32" s="2" t="s">
        <v>55</v>
      </c>
      <c r="O32" s="2" t="s">
        <v>55</v>
      </c>
      <c r="P32" s="2" t="s">
        <v>55</v>
      </c>
      <c r="Q32" s="2" t="s">
        <v>55</v>
      </c>
      <c r="R32" s="2" t="s">
        <v>55</v>
      </c>
      <c r="S32" s="2">
        <f t="shared" si="0"/>
        <v>0</v>
      </c>
      <c r="T32" s="2" t="s">
        <v>2004</v>
      </c>
      <c r="U32" s="2" t="s">
        <v>2005</v>
      </c>
    </row>
    <row r="33" spans="1:21" x14ac:dyDescent="0.25">
      <c r="A33" s="2" t="s">
        <v>2015</v>
      </c>
      <c r="B33" s="2" t="s">
        <v>2003</v>
      </c>
      <c r="C33" s="2" t="s">
        <v>55</v>
      </c>
      <c r="D33" s="2" t="s">
        <v>55</v>
      </c>
      <c r="E33" s="2" t="s">
        <v>55</v>
      </c>
      <c r="F33" s="2">
        <v>0</v>
      </c>
      <c r="G33" s="2" t="s">
        <v>55</v>
      </c>
      <c r="H33" s="2" t="s">
        <v>55</v>
      </c>
      <c r="I33" s="2" t="s">
        <v>55</v>
      </c>
      <c r="J33" s="2" t="s">
        <v>55</v>
      </c>
      <c r="K33" s="2" t="s">
        <v>55</v>
      </c>
      <c r="L33" s="2" t="s">
        <v>55</v>
      </c>
      <c r="M33" s="2" t="s">
        <v>55</v>
      </c>
      <c r="N33" s="2" t="s">
        <v>55</v>
      </c>
      <c r="O33" s="2" t="s">
        <v>55</v>
      </c>
      <c r="P33" s="2" t="s">
        <v>55</v>
      </c>
      <c r="Q33" s="2" t="s">
        <v>55</v>
      </c>
      <c r="R33" s="2" t="s">
        <v>55</v>
      </c>
      <c r="S33" s="2">
        <f t="shared" si="0"/>
        <v>0</v>
      </c>
      <c r="T33" s="2" t="s">
        <v>2004</v>
      </c>
      <c r="U33" s="2" t="s">
        <v>2005</v>
      </c>
    </row>
    <row r="34" spans="1:21" x14ac:dyDescent="0.25">
      <c r="A34" s="2" t="s">
        <v>2016</v>
      </c>
      <c r="B34" s="2" t="s">
        <v>2003</v>
      </c>
      <c r="C34" s="2" t="s">
        <v>55</v>
      </c>
      <c r="D34" s="2" t="s">
        <v>55</v>
      </c>
      <c r="E34" s="2" t="s">
        <v>55</v>
      </c>
      <c r="F34" s="2">
        <v>0</v>
      </c>
      <c r="G34" s="2" t="s">
        <v>55</v>
      </c>
      <c r="H34" s="2" t="s">
        <v>55</v>
      </c>
      <c r="I34" s="2" t="s">
        <v>55</v>
      </c>
      <c r="J34" s="2" t="s">
        <v>55</v>
      </c>
      <c r="K34" s="2" t="s">
        <v>55</v>
      </c>
      <c r="L34" s="2" t="s">
        <v>55</v>
      </c>
      <c r="M34" s="2" t="s">
        <v>55</v>
      </c>
      <c r="N34" s="2" t="s">
        <v>55</v>
      </c>
      <c r="O34" s="2" t="s">
        <v>55</v>
      </c>
      <c r="P34" s="2" t="s">
        <v>55</v>
      </c>
      <c r="Q34" s="2" t="s">
        <v>55</v>
      </c>
      <c r="R34" s="2" t="s">
        <v>55</v>
      </c>
      <c r="S34" s="2">
        <f t="shared" si="0"/>
        <v>0</v>
      </c>
      <c r="T34" s="2" t="s">
        <v>2004</v>
      </c>
      <c r="U34" s="2" t="s">
        <v>2005</v>
      </c>
    </row>
    <row r="35" spans="1:21" x14ac:dyDescent="0.25">
      <c r="A35" s="2" t="s">
        <v>2017</v>
      </c>
      <c r="B35" s="2" t="s">
        <v>2003</v>
      </c>
      <c r="C35" s="2" t="s">
        <v>55</v>
      </c>
      <c r="D35" s="2" t="s">
        <v>55</v>
      </c>
      <c r="E35" s="2" t="s">
        <v>55</v>
      </c>
      <c r="F35" s="2">
        <v>0</v>
      </c>
      <c r="G35" s="2" t="s">
        <v>55</v>
      </c>
      <c r="H35" s="2" t="s">
        <v>55</v>
      </c>
      <c r="I35" s="2" t="s">
        <v>55</v>
      </c>
      <c r="J35" s="2" t="s">
        <v>55</v>
      </c>
      <c r="K35" s="2" t="s">
        <v>55</v>
      </c>
      <c r="L35" s="2" t="s">
        <v>55</v>
      </c>
      <c r="M35" s="2" t="s">
        <v>55</v>
      </c>
      <c r="N35" s="2" t="s">
        <v>55</v>
      </c>
      <c r="O35" s="2" t="s">
        <v>55</v>
      </c>
      <c r="P35" s="2" t="s">
        <v>55</v>
      </c>
      <c r="Q35" s="2" t="s">
        <v>55</v>
      </c>
      <c r="R35" s="2" t="s">
        <v>55</v>
      </c>
      <c r="S35" s="2">
        <f t="shared" si="0"/>
        <v>0</v>
      </c>
      <c r="T35" s="2" t="s">
        <v>2004</v>
      </c>
      <c r="U35" s="2" t="s">
        <v>2005</v>
      </c>
    </row>
    <row r="36" spans="1:21" x14ac:dyDescent="0.25">
      <c r="A36" s="2" t="s">
        <v>2018</v>
      </c>
      <c r="B36" s="2" t="s">
        <v>2003</v>
      </c>
      <c r="C36" s="2" t="s">
        <v>55</v>
      </c>
      <c r="D36" s="2" t="s">
        <v>55</v>
      </c>
      <c r="E36" s="2" t="s">
        <v>55</v>
      </c>
      <c r="F36" s="2">
        <v>0</v>
      </c>
      <c r="G36" s="2" t="s">
        <v>55</v>
      </c>
      <c r="H36" s="2" t="s">
        <v>55</v>
      </c>
      <c r="I36" s="2" t="s">
        <v>55</v>
      </c>
      <c r="J36" s="2" t="s">
        <v>55</v>
      </c>
      <c r="K36" s="2" t="s">
        <v>55</v>
      </c>
      <c r="L36" s="2" t="s">
        <v>55</v>
      </c>
      <c r="M36" s="2" t="s">
        <v>55</v>
      </c>
      <c r="N36" s="2" t="s">
        <v>55</v>
      </c>
      <c r="O36" s="2" t="s">
        <v>55</v>
      </c>
      <c r="P36" s="2" t="s">
        <v>55</v>
      </c>
      <c r="Q36" s="2" t="s">
        <v>55</v>
      </c>
      <c r="R36" s="2" t="s">
        <v>55</v>
      </c>
      <c r="S36" s="2">
        <f t="shared" si="0"/>
        <v>0</v>
      </c>
      <c r="T36" s="2" t="s">
        <v>2004</v>
      </c>
      <c r="U36" s="2" t="s">
        <v>2005</v>
      </c>
    </row>
    <row r="37" spans="1:21" x14ac:dyDescent="0.25">
      <c r="A37" s="2" t="s">
        <v>2019</v>
      </c>
      <c r="B37" s="2" t="s">
        <v>2003</v>
      </c>
      <c r="C37" s="2" t="s">
        <v>55</v>
      </c>
      <c r="D37" s="2" t="s">
        <v>55</v>
      </c>
      <c r="E37" s="2" t="s">
        <v>55</v>
      </c>
      <c r="F37" s="2">
        <v>0</v>
      </c>
      <c r="G37" s="2" t="s">
        <v>55</v>
      </c>
      <c r="H37" s="2" t="s">
        <v>55</v>
      </c>
      <c r="I37" s="2" t="s">
        <v>55</v>
      </c>
      <c r="J37" s="2" t="s">
        <v>55</v>
      </c>
      <c r="K37" s="2" t="s">
        <v>55</v>
      </c>
      <c r="L37" s="2" t="s">
        <v>55</v>
      </c>
      <c r="M37" s="2" t="s">
        <v>55</v>
      </c>
      <c r="N37" s="2" t="s">
        <v>55</v>
      </c>
      <c r="O37" s="2" t="s">
        <v>55</v>
      </c>
      <c r="P37" s="2" t="s">
        <v>55</v>
      </c>
      <c r="Q37" s="2" t="s">
        <v>55</v>
      </c>
      <c r="R37" s="2" t="s">
        <v>55</v>
      </c>
      <c r="S37" s="2">
        <f t="shared" si="0"/>
        <v>0</v>
      </c>
      <c r="T37" s="2" t="s">
        <v>2004</v>
      </c>
      <c r="U37" s="2" t="s">
        <v>2005</v>
      </c>
    </row>
    <row r="38" spans="1:21" x14ac:dyDescent="0.25">
      <c r="A38" s="2" t="s">
        <v>2020</v>
      </c>
      <c r="B38" s="2" t="s">
        <v>2003</v>
      </c>
      <c r="C38" s="2" t="s">
        <v>55</v>
      </c>
      <c r="D38" s="2" t="s">
        <v>55</v>
      </c>
      <c r="E38" s="2" t="s">
        <v>55</v>
      </c>
      <c r="F38" s="2">
        <v>0</v>
      </c>
      <c r="G38" s="2" t="s">
        <v>55</v>
      </c>
      <c r="H38" s="2" t="s">
        <v>55</v>
      </c>
      <c r="I38" s="2" t="s">
        <v>55</v>
      </c>
      <c r="J38" s="2" t="s">
        <v>55</v>
      </c>
      <c r="K38" s="2" t="s">
        <v>55</v>
      </c>
      <c r="L38" s="2" t="s">
        <v>55</v>
      </c>
      <c r="M38" s="2" t="s">
        <v>55</v>
      </c>
      <c r="N38" s="2" t="s">
        <v>55</v>
      </c>
      <c r="O38" s="2" t="s">
        <v>55</v>
      </c>
      <c r="P38" s="2" t="s">
        <v>55</v>
      </c>
      <c r="Q38" s="2" t="s">
        <v>55</v>
      </c>
      <c r="R38" s="2" t="s">
        <v>55</v>
      </c>
      <c r="S38" s="2">
        <f t="shared" si="0"/>
        <v>0</v>
      </c>
      <c r="T38" s="2" t="s">
        <v>2004</v>
      </c>
      <c r="U38" s="2" t="s">
        <v>2005</v>
      </c>
    </row>
    <row r="39" spans="1:21" x14ac:dyDescent="0.25">
      <c r="A39" s="2" t="s">
        <v>2021</v>
      </c>
      <c r="B39" s="2" t="s">
        <v>2003</v>
      </c>
      <c r="C39" s="2" t="s">
        <v>55</v>
      </c>
      <c r="D39" s="2" t="s">
        <v>55</v>
      </c>
      <c r="E39" s="2" t="s">
        <v>55</v>
      </c>
      <c r="F39" s="2">
        <v>0</v>
      </c>
      <c r="G39" s="2" t="s">
        <v>55</v>
      </c>
      <c r="H39" s="2" t="s">
        <v>55</v>
      </c>
      <c r="I39" s="2" t="s">
        <v>55</v>
      </c>
      <c r="J39" s="2" t="s">
        <v>55</v>
      </c>
      <c r="K39" s="2" t="s">
        <v>55</v>
      </c>
      <c r="L39" s="2" t="s">
        <v>55</v>
      </c>
      <c r="M39" s="2" t="s">
        <v>55</v>
      </c>
      <c r="N39" s="2" t="s">
        <v>55</v>
      </c>
      <c r="O39" s="2" t="s">
        <v>55</v>
      </c>
      <c r="P39" s="2" t="s">
        <v>55</v>
      </c>
      <c r="Q39" s="2" t="s">
        <v>55</v>
      </c>
      <c r="R39" s="2" t="s">
        <v>55</v>
      </c>
      <c r="S39" s="2">
        <f t="shared" si="0"/>
        <v>0</v>
      </c>
      <c r="T39" s="2" t="s">
        <v>2004</v>
      </c>
      <c r="U39" s="2" t="s">
        <v>2005</v>
      </c>
    </row>
    <row r="40" spans="1:21" x14ac:dyDescent="0.25">
      <c r="A40" s="2" t="s">
        <v>2022</v>
      </c>
      <c r="B40" s="2" t="s">
        <v>2003</v>
      </c>
      <c r="C40" s="2" t="s">
        <v>55</v>
      </c>
      <c r="D40" s="2" t="s">
        <v>55</v>
      </c>
      <c r="E40" s="2" t="s">
        <v>55</v>
      </c>
      <c r="F40" s="2">
        <v>0</v>
      </c>
      <c r="G40" s="2" t="s">
        <v>55</v>
      </c>
      <c r="H40" s="2" t="s">
        <v>55</v>
      </c>
      <c r="I40" s="2" t="s">
        <v>55</v>
      </c>
      <c r="J40" s="2" t="s">
        <v>55</v>
      </c>
      <c r="K40" s="2" t="s">
        <v>55</v>
      </c>
      <c r="L40" s="2" t="s">
        <v>55</v>
      </c>
      <c r="M40" s="2" t="s">
        <v>55</v>
      </c>
      <c r="N40" s="2" t="s">
        <v>55</v>
      </c>
      <c r="O40" s="2" t="s">
        <v>55</v>
      </c>
      <c r="P40" s="2" t="s">
        <v>55</v>
      </c>
      <c r="Q40" s="2" t="s">
        <v>55</v>
      </c>
      <c r="R40" s="2" t="s">
        <v>55</v>
      </c>
      <c r="S40" s="2">
        <f t="shared" si="0"/>
        <v>0</v>
      </c>
      <c r="T40" s="2" t="s">
        <v>2004</v>
      </c>
      <c r="U40" s="2" t="s">
        <v>2005</v>
      </c>
    </row>
    <row r="41" spans="1:21" x14ac:dyDescent="0.25">
      <c r="A41" s="2" t="s">
        <v>2023</v>
      </c>
      <c r="B41" s="2" t="s">
        <v>2003</v>
      </c>
      <c r="C41" s="2" t="s">
        <v>55</v>
      </c>
      <c r="D41" s="2" t="s">
        <v>55</v>
      </c>
      <c r="E41" s="2" t="s">
        <v>55</v>
      </c>
      <c r="F41" s="2">
        <v>0</v>
      </c>
      <c r="G41" s="2" t="s">
        <v>55</v>
      </c>
      <c r="H41" s="2" t="s">
        <v>55</v>
      </c>
      <c r="I41" s="2" t="s">
        <v>55</v>
      </c>
      <c r="J41" s="2" t="s">
        <v>55</v>
      </c>
      <c r="K41" s="2" t="s">
        <v>55</v>
      </c>
      <c r="L41" s="2" t="s">
        <v>55</v>
      </c>
      <c r="M41" s="2" t="s">
        <v>55</v>
      </c>
      <c r="N41" s="2" t="s">
        <v>55</v>
      </c>
      <c r="O41" s="2" t="s">
        <v>55</v>
      </c>
      <c r="P41" s="2" t="s">
        <v>55</v>
      </c>
      <c r="Q41" s="2" t="s">
        <v>55</v>
      </c>
      <c r="R41" s="2" t="s">
        <v>55</v>
      </c>
      <c r="S41" s="2">
        <f t="shared" si="0"/>
        <v>0</v>
      </c>
      <c r="T41" s="2" t="s">
        <v>2004</v>
      </c>
      <c r="U41" s="2" t="s">
        <v>2005</v>
      </c>
    </row>
    <row r="42" spans="1:21" x14ac:dyDescent="0.25">
      <c r="A42" s="2" t="s">
        <v>2024</v>
      </c>
      <c r="B42" s="2" t="s">
        <v>2003</v>
      </c>
      <c r="C42" s="2" t="s">
        <v>55</v>
      </c>
      <c r="D42" s="2" t="s">
        <v>55</v>
      </c>
      <c r="E42" s="2" t="s">
        <v>55</v>
      </c>
      <c r="F42" s="2">
        <v>0</v>
      </c>
      <c r="G42" s="2" t="s">
        <v>55</v>
      </c>
      <c r="H42" s="2" t="s">
        <v>55</v>
      </c>
      <c r="I42" s="2" t="s">
        <v>55</v>
      </c>
      <c r="J42" s="2" t="s">
        <v>55</v>
      </c>
      <c r="K42" s="2" t="s">
        <v>55</v>
      </c>
      <c r="L42" s="2" t="s">
        <v>55</v>
      </c>
      <c r="M42" s="2" t="s">
        <v>55</v>
      </c>
      <c r="N42" s="2" t="s">
        <v>55</v>
      </c>
      <c r="O42" s="2" t="s">
        <v>55</v>
      </c>
      <c r="P42" s="2" t="s">
        <v>55</v>
      </c>
      <c r="Q42" s="2" t="s">
        <v>55</v>
      </c>
      <c r="R42" s="2" t="s">
        <v>55</v>
      </c>
      <c r="S42" s="2">
        <f t="shared" si="0"/>
        <v>0</v>
      </c>
      <c r="T42" s="2" t="s">
        <v>2004</v>
      </c>
      <c r="U42" s="2" t="s">
        <v>2005</v>
      </c>
    </row>
    <row r="43" spans="1:21" x14ac:dyDescent="0.25">
      <c r="A43" s="2" t="s">
        <v>2025</v>
      </c>
      <c r="B43" s="2" t="s">
        <v>2003</v>
      </c>
      <c r="C43" s="2" t="s">
        <v>55</v>
      </c>
      <c r="D43" s="2" t="s">
        <v>55</v>
      </c>
      <c r="E43" s="2" t="s">
        <v>55</v>
      </c>
      <c r="F43" s="2">
        <v>0</v>
      </c>
      <c r="G43" s="2" t="s">
        <v>55</v>
      </c>
      <c r="H43" s="2" t="s">
        <v>55</v>
      </c>
      <c r="I43" s="2" t="s">
        <v>55</v>
      </c>
      <c r="J43" s="2" t="s">
        <v>55</v>
      </c>
      <c r="K43" s="2" t="s">
        <v>55</v>
      </c>
      <c r="L43" s="2" t="s">
        <v>55</v>
      </c>
      <c r="M43" s="2" t="s">
        <v>55</v>
      </c>
      <c r="N43" s="2" t="s">
        <v>55</v>
      </c>
      <c r="O43" s="2" t="s">
        <v>55</v>
      </c>
      <c r="P43" s="2" t="s">
        <v>55</v>
      </c>
      <c r="Q43" s="2" t="s">
        <v>55</v>
      </c>
      <c r="R43" s="2" t="s">
        <v>55</v>
      </c>
      <c r="S43" s="2">
        <f t="shared" si="0"/>
        <v>0</v>
      </c>
      <c r="T43" s="2" t="s">
        <v>2004</v>
      </c>
      <c r="U43" s="2" t="s">
        <v>2005</v>
      </c>
    </row>
    <row r="44" spans="1:21" x14ac:dyDescent="0.25">
      <c r="A44" s="2" t="s">
        <v>2026</v>
      </c>
      <c r="B44" s="2" t="s">
        <v>2003</v>
      </c>
      <c r="C44" s="2" t="s">
        <v>55</v>
      </c>
      <c r="D44" s="2" t="s">
        <v>55</v>
      </c>
      <c r="E44" s="2" t="s">
        <v>55</v>
      </c>
      <c r="F44" s="2">
        <v>0</v>
      </c>
      <c r="G44" s="2" t="s">
        <v>55</v>
      </c>
      <c r="H44" s="2" t="s">
        <v>55</v>
      </c>
      <c r="I44" s="2" t="s">
        <v>55</v>
      </c>
      <c r="J44" s="2" t="s">
        <v>55</v>
      </c>
      <c r="K44" s="2" t="s">
        <v>55</v>
      </c>
      <c r="L44" s="2" t="s">
        <v>55</v>
      </c>
      <c r="M44" s="2" t="s">
        <v>55</v>
      </c>
      <c r="N44" s="2" t="s">
        <v>55</v>
      </c>
      <c r="O44" s="2" t="s">
        <v>55</v>
      </c>
      <c r="P44" s="2" t="s">
        <v>55</v>
      </c>
      <c r="Q44" s="2" t="s">
        <v>55</v>
      </c>
      <c r="R44" s="2" t="s">
        <v>55</v>
      </c>
      <c r="S44" s="2">
        <f t="shared" si="0"/>
        <v>0</v>
      </c>
      <c r="T44" s="2" t="s">
        <v>2004</v>
      </c>
      <c r="U44" s="2" t="s">
        <v>2005</v>
      </c>
    </row>
    <row r="45" spans="1:21" x14ac:dyDescent="0.25">
      <c r="A45" s="2" t="s">
        <v>2027</v>
      </c>
      <c r="B45" s="2" t="s">
        <v>2003</v>
      </c>
      <c r="C45" s="2" t="s">
        <v>55</v>
      </c>
      <c r="D45" s="2" t="s">
        <v>55</v>
      </c>
      <c r="E45" s="2" t="s">
        <v>55</v>
      </c>
      <c r="F45" s="2">
        <v>0</v>
      </c>
      <c r="G45" s="2" t="s">
        <v>55</v>
      </c>
      <c r="H45" s="2" t="s">
        <v>55</v>
      </c>
      <c r="I45" s="2" t="s">
        <v>55</v>
      </c>
      <c r="J45" s="2" t="s">
        <v>55</v>
      </c>
      <c r="K45" s="2" t="s">
        <v>55</v>
      </c>
      <c r="L45" s="2" t="s">
        <v>55</v>
      </c>
      <c r="M45" s="2" t="s">
        <v>55</v>
      </c>
      <c r="N45" s="2" t="s">
        <v>55</v>
      </c>
      <c r="O45" s="2" t="s">
        <v>55</v>
      </c>
      <c r="P45" s="2" t="s">
        <v>55</v>
      </c>
      <c r="Q45" s="2" t="s">
        <v>55</v>
      </c>
      <c r="R45" s="2" t="s">
        <v>55</v>
      </c>
      <c r="S45" s="2">
        <f t="shared" ref="S45:S76" si="1">COUNTIF(M45:R45,"Yes")</f>
        <v>0</v>
      </c>
      <c r="T45" s="2" t="s">
        <v>2004</v>
      </c>
      <c r="U45" s="2" t="s">
        <v>2005</v>
      </c>
    </row>
    <row r="46" spans="1:21" x14ac:dyDescent="0.25">
      <c r="A46" s="2" t="s">
        <v>2028</v>
      </c>
      <c r="B46" s="2" t="s">
        <v>2003</v>
      </c>
      <c r="C46" s="2" t="s">
        <v>55</v>
      </c>
      <c r="D46" s="2" t="s">
        <v>55</v>
      </c>
      <c r="E46" s="2" t="s">
        <v>55</v>
      </c>
      <c r="F46" s="2">
        <v>0</v>
      </c>
      <c r="G46" s="2" t="s">
        <v>55</v>
      </c>
      <c r="H46" s="2" t="s">
        <v>55</v>
      </c>
      <c r="I46" s="2" t="s">
        <v>55</v>
      </c>
      <c r="J46" s="2" t="s">
        <v>55</v>
      </c>
      <c r="K46" s="2" t="s">
        <v>55</v>
      </c>
      <c r="L46" s="2" t="s">
        <v>55</v>
      </c>
      <c r="M46" s="2" t="s">
        <v>55</v>
      </c>
      <c r="N46" s="2" t="s">
        <v>55</v>
      </c>
      <c r="O46" s="2" t="s">
        <v>55</v>
      </c>
      <c r="P46" s="2" t="s">
        <v>55</v>
      </c>
      <c r="Q46" s="2" t="s">
        <v>55</v>
      </c>
      <c r="R46" s="2" t="s">
        <v>55</v>
      </c>
      <c r="S46" s="2">
        <f t="shared" si="1"/>
        <v>0</v>
      </c>
      <c r="T46" s="2" t="s">
        <v>2004</v>
      </c>
      <c r="U46" s="2" t="s">
        <v>2005</v>
      </c>
    </row>
    <row r="47" spans="1:21" x14ac:dyDescent="0.25">
      <c r="A47" s="2" t="s">
        <v>2029</v>
      </c>
      <c r="B47" s="2" t="s">
        <v>2003</v>
      </c>
      <c r="C47" s="2" t="s">
        <v>55</v>
      </c>
      <c r="D47" s="2" t="s">
        <v>55</v>
      </c>
      <c r="E47" s="2" t="s">
        <v>55</v>
      </c>
      <c r="F47" s="2">
        <v>0</v>
      </c>
      <c r="G47" s="2" t="s">
        <v>55</v>
      </c>
      <c r="H47" s="2" t="s">
        <v>55</v>
      </c>
      <c r="I47" s="2" t="s">
        <v>55</v>
      </c>
      <c r="J47" s="2" t="s">
        <v>55</v>
      </c>
      <c r="K47" s="2" t="s">
        <v>55</v>
      </c>
      <c r="L47" s="2" t="s">
        <v>55</v>
      </c>
      <c r="M47" s="2" t="s">
        <v>55</v>
      </c>
      <c r="N47" s="2" t="s">
        <v>55</v>
      </c>
      <c r="O47" s="2" t="s">
        <v>55</v>
      </c>
      <c r="P47" s="2" t="s">
        <v>55</v>
      </c>
      <c r="Q47" s="2" t="s">
        <v>55</v>
      </c>
      <c r="R47" s="2" t="s">
        <v>55</v>
      </c>
      <c r="S47" s="2">
        <f t="shared" si="1"/>
        <v>0</v>
      </c>
      <c r="T47" s="2" t="s">
        <v>2004</v>
      </c>
      <c r="U47" s="2" t="s">
        <v>2005</v>
      </c>
    </row>
    <row r="48" spans="1:21" x14ac:dyDescent="0.25">
      <c r="A48" s="2" t="s">
        <v>2030</v>
      </c>
      <c r="B48" s="2" t="s">
        <v>2003</v>
      </c>
      <c r="C48" s="2" t="s">
        <v>55</v>
      </c>
      <c r="D48" s="2" t="s">
        <v>55</v>
      </c>
      <c r="E48" s="2" t="s">
        <v>55</v>
      </c>
      <c r="F48" s="2">
        <v>0</v>
      </c>
      <c r="G48" s="2" t="s">
        <v>55</v>
      </c>
      <c r="H48" s="2" t="s">
        <v>55</v>
      </c>
      <c r="I48" s="2" t="s">
        <v>55</v>
      </c>
      <c r="J48" s="2" t="s">
        <v>55</v>
      </c>
      <c r="K48" s="2" t="s">
        <v>55</v>
      </c>
      <c r="L48" s="2" t="s">
        <v>55</v>
      </c>
      <c r="M48" s="2" t="s">
        <v>55</v>
      </c>
      <c r="N48" s="2" t="s">
        <v>55</v>
      </c>
      <c r="O48" s="2" t="s">
        <v>55</v>
      </c>
      <c r="P48" s="2" t="s">
        <v>55</v>
      </c>
      <c r="Q48" s="2" t="s">
        <v>55</v>
      </c>
      <c r="R48" s="2" t="s">
        <v>55</v>
      </c>
      <c r="S48" s="2">
        <f t="shared" si="1"/>
        <v>0</v>
      </c>
      <c r="T48" s="2" t="s">
        <v>2004</v>
      </c>
      <c r="U48" s="2" t="s">
        <v>2005</v>
      </c>
    </row>
    <row r="49" spans="1:21" x14ac:dyDescent="0.25">
      <c r="A49" s="2" t="s">
        <v>2031</v>
      </c>
      <c r="B49" s="2" t="s">
        <v>2003</v>
      </c>
      <c r="C49" s="2" t="s">
        <v>55</v>
      </c>
      <c r="D49" s="2" t="s">
        <v>55</v>
      </c>
      <c r="E49" s="2" t="s">
        <v>55</v>
      </c>
      <c r="F49" s="2">
        <v>0</v>
      </c>
      <c r="G49" s="2" t="s">
        <v>55</v>
      </c>
      <c r="H49" s="2" t="s">
        <v>55</v>
      </c>
      <c r="I49" s="2" t="s">
        <v>55</v>
      </c>
      <c r="J49" s="2" t="s">
        <v>55</v>
      </c>
      <c r="K49" s="2" t="s">
        <v>55</v>
      </c>
      <c r="L49" s="2" t="s">
        <v>55</v>
      </c>
      <c r="M49" s="2" t="s">
        <v>55</v>
      </c>
      <c r="N49" s="2" t="s">
        <v>55</v>
      </c>
      <c r="O49" s="2" t="s">
        <v>55</v>
      </c>
      <c r="P49" s="2" t="s">
        <v>55</v>
      </c>
      <c r="Q49" s="2" t="s">
        <v>55</v>
      </c>
      <c r="R49" s="2" t="s">
        <v>55</v>
      </c>
      <c r="S49" s="2">
        <f t="shared" si="1"/>
        <v>0</v>
      </c>
      <c r="T49" s="2" t="s">
        <v>2004</v>
      </c>
      <c r="U49" s="2" t="s">
        <v>2005</v>
      </c>
    </row>
    <row r="50" spans="1:21" x14ac:dyDescent="0.25">
      <c r="A50" s="2" t="s">
        <v>2032</v>
      </c>
      <c r="B50" s="2" t="s">
        <v>2003</v>
      </c>
      <c r="C50" s="2" t="s">
        <v>55</v>
      </c>
      <c r="D50" s="2" t="s">
        <v>55</v>
      </c>
      <c r="E50" s="2" t="s">
        <v>55</v>
      </c>
      <c r="F50" s="2">
        <v>0</v>
      </c>
      <c r="G50" s="2" t="s">
        <v>55</v>
      </c>
      <c r="H50" s="2" t="s">
        <v>55</v>
      </c>
      <c r="I50" s="2" t="s">
        <v>55</v>
      </c>
      <c r="J50" s="2" t="s">
        <v>55</v>
      </c>
      <c r="K50" s="2" t="s">
        <v>55</v>
      </c>
      <c r="L50" s="2" t="s">
        <v>55</v>
      </c>
      <c r="M50" s="2" t="s">
        <v>55</v>
      </c>
      <c r="N50" s="2" t="s">
        <v>55</v>
      </c>
      <c r="O50" s="2" t="s">
        <v>55</v>
      </c>
      <c r="P50" s="2" t="s">
        <v>55</v>
      </c>
      <c r="Q50" s="2" t="s">
        <v>55</v>
      </c>
      <c r="R50" s="2" t="s">
        <v>55</v>
      </c>
      <c r="S50" s="2">
        <f t="shared" si="1"/>
        <v>0</v>
      </c>
      <c r="T50" s="2" t="s">
        <v>2004</v>
      </c>
      <c r="U50" s="2" t="s">
        <v>2005</v>
      </c>
    </row>
    <row r="51" spans="1:21" x14ac:dyDescent="0.25">
      <c r="A51" s="2" t="s">
        <v>2033</v>
      </c>
      <c r="B51" s="2" t="s">
        <v>2003</v>
      </c>
      <c r="C51" s="2" t="s">
        <v>55</v>
      </c>
      <c r="D51" s="2" t="s">
        <v>55</v>
      </c>
      <c r="E51" s="2" t="s">
        <v>55</v>
      </c>
      <c r="F51" s="2">
        <v>0</v>
      </c>
      <c r="G51" s="2" t="s">
        <v>55</v>
      </c>
      <c r="H51" s="2" t="s">
        <v>55</v>
      </c>
      <c r="I51" s="2" t="s">
        <v>55</v>
      </c>
      <c r="J51" s="2" t="s">
        <v>55</v>
      </c>
      <c r="K51" s="2" t="s">
        <v>55</v>
      </c>
      <c r="L51" s="2" t="s">
        <v>55</v>
      </c>
      <c r="M51" s="2" t="s">
        <v>55</v>
      </c>
      <c r="N51" s="2" t="s">
        <v>55</v>
      </c>
      <c r="O51" s="2" t="s">
        <v>55</v>
      </c>
      <c r="P51" s="2" t="s">
        <v>55</v>
      </c>
      <c r="Q51" s="2" t="s">
        <v>55</v>
      </c>
      <c r="R51" s="2" t="s">
        <v>55</v>
      </c>
      <c r="S51" s="2">
        <f t="shared" si="1"/>
        <v>0</v>
      </c>
      <c r="T51" s="2" t="s">
        <v>2004</v>
      </c>
      <c r="U51" s="2" t="s">
        <v>2005</v>
      </c>
    </row>
    <row r="52" spans="1:21" x14ac:dyDescent="0.25">
      <c r="A52" s="2" t="s">
        <v>2034</v>
      </c>
      <c r="B52" s="2" t="s">
        <v>2003</v>
      </c>
      <c r="C52" s="2" t="s">
        <v>55</v>
      </c>
      <c r="D52" s="2" t="s">
        <v>55</v>
      </c>
      <c r="E52" s="2" t="s">
        <v>55</v>
      </c>
      <c r="F52" s="2">
        <v>0</v>
      </c>
      <c r="G52" s="2" t="s">
        <v>55</v>
      </c>
      <c r="H52" s="2" t="s">
        <v>55</v>
      </c>
      <c r="I52" s="2" t="s">
        <v>55</v>
      </c>
      <c r="J52" s="2" t="s">
        <v>55</v>
      </c>
      <c r="K52" s="2" t="s">
        <v>55</v>
      </c>
      <c r="L52" s="2" t="s">
        <v>55</v>
      </c>
      <c r="M52" s="2" t="s">
        <v>55</v>
      </c>
      <c r="N52" s="2" t="s">
        <v>55</v>
      </c>
      <c r="O52" s="2" t="s">
        <v>55</v>
      </c>
      <c r="P52" s="2" t="s">
        <v>55</v>
      </c>
      <c r="Q52" s="2" t="s">
        <v>55</v>
      </c>
      <c r="R52" s="2" t="s">
        <v>55</v>
      </c>
      <c r="S52" s="2">
        <f t="shared" si="1"/>
        <v>0</v>
      </c>
      <c r="T52" s="2" t="s">
        <v>2004</v>
      </c>
      <c r="U52" s="2" t="s">
        <v>2005</v>
      </c>
    </row>
    <row r="53" spans="1:21" x14ac:dyDescent="0.25">
      <c r="A53" s="2" t="s">
        <v>2035</v>
      </c>
      <c r="B53" s="2" t="s">
        <v>2003</v>
      </c>
      <c r="C53" s="2" t="s">
        <v>55</v>
      </c>
      <c r="D53" s="2" t="s">
        <v>55</v>
      </c>
      <c r="E53" s="2" t="s">
        <v>55</v>
      </c>
      <c r="F53" s="2">
        <v>0</v>
      </c>
      <c r="G53" s="2" t="s">
        <v>55</v>
      </c>
      <c r="H53" s="2" t="s">
        <v>55</v>
      </c>
      <c r="I53" s="2" t="s">
        <v>55</v>
      </c>
      <c r="J53" s="2" t="s">
        <v>55</v>
      </c>
      <c r="K53" s="2" t="s">
        <v>55</v>
      </c>
      <c r="L53" s="2" t="s">
        <v>55</v>
      </c>
      <c r="M53" s="2" t="s">
        <v>55</v>
      </c>
      <c r="N53" s="2" t="s">
        <v>55</v>
      </c>
      <c r="O53" s="2" t="s">
        <v>55</v>
      </c>
      <c r="P53" s="2" t="s">
        <v>55</v>
      </c>
      <c r="Q53" s="2" t="s">
        <v>55</v>
      </c>
      <c r="R53" s="2" t="s">
        <v>55</v>
      </c>
      <c r="S53" s="2">
        <f t="shared" si="1"/>
        <v>0</v>
      </c>
      <c r="T53" s="2" t="s">
        <v>2004</v>
      </c>
      <c r="U53" s="2" t="s">
        <v>2005</v>
      </c>
    </row>
    <row r="54" spans="1:21" x14ac:dyDescent="0.25">
      <c r="A54" s="2" t="s">
        <v>2036</v>
      </c>
      <c r="B54" s="2" t="s">
        <v>2003</v>
      </c>
      <c r="C54" s="2" t="s">
        <v>55</v>
      </c>
      <c r="D54" s="2" t="s">
        <v>55</v>
      </c>
      <c r="E54" s="2" t="s">
        <v>55</v>
      </c>
      <c r="F54" s="2">
        <v>0</v>
      </c>
      <c r="G54" s="2" t="s">
        <v>55</v>
      </c>
      <c r="H54" s="2" t="s">
        <v>55</v>
      </c>
      <c r="I54" s="2" t="s">
        <v>55</v>
      </c>
      <c r="J54" s="2" t="s">
        <v>55</v>
      </c>
      <c r="K54" s="2" t="s">
        <v>55</v>
      </c>
      <c r="L54" s="2" t="s">
        <v>55</v>
      </c>
      <c r="M54" s="2" t="s">
        <v>55</v>
      </c>
      <c r="N54" s="2" t="s">
        <v>55</v>
      </c>
      <c r="O54" s="2" t="s">
        <v>55</v>
      </c>
      <c r="P54" s="2" t="s">
        <v>55</v>
      </c>
      <c r="Q54" s="2" t="s">
        <v>55</v>
      </c>
      <c r="R54" s="2" t="s">
        <v>55</v>
      </c>
      <c r="S54" s="2">
        <f t="shared" si="1"/>
        <v>0</v>
      </c>
      <c r="T54" s="2" t="s">
        <v>2004</v>
      </c>
      <c r="U54" s="2" t="s">
        <v>2005</v>
      </c>
    </row>
    <row r="55" spans="1:21" x14ac:dyDescent="0.25">
      <c r="A55" s="2" t="s">
        <v>2037</v>
      </c>
      <c r="B55" s="2" t="s">
        <v>2003</v>
      </c>
      <c r="C55" s="2" t="s">
        <v>55</v>
      </c>
      <c r="D55" s="2" t="s">
        <v>55</v>
      </c>
      <c r="E55" s="2" t="s">
        <v>55</v>
      </c>
      <c r="F55" s="2">
        <v>0</v>
      </c>
      <c r="G55" s="2" t="s">
        <v>55</v>
      </c>
      <c r="H55" s="2" t="s">
        <v>55</v>
      </c>
      <c r="I55" s="2" t="s">
        <v>55</v>
      </c>
      <c r="J55" s="2" t="s">
        <v>55</v>
      </c>
      <c r="K55" s="2" t="s">
        <v>55</v>
      </c>
      <c r="L55" s="2" t="s">
        <v>55</v>
      </c>
      <c r="M55" s="2" t="s">
        <v>55</v>
      </c>
      <c r="N55" s="2" t="s">
        <v>55</v>
      </c>
      <c r="O55" s="2" t="s">
        <v>55</v>
      </c>
      <c r="P55" s="2" t="s">
        <v>55</v>
      </c>
      <c r="Q55" s="2" t="s">
        <v>55</v>
      </c>
      <c r="R55" s="2" t="s">
        <v>55</v>
      </c>
      <c r="S55" s="2">
        <f t="shared" si="1"/>
        <v>0</v>
      </c>
      <c r="T55" s="2" t="s">
        <v>2004</v>
      </c>
      <c r="U55" s="2" t="s">
        <v>2005</v>
      </c>
    </row>
    <row r="56" spans="1:21" x14ac:dyDescent="0.25">
      <c r="A56" s="2" t="s">
        <v>2038</v>
      </c>
      <c r="B56" s="2" t="s">
        <v>2003</v>
      </c>
      <c r="C56" s="2" t="s">
        <v>55</v>
      </c>
      <c r="D56" s="2" t="s">
        <v>55</v>
      </c>
      <c r="E56" s="2" t="s">
        <v>55</v>
      </c>
      <c r="F56" s="2">
        <v>0</v>
      </c>
      <c r="G56" s="2" t="s">
        <v>55</v>
      </c>
      <c r="H56" s="2" t="s">
        <v>55</v>
      </c>
      <c r="I56" s="2" t="s">
        <v>55</v>
      </c>
      <c r="J56" s="2" t="s">
        <v>55</v>
      </c>
      <c r="K56" s="2" t="s">
        <v>55</v>
      </c>
      <c r="L56" s="2" t="s">
        <v>55</v>
      </c>
      <c r="M56" s="2" t="s">
        <v>55</v>
      </c>
      <c r="N56" s="2" t="s">
        <v>55</v>
      </c>
      <c r="O56" s="2" t="s">
        <v>55</v>
      </c>
      <c r="P56" s="2" t="s">
        <v>55</v>
      </c>
      <c r="Q56" s="2" t="s">
        <v>55</v>
      </c>
      <c r="R56" s="2" t="s">
        <v>55</v>
      </c>
      <c r="S56" s="2">
        <f t="shared" si="1"/>
        <v>0</v>
      </c>
      <c r="T56" s="2" t="s">
        <v>2004</v>
      </c>
      <c r="U56" s="2" t="s">
        <v>2005</v>
      </c>
    </row>
    <row r="57" spans="1:21" x14ac:dyDescent="0.25">
      <c r="A57" s="2" t="s">
        <v>2039</v>
      </c>
      <c r="B57" s="2" t="s">
        <v>2003</v>
      </c>
      <c r="C57" s="2" t="s">
        <v>55</v>
      </c>
      <c r="D57" s="2" t="s">
        <v>55</v>
      </c>
      <c r="E57" s="2" t="s">
        <v>55</v>
      </c>
      <c r="F57" s="2">
        <v>0</v>
      </c>
      <c r="G57" s="2" t="s">
        <v>55</v>
      </c>
      <c r="H57" s="2" t="s">
        <v>55</v>
      </c>
      <c r="I57" s="2" t="s">
        <v>55</v>
      </c>
      <c r="J57" s="2" t="s">
        <v>55</v>
      </c>
      <c r="K57" s="2" t="s">
        <v>55</v>
      </c>
      <c r="L57" s="2" t="s">
        <v>55</v>
      </c>
      <c r="M57" s="2" t="s">
        <v>55</v>
      </c>
      <c r="N57" s="2" t="s">
        <v>55</v>
      </c>
      <c r="O57" s="2" t="s">
        <v>55</v>
      </c>
      <c r="P57" s="2" t="s">
        <v>55</v>
      </c>
      <c r="Q57" s="2" t="s">
        <v>55</v>
      </c>
      <c r="R57" s="2" t="s">
        <v>55</v>
      </c>
      <c r="S57" s="2">
        <f t="shared" si="1"/>
        <v>0</v>
      </c>
      <c r="T57" s="2" t="s">
        <v>2004</v>
      </c>
      <c r="U57" s="2" t="s">
        <v>2005</v>
      </c>
    </row>
    <row r="58" spans="1:21" x14ac:dyDescent="0.25">
      <c r="A58" s="2" t="s">
        <v>2040</v>
      </c>
      <c r="B58" s="2" t="s">
        <v>2003</v>
      </c>
      <c r="C58" s="2" t="s">
        <v>55</v>
      </c>
      <c r="D58" s="2" t="s">
        <v>55</v>
      </c>
      <c r="E58" s="2" t="s">
        <v>55</v>
      </c>
      <c r="F58" s="2">
        <v>0</v>
      </c>
      <c r="G58" s="2" t="s">
        <v>55</v>
      </c>
      <c r="H58" s="2" t="s">
        <v>55</v>
      </c>
      <c r="I58" s="2" t="s">
        <v>55</v>
      </c>
      <c r="J58" s="2" t="s">
        <v>55</v>
      </c>
      <c r="K58" s="2" t="s">
        <v>55</v>
      </c>
      <c r="L58" s="2" t="s">
        <v>55</v>
      </c>
      <c r="M58" s="2" t="s">
        <v>55</v>
      </c>
      <c r="N58" s="2" t="s">
        <v>55</v>
      </c>
      <c r="O58" s="2" t="s">
        <v>55</v>
      </c>
      <c r="P58" s="2" t="s">
        <v>55</v>
      </c>
      <c r="Q58" s="2" t="s">
        <v>55</v>
      </c>
      <c r="R58" s="2" t="s">
        <v>55</v>
      </c>
      <c r="S58" s="2">
        <f t="shared" si="1"/>
        <v>0</v>
      </c>
      <c r="T58" s="2" t="s">
        <v>2004</v>
      </c>
      <c r="U58" s="2" t="s">
        <v>2005</v>
      </c>
    </row>
    <row r="59" spans="1:21" x14ac:dyDescent="0.25">
      <c r="A59" s="2" t="s">
        <v>2041</v>
      </c>
      <c r="B59" s="2" t="s">
        <v>2003</v>
      </c>
      <c r="C59" s="2" t="s">
        <v>55</v>
      </c>
      <c r="D59" s="2" t="s">
        <v>55</v>
      </c>
      <c r="E59" s="2" t="s">
        <v>55</v>
      </c>
      <c r="F59" s="2">
        <v>0</v>
      </c>
      <c r="G59" s="2" t="s">
        <v>55</v>
      </c>
      <c r="H59" s="2" t="s">
        <v>55</v>
      </c>
      <c r="I59" s="2" t="s">
        <v>55</v>
      </c>
      <c r="J59" s="2" t="s">
        <v>55</v>
      </c>
      <c r="K59" s="2" t="s">
        <v>55</v>
      </c>
      <c r="L59" s="2" t="s">
        <v>55</v>
      </c>
      <c r="M59" s="2" t="s">
        <v>55</v>
      </c>
      <c r="N59" s="2" t="s">
        <v>55</v>
      </c>
      <c r="O59" s="2" t="s">
        <v>55</v>
      </c>
      <c r="P59" s="2" t="s">
        <v>55</v>
      </c>
      <c r="Q59" s="2" t="s">
        <v>55</v>
      </c>
      <c r="R59" s="2" t="s">
        <v>55</v>
      </c>
      <c r="S59" s="2">
        <f t="shared" si="1"/>
        <v>0</v>
      </c>
      <c r="T59" s="2" t="s">
        <v>2004</v>
      </c>
      <c r="U59" s="2" t="s">
        <v>2005</v>
      </c>
    </row>
    <row r="60" spans="1:21" x14ac:dyDescent="0.25">
      <c r="A60" s="2" t="s">
        <v>2042</v>
      </c>
      <c r="B60" s="2" t="s">
        <v>2003</v>
      </c>
      <c r="C60" s="2" t="s">
        <v>55</v>
      </c>
      <c r="D60" s="2" t="s">
        <v>55</v>
      </c>
      <c r="E60" s="2" t="s">
        <v>55</v>
      </c>
      <c r="F60" s="2">
        <v>0</v>
      </c>
      <c r="G60" s="2" t="s">
        <v>55</v>
      </c>
      <c r="H60" s="2" t="s">
        <v>55</v>
      </c>
      <c r="I60" s="2" t="s">
        <v>55</v>
      </c>
      <c r="J60" s="2" t="s">
        <v>55</v>
      </c>
      <c r="K60" s="2" t="s">
        <v>55</v>
      </c>
      <c r="L60" s="2" t="s">
        <v>55</v>
      </c>
      <c r="M60" s="2" t="s">
        <v>55</v>
      </c>
      <c r="N60" s="2" t="s">
        <v>55</v>
      </c>
      <c r="O60" s="2" t="s">
        <v>55</v>
      </c>
      <c r="P60" s="2" t="s">
        <v>55</v>
      </c>
      <c r="Q60" s="2" t="s">
        <v>55</v>
      </c>
      <c r="R60" s="2" t="s">
        <v>55</v>
      </c>
      <c r="S60" s="2">
        <f t="shared" si="1"/>
        <v>0</v>
      </c>
      <c r="T60" s="2" t="s">
        <v>2004</v>
      </c>
      <c r="U60" s="2" t="s">
        <v>2005</v>
      </c>
    </row>
    <row r="61" spans="1:21" x14ac:dyDescent="0.25">
      <c r="A61" s="2" t="s">
        <v>2043</v>
      </c>
      <c r="B61" s="2" t="s">
        <v>2003</v>
      </c>
      <c r="C61" s="2" t="s">
        <v>55</v>
      </c>
      <c r="D61" s="2" t="s">
        <v>55</v>
      </c>
      <c r="E61" s="2" t="s">
        <v>55</v>
      </c>
      <c r="F61" s="2">
        <v>0</v>
      </c>
      <c r="G61" s="2" t="s">
        <v>55</v>
      </c>
      <c r="H61" s="2" t="s">
        <v>55</v>
      </c>
      <c r="I61" s="2" t="s">
        <v>55</v>
      </c>
      <c r="J61" s="2" t="s">
        <v>55</v>
      </c>
      <c r="K61" s="2" t="s">
        <v>55</v>
      </c>
      <c r="L61" s="2" t="s">
        <v>55</v>
      </c>
      <c r="M61" s="2" t="s">
        <v>55</v>
      </c>
      <c r="N61" s="2" t="s">
        <v>55</v>
      </c>
      <c r="O61" s="2" t="s">
        <v>55</v>
      </c>
      <c r="P61" s="2" t="s">
        <v>55</v>
      </c>
      <c r="Q61" s="2" t="s">
        <v>55</v>
      </c>
      <c r="R61" s="2" t="s">
        <v>55</v>
      </c>
      <c r="S61" s="2">
        <f t="shared" si="1"/>
        <v>0</v>
      </c>
      <c r="T61" s="2" t="s">
        <v>2004</v>
      </c>
      <c r="U61" s="2" t="s">
        <v>2005</v>
      </c>
    </row>
    <row r="62" spans="1:21" x14ac:dyDescent="0.25">
      <c r="A62" s="2" t="s">
        <v>2044</v>
      </c>
      <c r="B62" s="2" t="s">
        <v>2003</v>
      </c>
      <c r="C62" s="2" t="s">
        <v>55</v>
      </c>
      <c r="D62" s="2" t="s">
        <v>55</v>
      </c>
      <c r="E62" s="2" t="s">
        <v>55</v>
      </c>
      <c r="F62" s="2">
        <v>0</v>
      </c>
      <c r="G62" s="2" t="s">
        <v>55</v>
      </c>
      <c r="H62" s="2" t="s">
        <v>55</v>
      </c>
      <c r="I62" s="2" t="s">
        <v>55</v>
      </c>
      <c r="J62" s="2" t="s">
        <v>55</v>
      </c>
      <c r="K62" s="2" t="s">
        <v>55</v>
      </c>
      <c r="L62" s="2" t="s">
        <v>55</v>
      </c>
      <c r="M62" s="2" t="s">
        <v>55</v>
      </c>
      <c r="N62" s="2" t="s">
        <v>55</v>
      </c>
      <c r="O62" s="2" t="s">
        <v>55</v>
      </c>
      <c r="P62" s="2" t="s">
        <v>55</v>
      </c>
      <c r="Q62" s="2" t="s">
        <v>55</v>
      </c>
      <c r="R62" s="2" t="s">
        <v>55</v>
      </c>
      <c r="S62" s="2">
        <f t="shared" si="1"/>
        <v>0</v>
      </c>
      <c r="T62" s="2" t="s">
        <v>2004</v>
      </c>
      <c r="U62" s="2" t="s">
        <v>2005</v>
      </c>
    </row>
    <row r="63" spans="1:21" x14ac:dyDescent="0.25">
      <c r="A63" s="2" t="s">
        <v>2045</v>
      </c>
      <c r="B63" s="2" t="s">
        <v>2003</v>
      </c>
      <c r="C63" s="2" t="s">
        <v>55</v>
      </c>
      <c r="D63" s="2" t="s">
        <v>55</v>
      </c>
      <c r="E63" s="2" t="s">
        <v>55</v>
      </c>
      <c r="F63" s="2">
        <v>0</v>
      </c>
      <c r="G63" s="2" t="s">
        <v>55</v>
      </c>
      <c r="H63" s="2" t="s">
        <v>55</v>
      </c>
      <c r="I63" s="2" t="s">
        <v>55</v>
      </c>
      <c r="J63" s="2" t="s">
        <v>55</v>
      </c>
      <c r="K63" s="2" t="s">
        <v>55</v>
      </c>
      <c r="L63" s="2" t="s">
        <v>55</v>
      </c>
      <c r="M63" s="2" t="s">
        <v>55</v>
      </c>
      <c r="N63" s="2" t="s">
        <v>55</v>
      </c>
      <c r="O63" s="2" t="s">
        <v>55</v>
      </c>
      <c r="P63" s="2" t="s">
        <v>55</v>
      </c>
      <c r="Q63" s="2" t="s">
        <v>55</v>
      </c>
      <c r="R63" s="2" t="s">
        <v>55</v>
      </c>
      <c r="S63" s="2">
        <f t="shared" si="1"/>
        <v>0</v>
      </c>
      <c r="T63" s="2" t="s">
        <v>2004</v>
      </c>
      <c r="U63" s="2" t="s">
        <v>2005</v>
      </c>
    </row>
    <row r="64" spans="1:21" x14ac:dyDescent="0.25">
      <c r="A64" s="2" t="s">
        <v>2046</v>
      </c>
      <c r="B64" s="2" t="s">
        <v>2003</v>
      </c>
      <c r="C64" s="2" t="s">
        <v>55</v>
      </c>
      <c r="D64" s="2" t="s">
        <v>55</v>
      </c>
      <c r="E64" s="2" t="s">
        <v>55</v>
      </c>
      <c r="F64" s="2">
        <v>0</v>
      </c>
      <c r="G64" s="2" t="s">
        <v>55</v>
      </c>
      <c r="H64" s="2" t="s">
        <v>55</v>
      </c>
      <c r="I64" s="2" t="s">
        <v>55</v>
      </c>
      <c r="J64" s="2" t="s">
        <v>55</v>
      </c>
      <c r="K64" s="2" t="s">
        <v>55</v>
      </c>
      <c r="L64" s="2" t="s">
        <v>55</v>
      </c>
      <c r="M64" s="2" t="s">
        <v>55</v>
      </c>
      <c r="N64" s="2" t="s">
        <v>55</v>
      </c>
      <c r="O64" s="2" t="s">
        <v>55</v>
      </c>
      <c r="P64" s="2" t="s">
        <v>55</v>
      </c>
      <c r="Q64" s="2" t="s">
        <v>55</v>
      </c>
      <c r="R64" s="2" t="s">
        <v>55</v>
      </c>
      <c r="S64" s="2">
        <f t="shared" si="1"/>
        <v>0</v>
      </c>
      <c r="T64" s="2" t="s">
        <v>2004</v>
      </c>
      <c r="U64" s="2" t="s">
        <v>2005</v>
      </c>
    </row>
    <row r="65" spans="1:21" x14ac:dyDescent="0.25">
      <c r="A65" s="2" t="s">
        <v>2047</v>
      </c>
      <c r="B65" s="2" t="s">
        <v>2003</v>
      </c>
      <c r="C65" s="2" t="s">
        <v>55</v>
      </c>
      <c r="D65" s="2" t="s">
        <v>55</v>
      </c>
      <c r="E65" s="2" t="s">
        <v>55</v>
      </c>
      <c r="F65" s="2">
        <v>0</v>
      </c>
      <c r="G65" s="2" t="s">
        <v>55</v>
      </c>
      <c r="H65" s="2" t="s">
        <v>55</v>
      </c>
      <c r="I65" s="2" t="s">
        <v>55</v>
      </c>
      <c r="J65" s="2" t="s">
        <v>55</v>
      </c>
      <c r="K65" s="2" t="s">
        <v>55</v>
      </c>
      <c r="L65" s="2" t="s">
        <v>55</v>
      </c>
      <c r="M65" s="2" t="s">
        <v>55</v>
      </c>
      <c r="N65" s="2" t="s">
        <v>55</v>
      </c>
      <c r="O65" s="2" t="s">
        <v>55</v>
      </c>
      <c r="P65" s="2" t="s">
        <v>55</v>
      </c>
      <c r="Q65" s="2" t="s">
        <v>55</v>
      </c>
      <c r="R65" s="2" t="s">
        <v>55</v>
      </c>
      <c r="S65" s="2">
        <f t="shared" si="1"/>
        <v>0</v>
      </c>
      <c r="T65" s="2" t="s">
        <v>2004</v>
      </c>
      <c r="U65" s="2" t="s">
        <v>2005</v>
      </c>
    </row>
    <row r="66" spans="1:21" x14ac:dyDescent="0.25">
      <c r="A66" s="2" t="s">
        <v>2048</v>
      </c>
      <c r="B66" s="2" t="s">
        <v>2003</v>
      </c>
      <c r="C66" s="2" t="s">
        <v>55</v>
      </c>
      <c r="D66" s="2" t="s">
        <v>55</v>
      </c>
      <c r="E66" s="2" t="s">
        <v>55</v>
      </c>
      <c r="F66" s="2">
        <v>0</v>
      </c>
      <c r="G66" s="2" t="s">
        <v>55</v>
      </c>
      <c r="H66" s="2" t="s">
        <v>55</v>
      </c>
      <c r="I66" s="2" t="s">
        <v>55</v>
      </c>
      <c r="J66" s="2" t="s">
        <v>55</v>
      </c>
      <c r="K66" s="2" t="s">
        <v>55</v>
      </c>
      <c r="L66" s="2" t="s">
        <v>55</v>
      </c>
      <c r="M66" s="2" t="s">
        <v>55</v>
      </c>
      <c r="N66" s="2" t="s">
        <v>55</v>
      </c>
      <c r="O66" s="2" t="s">
        <v>55</v>
      </c>
      <c r="P66" s="2" t="s">
        <v>55</v>
      </c>
      <c r="Q66" s="2" t="s">
        <v>55</v>
      </c>
      <c r="R66" s="2" t="s">
        <v>55</v>
      </c>
      <c r="S66" s="2">
        <f t="shared" si="1"/>
        <v>0</v>
      </c>
      <c r="T66" s="2" t="s">
        <v>2004</v>
      </c>
      <c r="U66" s="2" t="s">
        <v>2005</v>
      </c>
    </row>
    <row r="67" spans="1:21" x14ac:dyDescent="0.25">
      <c r="A67" s="2" t="s">
        <v>2049</v>
      </c>
      <c r="B67" s="2" t="s">
        <v>2003</v>
      </c>
      <c r="C67" s="2" t="s">
        <v>55</v>
      </c>
      <c r="D67" s="2" t="s">
        <v>55</v>
      </c>
      <c r="E67" s="2" t="s">
        <v>55</v>
      </c>
      <c r="F67" s="2">
        <v>0</v>
      </c>
      <c r="G67" s="2" t="s">
        <v>55</v>
      </c>
      <c r="H67" s="2" t="s">
        <v>55</v>
      </c>
      <c r="I67" s="2" t="s">
        <v>55</v>
      </c>
      <c r="J67" s="2" t="s">
        <v>55</v>
      </c>
      <c r="K67" s="2" t="s">
        <v>55</v>
      </c>
      <c r="L67" s="2" t="s">
        <v>55</v>
      </c>
      <c r="M67" s="2" t="s">
        <v>55</v>
      </c>
      <c r="N67" s="2" t="s">
        <v>55</v>
      </c>
      <c r="O67" s="2" t="s">
        <v>55</v>
      </c>
      <c r="P67" s="2" t="s">
        <v>55</v>
      </c>
      <c r="Q67" s="2" t="s">
        <v>55</v>
      </c>
      <c r="R67" s="2" t="s">
        <v>55</v>
      </c>
      <c r="S67" s="2">
        <f t="shared" si="1"/>
        <v>0</v>
      </c>
      <c r="T67" s="2" t="s">
        <v>2004</v>
      </c>
      <c r="U67" s="2" t="s">
        <v>2005</v>
      </c>
    </row>
    <row r="68" spans="1:21" x14ac:dyDescent="0.25">
      <c r="A68" s="2" t="s">
        <v>2050</v>
      </c>
      <c r="B68" s="2" t="s">
        <v>2003</v>
      </c>
      <c r="C68" s="2" t="s">
        <v>55</v>
      </c>
      <c r="D68" s="2" t="s">
        <v>55</v>
      </c>
      <c r="E68" s="2" t="s">
        <v>55</v>
      </c>
      <c r="F68" s="2">
        <v>0</v>
      </c>
      <c r="G68" s="2" t="s">
        <v>55</v>
      </c>
      <c r="H68" s="2" t="s">
        <v>55</v>
      </c>
      <c r="I68" s="2" t="s">
        <v>55</v>
      </c>
      <c r="J68" s="2" t="s">
        <v>55</v>
      </c>
      <c r="K68" s="2" t="s">
        <v>55</v>
      </c>
      <c r="L68" s="2" t="s">
        <v>55</v>
      </c>
      <c r="M68" s="2" t="s">
        <v>55</v>
      </c>
      <c r="N68" s="2" t="s">
        <v>55</v>
      </c>
      <c r="O68" s="2" t="s">
        <v>55</v>
      </c>
      <c r="P68" s="2" t="s">
        <v>55</v>
      </c>
      <c r="Q68" s="2" t="s">
        <v>55</v>
      </c>
      <c r="R68" s="2" t="s">
        <v>55</v>
      </c>
      <c r="S68" s="2">
        <f t="shared" si="1"/>
        <v>0</v>
      </c>
      <c r="T68" s="2" t="s">
        <v>2004</v>
      </c>
      <c r="U68" s="2" t="s">
        <v>2005</v>
      </c>
    </row>
    <row r="69" spans="1:21" x14ac:dyDescent="0.25">
      <c r="A69" s="2" t="s">
        <v>2051</v>
      </c>
      <c r="B69" s="2" t="s">
        <v>2003</v>
      </c>
      <c r="C69" s="2" t="s">
        <v>55</v>
      </c>
      <c r="D69" s="2" t="s">
        <v>55</v>
      </c>
      <c r="E69" s="2" t="s">
        <v>55</v>
      </c>
      <c r="F69" s="2">
        <v>0</v>
      </c>
      <c r="G69" s="2" t="s">
        <v>55</v>
      </c>
      <c r="H69" s="2" t="s">
        <v>55</v>
      </c>
      <c r="I69" s="2" t="s">
        <v>55</v>
      </c>
      <c r="J69" s="2" t="s">
        <v>55</v>
      </c>
      <c r="K69" s="2" t="s">
        <v>55</v>
      </c>
      <c r="L69" s="2" t="s">
        <v>55</v>
      </c>
      <c r="M69" s="2" t="s">
        <v>55</v>
      </c>
      <c r="N69" s="2" t="s">
        <v>55</v>
      </c>
      <c r="O69" s="2" t="s">
        <v>55</v>
      </c>
      <c r="P69" s="2" t="s">
        <v>55</v>
      </c>
      <c r="Q69" s="2" t="s">
        <v>55</v>
      </c>
      <c r="R69" s="2" t="s">
        <v>55</v>
      </c>
      <c r="S69" s="2">
        <f t="shared" si="1"/>
        <v>0</v>
      </c>
      <c r="T69" s="2" t="s">
        <v>2004</v>
      </c>
      <c r="U69" s="2" t="s">
        <v>2005</v>
      </c>
    </row>
    <row r="70" spans="1:21" x14ac:dyDescent="0.25">
      <c r="A70" s="2" t="s">
        <v>2052</v>
      </c>
      <c r="B70" s="2" t="s">
        <v>2003</v>
      </c>
      <c r="C70" s="2" t="s">
        <v>55</v>
      </c>
      <c r="D70" s="2" t="s">
        <v>55</v>
      </c>
      <c r="E70" s="2" t="s">
        <v>55</v>
      </c>
      <c r="F70" s="2">
        <v>0</v>
      </c>
      <c r="G70" s="2" t="s">
        <v>55</v>
      </c>
      <c r="H70" s="2" t="s">
        <v>55</v>
      </c>
      <c r="I70" s="2" t="s">
        <v>55</v>
      </c>
      <c r="J70" s="2" t="s">
        <v>55</v>
      </c>
      <c r="K70" s="2" t="s">
        <v>55</v>
      </c>
      <c r="L70" s="2" t="s">
        <v>55</v>
      </c>
      <c r="M70" s="2" t="s">
        <v>55</v>
      </c>
      <c r="N70" s="2" t="s">
        <v>55</v>
      </c>
      <c r="O70" s="2" t="s">
        <v>55</v>
      </c>
      <c r="P70" s="2" t="s">
        <v>55</v>
      </c>
      <c r="Q70" s="2" t="s">
        <v>55</v>
      </c>
      <c r="R70" s="2" t="s">
        <v>55</v>
      </c>
      <c r="S70" s="2">
        <f t="shared" si="1"/>
        <v>0</v>
      </c>
      <c r="T70" s="2" t="s">
        <v>2004</v>
      </c>
      <c r="U70" s="2" t="s">
        <v>2005</v>
      </c>
    </row>
    <row r="71" spans="1:21" x14ac:dyDescent="0.25">
      <c r="A71" s="2" t="s">
        <v>2053</v>
      </c>
      <c r="B71" s="2" t="s">
        <v>2003</v>
      </c>
      <c r="C71" s="2" t="s">
        <v>55</v>
      </c>
      <c r="D71" s="2" t="s">
        <v>55</v>
      </c>
      <c r="E71" s="2" t="s">
        <v>55</v>
      </c>
      <c r="F71" s="2">
        <v>0</v>
      </c>
      <c r="G71" s="2" t="s">
        <v>55</v>
      </c>
      <c r="H71" s="2" t="s">
        <v>55</v>
      </c>
      <c r="I71" s="2" t="s">
        <v>55</v>
      </c>
      <c r="J71" s="2" t="s">
        <v>55</v>
      </c>
      <c r="K71" s="2" t="s">
        <v>55</v>
      </c>
      <c r="L71" s="2" t="s">
        <v>55</v>
      </c>
      <c r="M71" s="2" t="s">
        <v>55</v>
      </c>
      <c r="N71" s="2" t="s">
        <v>55</v>
      </c>
      <c r="O71" s="2" t="s">
        <v>55</v>
      </c>
      <c r="P71" s="2" t="s">
        <v>55</v>
      </c>
      <c r="Q71" s="2" t="s">
        <v>55</v>
      </c>
      <c r="R71" s="2" t="s">
        <v>55</v>
      </c>
      <c r="S71" s="2">
        <f t="shared" si="1"/>
        <v>0</v>
      </c>
      <c r="T71" s="2" t="s">
        <v>2004</v>
      </c>
      <c r="U71" s="2" t="s">
        <v>2005</v>
      </c>
    </row>
    <row r="72" spans="1:21" x14ac:dyDescent="0.25">
      <c r="A72" s="2" t="s">
        <v>2054</v>
      </c>
      <c r="B72" s="2" t="s">
        <v>2003</v>
      </c>
      <c r="C72" s="2" t="s">
        <v>55</v>
      </c>
      <c r="D72" s="2" t="s">
        <v>55</v>
      </c>
      <c r="E72" s="2" t="s">
        <v>55</v>
      </c>
      <c r="F72" s="2">
        <v>0</v>
      </c>
      <c r="G72" s="2" t="s">
        <v>55</v>
      </c>
      <c r="H72" s="2" t="s">
        <v>55</v>
      </c>
      <c r="I72" s="2" t="s">
        <v>55</v>
      </c>
      <c r="J72" s="2" t="s">
        <v>55</v>
      </c>
      <c r="K72" s="2" t="s">
        <v>55</v>
      </c>
      <c r="L72" s="2" t="s">
        <v>55</v>
      </c>
      <c r="M72" s="2" t="s">
        <v>55</v>
      </c>
      <c r="N72" s="2" t="s">
        <v>55</v>
      </c>
      <c r="O72" s="2" t="s">
        <v>55</v>
      </c>
      <c r="P72" s="2" t="s">
        <v>55</v>
      </c>
      <c r="Q72" s="2" t="s">
        <v>55</v>
      </c>
      <c r="R72" s="2" t="s">
        <v>55</v>
      </c>
      <c r="S72" s="2">
        <f t="shared" si="1"/>
        <v>0</v>
      </c>
      <c r="T72" s="2" t="s">
        <v>2004</v>
      </c>
      <c r="U72" s="2" t="s">
        <v>2005</v>
      </c>
    </row>
    <row r="73" spans="1:21" x14ac:dyDescent="0.25">
      <c r="A73" s="2" t="s">
        <v>2055</v>
      </c>
      <c r="B73" s="2" t="s">
        <v>2003</v>
      </c>
      <c r="C73" s="2" t="s">
        <v>55</v>
      </c>
      <c r="D73" s="2" t="s">
        <v>55</v>
      </c>
      <c r="E73" s="2" t="s">
        <v>55</v>
      </c>
      <c r="F73" s="2">
        <v>0</v>
      </c>
      <c r="G73" s="2" t="s">
        <v>55</v>
      </c>
      <c r="H73" s="2" t="s">
        <v>55</v>
      </c>
      <c r="I73" s="2" t="s">
        <v>55</v>
      </c>
      <c r="J73" s="2" t="s">
        <v>55</v>
      </c>
      <c r="K73" s="2" t="s">
        <v>55</v>
      </c>
      <c r="L73" s="2" t="s">
        <v>55</v>
      </c>
      <c r="M73" s="2" t="s">
        <v>55</v>
      </c>
      <c r="N73" s="2" t="s">
        <v>55</v>
      </c>
      <c r="O73" s="2" t="s">
        <v>55</v>
      </c>
      <c r="P73" s="2" t="s">
        <v>55</v>
      </c>
      <c r="Q73" s="2" t="s">
        <v>55</v>
      </c>
      <c r="R73" s="2" t="s">
        <v>55</v>
      </c>
      <c r="S73" s="2">
        <f t="shared" si="1"/>
        <v>0</v>
      </c>
      <c r="T73" s="2" t="s">
        <v>2004</v>
      </c>
      <c r="U73" s="2" t="s">
        <v>2005</v>
      </c>
    </row>
    <row r="74" spans="1:21" x14ac:dyDescent="0.25">
      <c r="A74" s="2" t="s">
        <v>2056</v>
      </c>
      <c r="B74" s="2" t="s">
        <v>2003</v>
      </c>
      <c r="C74" s="2" t="s">
        <v>55</v>
      </c>
      <c r="D74" s="2" t="s">
        <v>55</v>
      </c>
      <c r="E74" s="2" t="s">
        <v>55</v>
      </c>
      <c r="F74" s="2">
        <v>0</v>
      </c>
      <c r="G74" s="2" t="s">
        <v>55</v>
      </c>
      <c r="H74" s="2" t="s">
        <v>55</v>
      </c>
      <c r="I74" s="2" t="s">
        <v>55</v>
      </c>
      <c r="J74" s="2" t="s">
        <v>55</v>
      </c>
      <c r="K74" s="2" t="s">
        <v>55</v>
      </c>
      <c r="L74" s="2" t="s">
        <v>55</v>
      </c>
      <c r="M74" s="2" t="s">
        <v>55</v>
      </c>
      <c r="N74" s="2" t="s">
        <v>55</v>
      </c>
      <c r="O74" s="2" t="s">
        <v>55</v>
      </c>
      <c r="P74" s="2" t="s">
        <v>55</v>
      </c>
      <c r="Q74" s="2" t="s">
        <v>55</v>
      </c>
      <c r="R74" s="2" t="s">
        <v>55</v>
      </c>
      <c r="S74" s="2">
        <f t="shared" si="1"/>
        <v>0</v>
      </c>
      <c r="T74" s="2" t="s">
        <v>2004</v>
      </c>
      <c r="U74" s="2" t="s">
        <v>2005</v>
      </c>
    </row>
    <row r="75" spans="1:21" x14ac:dyDescent="0.25">
      <c r="A75" s="2" t="s">
        <v>2057</v>
      </c>
      <c r="B75" s="2" t="s">
        <v>2003</v>
      </c>
      <c r="C75" s="2" t="s">
        <v>55</v>
      </c>
      <c r="D75" s="2" t="s">
        <v>55</v>
      </c>
      <c r="E75" s="2" t="s">
        <v>55</v>
      </c>
      <c r="F75" s="2">
        <v>0</v>
      </c>
      <c r="G75" s="2" t="s">
        <v>55</v>
      </c>
      <c r="H75" s="2" t="s">
        <v>55</v>
      </c>
      <c r="I75" s="2" t="s">
        <v>55</v>
      </c>
      <c r="J75" s="2" t="s">
        <v>55</v>
      </c>
      <c r="K75" s="2" t="s">
        <v>55</v>
      </c>
      <c r="L75" s="2" t="s">
        <v>55</v>
      </c>
      <c r="M75" s="2" t="s">
        <v>55</v>
      </c>
      <c r="N75" s="2" t="s">
        <v>55</v>
      </c>
      <c r="O75" s="2" t="s">
        <v>55</v>
      </c>
      <c r="P75" s="2" t="s">
        <v>55</v>
      </c>
      <c r="Q75" s="2" t="s">
        <v>55</v>
      </c>
      <c r="R75" s="2" t="s">
        <v>55</v>
      </c>
      <c r="S75" s="2">
        <f t="shared" si="1"/>
        <v>0</v>
      </c>
      <c r="T75" s="2" t="s">
        <v>2004</v>
      </c>
      <c r="U75" s="2" t="s">
        <v>2005</v>
      </c>
    </row>
    <row r="76" spans="1:21" x14ac:dyDescent="0.25">
      <c r="A76" s="2" t="s">
        <v>2058</v>
      </c>
      <c r="B76" s="2" t="s">
        <v>2003</v>
      </c>
      <c r="C76" s="2" t="s">
        <v>55</v>
      </c>
      <c r="D76" s="2" t="s">
        <v>55</v>
      </c>
      <c r="E76" s="2" t="s">
        <v>55</v>
      </c>
      <c r="F76" s="2">
        <v>0</v>
      </c>
      <c r="G76" s="2" t="s">
        <v>55</v>
      </c>
      <c r="H76" s="2" t="s">
        <v>55</v>
      </c>
      <c r="I76" s="2" t="s">
        <v>55</v>
      </c>
      <c r="J76" s="2" t="s">
        <v>55</v>
      </c>
      <c r="K76" s="2" t="s">
        <v>55</v>
      </c>
      <c r="L76" s="2" t="s">
        <v>55</v>
      </c>
      <c r="M76" s="2" t="s">
        <v>55</v>
      </c>
      <c r="N76" s="2" t="s">
        <v>55</v>
      </c>
      <c r="O76" s="2" t="s">
        <v>55</v>
      </c>
      <c r="P76" s="2" t="s">
        <v>55</v>
      </c>
      <c r="Q76" s="2" t="s">
        <v>55</v>
      </c>
      <c r="R76" s="2" t="s">
        <v>55</v>
      </c>
      <c r="S76" s="2">
        <f t="shared" si="1"/>
        <v>0</v>
      </c>
      <c r="T76" s="2" t="s">
        <v>2004</v>
      </c>
      <c r="U76" s="2" t="s">
        <v>2005</v>
      </c>
    </row>
    <row r="77" spans="1:21" x14ac:dyDescent="0.25">
      <c r="A77" s="2" t="s">
        <v>2059</v>
      </c>
      <c r="B77" s="2" t="s">
        <v>2003</v>
      </c>
      <c r="C77" s="2" t="s">
        <v>55</v>
      </c>
      <c r="D77" s="2" t="s">
        <v>55</v>
      </c>
      <c r="E77" s="2" t="s">
        <v>55</v>
      </c>
      <c r="F77" s="2">
        <v>0</v>
      </c>
      <c r="G77" s="2" t="s">
        <v>55</v>
      </c>
      <c r="H77" s="2" t="s">
        <v>55</v>
      </c>
      <c r="I77" s="2" t="s">
        <v>55</v>
      </c>
      <c r="J77" s="2" t="s">
        <v>55</v>
      </c>
      <c r="K77" s="2" t="s">
        <v>55</v>
      </c>
      <c r="L77" s="2" t="s">
        <v>55</v>
      </c>
      <c r="M77" s="2" t="s">
        <v>55</v>
      </c>
      <c r="N77" s="2" t="s">
        <v>55</v>
      </c>
      <c r="O77" s="2" t="s">
        <v>55</v>
      </c>
      <c r="P77" s="2" t="s">
        <v>55</v>
      </c>
      <c r="Q77" s="2" t="s">
        <v>55</v>
      </c>
      <c r="R77" s="2" t="s">
        <v>55</v>
      </c>
      <c r="S77" s="2">
        <f t="shared" ref="S77:S108" si="2">COUNTIF(M77:R77,"Yes")</f>
        <v>0</v>
      </c>
      <c r="T77" s="2" t="s">
        <v>2004</v>
      </c>
      <c r="U77" s="2" t="s">
        <v>2005</v>
      </c>
    </row>
    <row r="78" spans="1:21" x14ac:dyDescent="0.25">
      <c r="A78" s="2" t="s">
        <v>2060</v>
      </c>
      <c r="B78" s="2" t="s">
        <v>2003</v>
      </c>
      <c r="C78" s="2" t="s">
        <v>55</v>
      </c>
      <c r="D78" s="2" t="s">
        <v>55</v>
      </c>
      <c r="E78" s="2" t="s">
        <v>55</v>
      </c>
      <c r="F78" s="2">
        <v>0</v>
      </c>
      <c r="G78" s="2" t="s">
        <v>55</v>
      </c>
      <c r="H78" s="2" t="s">
        <v>55</v>
      </c>
      <c r="I78" s="2" t="s">
        <v>55</v>
      </c>
      <c r="J78" s="2" t="s">
        <v>55</v>
      </c>
      <c r="K78" s="2" t="s">
        <v>55</v>
      </c>
      <c r="L78" s="2" t="s">
        <v>55</v>
      </c>
      <c r="M78" s="2" t="s">
        <v>55</v>
      </c>
      <c r="N78" s="2" t="s">
        <v>55</v>
      </c>
      <c r="O78" s="2" t="s">
        <v>55</v>
      </c>
      <c r="P78" s="2" t="s">
        <v>55</v>
      </c>
      <c r="Q78" s="2" t="s">
        <v>55</v>
      </c>
      <c r="R78" s="2" t="s">
        <v>55</v>
      </c>
      <c r="S78" s="2">
        <f t="shared" si="2"/>
        <v>0</v>
      </c>
      <c r="T78" s="2" t="s">
        <v>2004</v>
      </c>
      <c r="U78" s="2" t="s">
        <v>2005</v>
      </c>
    </row>
    <row r="79" spans="1:21" x14ac:dyDescent="0.25">
      <c r="A79" s="2" t="s">
        <v>2061</v>
      </c>
      <c r="B79" s="2" t="s">
        <v>2003</v>
      </c>
      <c r="C79" s="2" t="s">
        <v>55</v>
      </c>
      <c r="D79" s="2" t="s">
        <v>55</v>
      </c>
      <c r="E79" s="2" t="s">
        <v>55</v>
      </c>
      <c r="F79" s="2">
        <v>0</v>
      </c>
      <c r="G79" s="2" t="s">
        <v>55</v>
      </c>
      <c r="H79" s="2" t="s">
        <v>55</v>
      </c>
      <c r="I79" s="2" t="s">
        <v>55</v>
      </c>
      <c r="J79" s="2" t="s">
        <v>55</v>
      </c>
      <c r="K79" s="2" t="s">
        <v>55</v>
      </c>
      <c r="L79" s="2" t="s">
        <v>55</v>
      </c>
      <c r="M79" s="2" t="s">
        <v>55</v>
      </c>
      <c r="N79" s="2" t="s">
        <v>55</v>
      </c>
      <c r="O79" s="2" t="s">
        <v>55</v>
      </c>
      <c r="P79" s="2" t="s">
        <v>55</v>
      </c>
      <c r="Q79" s="2" t="s">
        <v>55</v>
      </c>
      <c r="R79" s="2" t="s">
        <v>55</v>
      </c>
      <c r="S79" s="2">
        <f t="shared" si="2"/>
        <v>0</v>
      </c>
      <c r="T79" s="2" t="s">
        <v>2004</v>
      </c>
      <c r="U79" s="2" t="s">
        <v>2005</v>
      </c>
    </row>
    <row r="80" spans="1:21" x14ac:dyDescent="0.25">
      <c r="A80" s="2" t="s">
        <v>2062</v>
      </c>
      <c r="B80" s="2" t="s">
        <v>2003</v>
      </c>
      <c r="C80" s="2" t="s">
        <v>55</v>
      </c>
      <c r="D80" s="2" t="s">
        <v>55</v>
      </c>
      <c r="E80" s="2" t="s">
        <v>55</v>
      </c>
      <c r="F80" s="2">
        <v>0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>
        <f t="shared" si="2"/>
        <v>0</v>
      </c>
      <c r="T80" s="2" t="s">
        <v>2004</v>
      </c>
      <c r="U80" s="2" t="s">
        <v>2005</v>
      </c>
    </row>
    <row r="81" spans="1:21" x14ac:dyDescent="0.25">
      <c r="A81" s="2" t="s">
        <v>2063</v>
      </c>
      <c r="B81" s="2" t="s">
        <v>2003</v>
      </c>
      <c r="C81" s="2" t="s">
        <v>55</v>
      </c>
      <c r="D81" s="2" t="s">
        <v>55</v>
      </c>
      <c r="E81" s="2" t="s">
        <v>55</v>
      </c>
      <c r="F81" s="2">
        <v>0</v>
      </c>
      <c r="G81" s="2" t="s">
        <v>55</v>
      </c>
      <c r="H81" s="2" t="s">
        <v>55</v>
      </c>
      <c r="I81" s="2" t="s">
        <v>55</v>
      </c>
      <c r="J81" s="2" t="s">
        <v>55</v>
      </c>
      <c r="K81" s="2" t="s">
        <v>55</v>
      </c>
      <c r="L81" s="2" t="s">
        <v>55</v>
      </c>
      <c r="M81" s="2" t="s">
        <v>55</v>
      </c>
      <c r="N81" s="2" t="s">
        <v>55</v>
      </c>
      <c r="O81" s="2" t="s">
        <v>55</v>
      </c>
      <c r="P81" s="2" t="s">
        <v>55</v>
      </c>
      <c r="Q81" s="2" t="s">
        <v>55</v>
      </c>
      <c r="R81" s="2" t="s">
        <v>55</v>
      </c>
      <c r="S81" s="2">
        <f t="shared" si="2"/>
        <v>0</v>
      </c>
      <c r="T81" s="2" t="s">
        <v>2004</v>
      </c>
      <c r="U81" s="2" t="s">
        <v>2005</v>
      </c>
    </row>
    <row r="82" spans="1:21" x14ac:dyDescent="0.25">
      <c r="A82" s="2" t="s">
        <v>2064</v>
      </c>
      <c r="B82" s="2" t="s">
        <v>2003</v>
      </c>
      <c r="C82" s="2" t="s">
        <v>55</v>
      </c>
      <c r="D82" s="2" t="s">
        <v>55</v>
      </c>
      <c r="E82" s="2" t="s">
        <v>55</v>
      </c>
      <c r="F82" s="2">
        <v>0</v>
      </c>
      <c r="G82" s="2" t="s">
        <v>55</v>
      </c>
      <c r="H82" s="2" t="s">
        <v>55</v>
      </c>
      <c r="I82" s="2" t="s">
        <v>55</v>
      </c>
      <c r="J82" s="2" t="s">
        <v>55</v>
      </c>
      <c r="K82" s="2" t="s">
        <v>55</v>
      </c>
      <c r="L82" s="2" t="s">
        <v>55</v>
      </c>
      <c r="M82" s="2" t="s">
        <v>55</v>
      </c>
      <c r="N82" s="2" t="s">
        <v>55</v>
      </c>
      <c r="O82" s="2" t="s">
        <v>55</v>
      </c>
      <c r="P82" s="2" t="s">
        <v>55</v>
      </c>
      <c r="Q82" s="2" t="s">
        <v>55</v>
      </c>
      <c r="R82" s="2" t="s">
        <v>55</v>
      </c>
      <c r="S82" s="2">
        <f t="shared" si="2"/>
        <v>0</v>
      </c>
      <c r="T82" s="2" t="s">
        <v>2004</v>
      </c>
      <c r="U82" s="2" t="s">
        <v>2005</v>
      </c>
    </row>
    <row r="83" spans="1:21" x14ac:dyDescent="0.25">
      <c r="A83" s="2" t="s">
        <v>2065</v>
      </c>
      <c r="B83" s="2" t="s">
        <v>2003</v>
      </c>
      <c r="C83" s="2" t="s">
        <v>55</v>
      </c>
      <c r="D83" s="2" t="s">
        <v>55</v>
      </c>
      <c r="E83" s="2" t="s">
        <v>55</v>
      </c>
      <c r="F83" s="2">
        <v>0</v>
      </c>
      <c r="G83" s="2" t="s">
        <v>55</v>
      </c>
      <c r="H83" s="2" t="s">
        <v>55</v>
      </c>
      <c r="I83" s="2" t="s">
        <v>55</v>
      </c>
      <c r="J83" s="2" t="s">
        <v>55</v>
      </c>
      <c r="K83" s="2" t="s">
        <v>55</v>
      </c>
      <c r="L83" s="2" t="s">
        <v>55</v>
      </c>
      <c r="M83" s="2" t="s">
        <v>55</v>
      </c>
      <c r="N83" s="2" t="s">
        <v>55</v>
      </c>
      <c r="O83" s="2" t="s">
        <v>55</v>
      </c>
      <c r="P83" s="2" t="s">
        <v>55</v>
      </c>
      <c r="Q83" s="2" t="s">
        <v>55</v>
      </c>
      <c r="R83" s="2" t="s">
        <v>55</v>
      </c>
      <c r="S83" s="2">
        <f t="shared" si="2"/>
        <v>0</v>
      </c>
      <c r="T83" s="2" t="s">
        <v>2004</v>
      </c>
      <c r="U83" s="2" t="s">
        <v>2005</v>
      </c>
    </row>
    <row r="84" spans="1:21" x14ac:dyDescent="0.25">
      <c r="A84" s="2" t="s">
        <v>2066</v>
      </c>
      <c r="B84" s="2" t="s">
        <v>2003</v>
      </c>
      <c r="C84" s="2" t="s">
        <v>55</v>
      </c>
      <c r="D84" s="2" t="s">
        <v>55</v>
      </c>
      <c r="E84" s="2" t="s">
        <v>55</v>
      </c>
      <c r="F84" s="2">
        <v>0</v>
      </c>
      <c r="G84" s="2" t="s">
        <v>55</v>
      </c>
      <c r="H84" s="2" t="s">
        <v>55</v>
      </c>
      <c r="I84" s="2" t="s">
        <v>55</v>
      </c>
      <c r="J84" s="2" t="s">
        <v>55</v>
      </c>
      <c r="K84" s="2" t="s">
        <v>55</v>
      </c>
      <c r="L84" s="2" t="s">
        <v>55</v>
      </c>
      <c r="M84" s="2" t="s">
        <v>55</v>
      </c>
      <c r="N84" s="2" t="s">
        <v>55</v>
      </c>
      <c r="O84" s="2" t="s">
        <v>55</v>
      </c>
      <c r="P84" s="2" t="s">
        <v>55</v>
      </c>
      <c r="Q84" s="2" t="s">
        <v>55</v>
      </c>
      <c r="R84" s="2" t="s">
        <v>55</v>
      </c>
      <c r="S84" s="2">
        <f t="shared" si="2"/>
        <v>0</v>
      </c>
      <c r="T84" s="2" t="s">
        <v>2004</v>
      </c>
      <c r="U84" s="2" t="s">
        <v>2005</v>
      </c>
    </row>
    <row r="85" spans="1:21" x14ac:dyDescent="0.25">
      <c r="A85" s="2" t="s">
        <v>2067</v>
      </c>
      <c r="B85" s="2" t="s">
        <v>2003</v>
      </c>
      <c r="C85" s="2" t="s">
        <v>55</v>
      </c>
      <c r="D85" s="2" t="s">
        <v>55</v>
      </c>
      <c r="E85" s="2" t="s">
        <v>55</v>
      </c>
      <c r="F85" s="2">
        <v>0</v>
      </c>
      <c r="G85" s="2" t="s">
        <v>55</v>
      </c>
      <c r="H85" s="2" t="s">
        <v>55</v>
      </c>
      <c r="I85" s="2" t="s">
        <v>55</v>
      </c>
      <c r="J85" s="2" t="s">
        <v>55</v>
      </c>
      <c r="K85" s="2" t="s">
        <v>55</v>
      </c>
      <c r="L85" s="2" t="s">
        <v>55</v>
      </c>
      <c r="M85" s="2" t="s">
        <v>55</v>
      </c>
      <c r="N85" s="2" t="s">
        <v>55</v>
      </c>
      <c r="O85" s="2" t="s">
        <v>55</v>
      </c>
      <c r="P85" s="2" t="s">
        <v>55</v>
      </c>
      <c r="Q85" s="2" t="s">
        <v>55</v>
      </c>
      <c r="R85" s="2" t="s">
        <v>55</v>
      </c>
      <c r="S85" s="2">
        <f t="shared" si="2"/>
        <v>0</v>
      </c>
      <c r="T85" s="2" t="s">
        <v>2004</v>
      </c>
      <c r="U85" s="2" t="s">
        <v>2005</v>
      </c>
    </row>
    <row r="86" spans="1:21" x14ac:dyDescent="0.25">
      <c r="A86" s="2" t="s">
        <v>2068</v>
      </c>
      <c r="B86" s="2" t="s">
        <v>2003</v>
      </c>
      <c r="C86" s="2" t="s">
        <v>55</v>
      </c>
      <c r="D86" s="2" t="s">
        <v>55</v>
      </c>
      <c r="E86" s="2" t="s">
        <v>55</v>
      </c>
      <c r="F86" s="2">
        <v>0</v>
      </c>
      <c r="G86" s="2" t="s">
        <v>55</v>
      </c>
      <c r="H86" s="2" t="s">
        <v>55</v>
      </c>
      <c r="I86" s="2" t="s">
        <v>55</v>
      </c>
      <c r="J86" s="2" t="s">
        <v>55</v>
      </c>
      <c r="K86" s="2" t="s">
        <v>55</v>
      </c>
      <c r="L86" s="2" t="s">
        <v>55</v>
      </c>
      <c r="M86" s="2" t="s">
        <v>55</v>
      </c>
      <c r="N86" s="2" t="s">
        <v>55</v>
      </c>
      <c r="O86" s="2" t="s">
        <v>55</v>
      </c>
      <c r="P86" s="2" t="s">
        <v>55</v>
      </c>
      <c r="Q86" s="2" t="s">
        <v>55</v>
      </c>
      <c r="R86" s="2" t="s">
        <v>55</v>
      </c>
      <c r="S86" s="2">
        <f t="shared" si="2"/>
        <v>0</v>
      </c>
      <c r="T86" s="2" t="s">
        <v>2004</v>
      </c>
      <c r="U86" s="2" t="s">
        <v>2005</v>
      </c>
    </row>
    <row r="87" spans="1:21" x14ac:dyDescent="0.25">
      <c r="A87" s="2" t="s">
        <v>2069</v>
      </c>
      <c r="B87" s="2" t="s">
        <v>2003</v>
      </c>
      <c r="C87" s="2" t="s">
        <v>55</v>
      </c>
      <c r="D87" s="2" t="s">
        <v>55</v>
      </c>
      <c r="E87" s="2" t="s">
        <v>55</v>
      </c>
      <c r="F87" s="2">
        <v>0</v>
      </c>
      <c r="G87" s="2" t="s">
        <v>55</v>
      </c>
      <c r="H87" s="2" t="s">
        <v>55</v>
      </c>
      <c r="I87" s="2" t="s">
        <v>55</v>
      </c>
      <c r="J87" s="2" t="s">
        <v>55</v>
      </c>
      <c r="K87" s="2" t="s">
        <v>55</v>
      </c>
      <c r="L87" s="2" t="s">
        <v>55</v>
      </c>
      <c r="M87" s="2" t="s">
        <v>55</v>
      </c>
      <c r="N87" s="2" t="s">
        <v>55</v>
      </c>
      <c r="O87" s="2" t="s">
        <v>55</v>
      </c>
      <c r="P87" s="2" t="s">
        <v>55</v>
      </c>
      <c r="Q87" s="2" t="s">
        <v>55</v>
      </c>
      <c r="R87" s="2" t="s">
        <v>55</v>
      </c>
      <c r="S87" s="2">
        <f t="shared" si="2"/>
        <v>0</v>
      </c>
      <c r="T87" s="2" t="s">
        <v>2004</v>
      </c>
      <c r="U87" s="2" t="s">
        <v>2005</v>
      </c>
    </row>
    <row r="88" spans="1:21" x14ac:dyDescent="0.25">
      <c r="A88" s="2" t="s">
        <v>2070</v>
      </c>
      <c r="B88" s="2" t="s">
        <v>2003</v>
      </c>
      <c r="C88" s="2" t="s">
        <v>55</v>
      </c>
      <c r="D88" s="2" t="s">
        <v>55</v>
      </c>
      <c r="E88" s="2" t="s">
        <v>55</v>
      </c>
      <c r="F88" s="2">
        <v>0</v>
      </c>
      <c r="G88" s="2" t="s">
        <v>55</v>
      </c>
      <c r="H88" s="2" t="s">
        <v>55</v>
      </c>
      <c r="I88" s="2" t="s">
        <v>55</v>
      </c>
      <c r="J88" s="2" t="s">
        <v>55</v>
      </c>
      <c r="K88" s="2" t="s">
        <v>55</v>
      </c>
      <c r="L88" s="2" t="s">
        <v>55</v>
      </c>
      <c r="M88" s="2" t="s">
        <v>55</v>
      </c>
      <c r="N88" s="2" t="s">
        <v>55</v>
      </c>
      <c r="O88" s="2" t="s">
        <v>55</v>
      </c>
      <c r="P88" s="2" t="s">
        <v>55</v>
      </c>
      <c r="Q88" s="2" t="s">
        <v>55</v>
      </c>
      <c r="R88" s="2" t="s">
        <v>55</v>
      </c>
      <c r="S88" s="2">
        <f t="shared" si="2"/>
        <v>0</v>
      </c>
      <c r="T88" s="2" t="s">
        <v>2004</v>
      </c>
      <c r="U88" s="2" t="s">
        <v>2005</v>
      </c>
    </row>
    <row r="89" spans="1:21" x14ac:dyDescent="0.25">
      <c r="A89" s="2" t="s">
        <v>2071</v>
      </c>
      <c r="B89" s="2" t="s">
        <v>2003</v>
      </c>
      <c r="C89" s="2" t="s">
        <v>55</v>
      </c>
      <c r="D89" s="2" t="s">
        <v>55</v>
      </c>
      <c r="E89" s="2" t="s">
        <v>55</v>
      </c>
      <c r="F89" s="2">
        <v>0</v>
      </c>
      <c r="G89" s="2" t="s">
        <v>55</v>
      </c>
      <c r="H89" s="2" t="s">
        <v>55</v>
      </c>
      <c r="I89" s="2" t="s">
        <v>55</v>
      </c>
      <c r="J89" s="2" t="s">
        <v>55</v>
      </c>
      <c r="K89" s="2" t="s">
        <v>55</v>
      </c>
      <c r="L89" s="2" t="s">
        <v>55</v>
      </c>
      <c r="M89" s="2" t="s">
        <v>55</v>
      </c>
      <c r="N89" s="2" t="s">
        <v>55</v>
      </c>
      <c r="O89" s="2" t="s">
        <v>55</v>
      </c>
      <c r="P89" s="2" t="s">
        <v>55</v>
      </c>
      <c r="Q89" s="2" t="s">
        <v>55</v>
      </c>
      <c r="R89" s="2" t="s">
        <v>55</v>
      </c>
      <c r="S89" s="2">
        <f t="shared" si="2"/>
        <v>0</v>
      </c>
      <c r="T89" s="2" t="s">
        <v>2004</v>
      </c>
      <c r="U89" s="2" t="s">
        <v>2005</v>
      </c>
    </row>
    <row r="90" spans="1:21" x14ac:dyDescent="0.25">
      <c r="A90" s="2" t="s">
        <v>2072</v>
      </c>
      <c r="B90" s="2" t="s">
        <v>2003</v>
      </c>
      <c r="C90" s="2" t="s">
        <v>55</v>
      </c>
      <c r="D90" s="2" t="s">
        <v>55</v>
      </c>
      <c r="E90" s="2" t="s">
        <v>55</v>
      </c>
      <c r="F90" s="2">
        <v>0</v>
      </c>
      <c r="G90" s="2" t="s">
        <v>55</v>
      </c>
      <c r="H90" s="2" t="s">
        <v>55</v>
      </c>
      <c r="I90" s="2" t="s">
        <v>55</v>
      </c>
      <c r="J90" s="2" t="s">
        <v>55</v>
      </c>
      <c r="K90" s="2" t="s">
        <v>55</v>
      </c>
      <c r="L90" s="2" t="s">
        <v>55</v>
      </c>
      <c r="M90" s="2" t="s">
        <v>55</v>
      </c>
      <c r="N90" s="2" t="s">
        <v>55</v>
      </c>
      <c r="O90" s="2" t="s">
        <v>55</v>
      </c>
      <c r="P90" s="2" t="s">
        <v>55</v>
      </c>
      <c r="Q90" s="2" t="s">
        <v>55</v>
      </c>
      <c r="R90" s="2" t="s">
        <v>55</v>
      </c>
      <c r="S90" s="2">
        <f t="shared" si="2"/>
        <v>0</v>
      </c>
      <c r="T90" s="2" t="s">
        <v>2004</v>
      </c>
      <c r="U90" s="2" t="s">
        <v>2005</v>
      </c>
    </row>
    <row r="91" spans="1:21" x14ac:dyDescent="0.25">
      <c r="A91" s="2" t="s">
        <v>2073</v>
      </c>
      <c r="B91" s="2" t="s">
        <v>2003</v>
      </c>
      <c r="C91" s="2" t="s">
        <v>55</v>
      </c>
      <c r="D91" s="2" t="s">
        <v>55</v>
      </c>
      <c r="E91" s="2" t="s">
        <v>55</v>
      </c>
      <c r="F91" s="2">
        <v>0</v>
      </c>
      <c r="G91" s="2" t="s">
        <v>55</v>
      </c>
      <c r="H91" s="2" t="s">
        <v>55</v>
      </c>
      <c r="I91" s="2" t="s">
        <v>55</v>
      </c>
      <c r="J91" s="2" t="s">
        <v>55</v>
      </c>
      <c r="K91" s="2" t="s">
        <v>55</v>
      </c>
      <c r="L91" s="2" t="s">
        <v>55</v>
      </c>
      <c r="M91" s="2" t="s">
        <v>55</v>
      </c>
      <c r="N91" s="2" t="s">
        <v>55</v>
      </c>
      <c r="O91" s="2" t="s">
        <v>55</v>
      </c>
      <c r="P91" s="2" t="s">
        <v>55</v>
      </c>
      <c r="Q91" s="2" t="s">
        <v>55</v>
      </c>
      <c r="R91" s="2" t="s">
        <v>55</v>
      </c>
      <c r="S91" s="2">
        <f t="shared" si="2"/>
        <v>0</v>
      </c>
      <c r="T91" s="2" t="s">
        <v>2004</v>
      </c>
      <c r="U91" s="2" t="s">
        <v>2005</v>
      </c>
    </row>
    <row r="92" spans="1:21" x14ac:dyDescent="0.25">
      <c r="A92" s="2" t="s">
        <v>2074</v>
      </c>
      <c r="B92" s="2" t="s">
        <v>2003</v>
      </c>
      <c r="C92" s="2" t="s">
        <v>55</v>
      </c>
      <c r="D92" s="2" t="s">
        <v>55</v>
      </c>
      <c r="E92" s="2" t="s">
        <v>55</v>
      </c>
      <c r="F92" s="2">
        <v>0</v>
      </c>
      <c r="G92" s="2" t="s">
        <v>55</v>
      </c>
      <c r="H92" s="2" t="s">
        <v>55</v>
      </c>
      <c r="I92" s="2" t="s">
        <v>55</v>
      </c>
      <c r="J92" s="2" t="s">
        <v>55</v>
      </c>
      <c r="K92" s="2" t="s">
        <v>55</v>
      </c>
      <c r="L92" s="2" t="s">
        <v>55</v>
      </c>
      <c r="M92" s="2" t="s">
        <v>55</v>
      </c>
      <c r="N92" s="2" t="s">
        <v>55</v>
      </c>
      <c r="O92" s="2" t="s">
        <v>55</v>
      </c>
      <c r="P92" s="2" t="s">
        <v>55</v>
      </c>
      <c r="Q92" s="2" t="s">
        <v>55</v>
      </c>
      <c r="R92" s="2" t="s">
        <v>55</v>
      </c>
      <c r="S92" s="2">
        <f t="shared" si="2"/>
        <v>0</v>
      </c>
      <c r="T92" s="2" t="s">
        <v>2004</v>
      </c>
      <c r="U92" s="2" t="s">
        <v>2005</v>
      </c>
    </row>
    <row r="93" spans="1:21" x14ac:dyDescent="0.25">
      <c r="A93" s="2" t="s">
        <v>2075</v>
      </c>
      <c r="B93" s="2" t="s">
        <v>2003</v>
      </c>
      <c r="C93" s="2" t="s">
        <v>55</v>
      </c>
      <c r="D93" s="2" t="s">
        <v>55</v>
      </c>
      <c r="E93" s="2" t="s">
        <v>55</v>
      </c>
      <c r="F93" s="2">
        <v>0</v>
      </c>
      <c r="G93" s="2" t="s">
        <v>55</v>
      </c>
      <c r="H93" s="2" t="s">
        <v>55</v>
      </c>
      <c r="I93" s="2" t="s">
        <v>55</v>
      </c>
      <c r="J93" s="2" t="s">
        <v>55</v>
      </c>
      <c r="K93" s="2" t="s">
        <v>55</v>
      </c>
      <c r="L93" s="2" t="s">
        <v>55</v>
      </c>
      <c r="M93" s="2" t="s">
        <v>55</v>
      </c>
      <c r="N93" s="2" t="s">
        <v>55</v>
      </c>
      <c r="O93" s="2" t="s">
        <v>55</v>
      </c>
      <c r="P93" s="2" t="s">
        <v>55</v>
      </c>
      <c r="Q93" s="2" t="s">
        <v>55</v>
      </c>
      <c r="R93" s="2" t="s">
        <v>55</v>
      </c>
      <c r="S93" s="2">
        <f t="shared" si="2"/>
        <v>0</v>
      </c>
      <c r="T93" s="2" t="s">
        <v>2004</v>
      </c>
      <c r="U93" s="2" t="s">
        <v>2005</v>
      </c>
    </row>
    <row r="94" spans="1:21" x14ac:dyDescent="0.25">
      <c r="A94" s="2" t="s">
        <v>2076</v>
      </c>
      <c r="B94" s="2" t="s">
        <v>2003</v>
      </c>
      <c r="C94" s="2" t="s">
        <v>55</v>
      </c>
      <c r="D94" s="2" t="s">
        <v>55</v>
      </c>
      <c r="E94" s="2" t="s">
        <v>55</v>
      </c>
      <c r="F94" s="2">
        <v>0</v>
      </c>
      <c r="G94" s="2" t="s">
        <v>55</v>
      </c>
      <c r="H94" s="2" t="s">
        <v>55</v>
      </c>
      <c r="I94" s="2" t="s">
        <v>55</v>
      </c>
      <c r="J94" s="2" t="s">
        <v>55</v>
      </c>
      <c r="K94" s="2" t="s">
        <v>55</v>
      </c>
      <c r="L94" s="2" t="s">
        <v>55</v>
      </c>
      <c r="M94" s="2" t="s">
        <v>55</v>
      </c>
      <c r="N94" s="2" t="s">
        <v>55</v>
      </c>
      <c r="O94" s="2" t="s">
        <v>55</v>
      </c>
      <c r="P94" s="2" t="s">
        <v>55</v>
      </c>
      <c r="Q94" s="2" t="s">
        <v>55</v>
      </c>
      <c r="R94" s="2" t="s">
        <v>55</v>
      </c>
      <c r="S94" s="2">
        <f t="shared" si="2"/>
        <v>0</v>
      </c>
      <c r="T94" s="2" t="s">
        <v>2004</v>
      </c>
      <c r="U94" s="2" t="s">
        <v>2005</v>
      </c>
    </row>
    <row r="95" spans="1:21" x14ac:dyDescent="0.25">
      <c r="A95" s="2" t="s">
        <v>2077</v>
      </c>
      <c r="B95" s="2" t="s">
        <v>2003</v>
      </c>
      <c r="C95" s="2" t="s">
        <v>55</v>
      </c>
      <c r="D95" s="2" t="s">
        <v>55</v>
      </c>
      <c r="E95" s="2" t="s">
        <v>55</v>
      </c>
      <c r="F95" s="2">
        <v>0</v>
      </c>
      <c r="G95" s="2" t="s">
        <v>55</v>
      </c>
      <c r="H95" s="2" t="s">
        <v>55</v>
      </c>
      <c r="I95" s="2" t="s">
        <v>55</v>
      </c>
      <c r="J95" s="2" t="s">
        <v>55</v>
      </c>
      <c r="K95" s="2" t="s">
        <v>55</v>
      </c>
      <c r="L95" s="2" t="s">
        <v>55</v>
      </c>
      <c r="M95" s="2" t="s">
        <v>55</v>
      </c>
      <c r="N95" s="2" t="s">
        <v>55</v>
      </c>
      <c r="O95" s="2" t="s">
        <v>55</v>
      </c>
      <c r="P95" s="2" t="s">
        <v>55</v>
      </c>
      <c r="Q95" s="2" t="s">
        <v>55</v>
      </c>
      <c r="R95" s="2" t="s">
        <v>55</v>
      </c>
      <c r="S95" s="2">
        <f t="shared" si="2"/>
        <v>0</v>
      </c>
      <c r="T95" s="2" t="s">
        <v>2004</v>
      </c>
      <c r="U95" s="2" t="s">
        <v>2005</v>
      </c>
    </row>
    <row r="96" spans="1:21" x14ac:dyDescent="0.25">
      <c r="A96" s="2" t="s">
        <v>2078</v>
      </c>
      <c r="B96" s="2" t="s">
        <v>2003</v>
      </c>
      <c r="C96" s="2" t="s">
        <v>55</v>
      </c>
      <c r="D96" s="2" t="s">
        <v>55</v>
      </c>
      <c r="E96" s="2" t="s">
        <v>55</v>
      </c>
      <c r="F96" s="2">
        <v>0</v>
      </c>
      <c r="G96" s="2" t="s">
        <v>55</v>
      </c>
      <c r="H96" s="2" t="s">
        <v>55</v>
      </c>
      <c r="I96" s="2" t="s">
        <v>55</v>
      </c>
      <c r="J96" s="2" t="s">
        <v>55</v>
      </c>
      <c r="K96" s="2" t="s">
        <v>55</v>
      </c>
      <c r="L96" s="2" t="s">
        <v>55</v>
      </c>
      <c r="M96" s="2" t="s">
        <v>55</v>
      </c>
      <c r="N96" s="2" t="s">
        <v>55</v>
      </c>
      <c r="O96" s="2" t="s">
        <v>55</v>
      </c>
      <c r="P96" s="2" t="s">
        <v>55</v>
      </c>
      <c r="Q96" s="2" t="s">
        <v>55</v>
      </c>
      <c r="R96" s="2" t="s">
        <v>55</v>
      </c>
      <c r="S96" s="2">
        <f t="shared" si="2"/>
        <v>0</v>
      </c>
      <c r="T96" s="2" t="s">
        <v>2004</v>
      </c>
      <c r="U96" s="2" t="s">
        <v>2005</v>
      </c>
    </row>
    <row r="97" spans="1:21" x14ac:dyDescent="0.25">
      <c r="A97" s="2" t="s">
        <v>2079</v>
      </c>
      <c r="B97" s="2" t="s">
        <v>2003</v>
      </c>
      <c r="C97" s="2" t="s">
        <v>55</v>
      </c>
      <c r="D97" s="2" t="s">
        <v>55</v>
      </c>
      <c r="E97" s="2" t="s">
        <v>55</v>
      </c>
      <c r="F97" s="2">
        <v>0</v>
      </c>
      <c r="G97" s="2" t="s">
        <v>55</v>
      </c>
      <c r="H97" s="2" t="s">
        <v>55</v>
      </c>
      <c r="I97" s="2" t="s">
        <v>55</v>
      </c>
      <c r="J97" s="2" t="s">
        <v>55</v>
      </c>
      <c r="K97" s="2" t="s">
        <v>55</v>
      </c>
      <c r="L97" s="2" t="s">
        <v>55</v>
      </c>
      <c r="M97" s="2" t="s">
        <v>55</v>
      </c>
      <c r="N97" s="2" t="s">
        <v>55</v>
      </c>
      <c r="O97" s="2" t="s">
        <v>55</v>
      </c>
      <c r="P97" s="2" t="s">
        <v>55</v>
      </c>
      <c r="Q97" s="2" t="s">
        <v>55</v>
      </c>
      <c r="R97" s="2" t="s">
        <v>55</v>
      </c>
      <c r="S97" s="2">
        <f t="shared" si="2"/>
        <v>0</v>
      </c>
      <c r="T97" s="2" t="s">
        <v>2004</v>
      </c>
      <c r="U97" s="2" t="s">
        <v>2005</v>
      </c>
    </row>
    <row r="98" spans="1:21" x14ac:dyDescent="0.25">
      <c r="A98" s="2" t="s">
        <v>2080</v>
      </c>
      <c r="B98" s="2" t="s">
        <v>2003</v>
      </c>
      <c r="C98" s="2" t="s">
        <v>55</v>
      </c>
      <c r="D98" s="2" t="s">
        <v>55</v>
      </c>
      <c r="E98" s="2" t="s">
        <v>55</v>
      </c>
      <c r="F98" s="2">
        <v>0</v>
      </c>
      <c r="G98" s="2" t="s">
        <v>55</v>
      </c>
      <c r="H98" s="2" t="s">
        <v>55</v>
      </c>
      <c r="I98" s="2" t="s">
        <v>55</v>
      </c>
      <c r="J98" s="2" t="s">
        <v>55</v>
      </c>
      <c r="K98" s="2" t="s">
        <v>55</v>
      </c>
      <c r="L98" s="2" t="s">
        <v>55</v>
      </c>
      <c r="M98" s="2" t="s">
        <v>55</v>
      </c>
      <c r="N98" s="2" t="s">
        <v>55</v>
      </c>
      <c r="O98" s="2" t="s">
        <v>55</v>
      </c>
      <c r="P98" s="2" t="s">
        <v>55</v>
      </c>
      <c r="Q98" s="2" t="s">
        <v>55</v>
      </c>
      <c r="R98" s="2" t="s">
        <v>55</v>
      </c>
      <c r="S98" s="2">
        <f t="shared" si="2"/>
        <v>0</v>
      </c>
      <c r="T98" s="2" t="s">
        <v>2004</v>
      </c>
      <c r="U98" s="2" t="s">
        <v>2005</v>
      </c>
    </row>
    <row r="99" spans="1:21" x14ac:dyDescent="0.25">
      <c r="A99" s="2" t="s">
        <v>2081</v>
      </c>
      <c r="B99" s="2" t="s">
        <v>2003</v>
      </c>
      <c r="C99" s="2" t="s">
        <v>55</v>
      </c>
      <c r="D99" s="2" t="s">
        <v>55</v>
      </c>
      <c r="E99" s="2" t="s">
        <v>55</v>
      </c>
      <c r="F99" s="2">
        <v>0</v>
      </c>
      <c r="G99" s="2" t="s">
        <v>55</v>
      </c>
      <c r="H99" s="2" t="s">
        <v>55</v>
      </c>
      <c r="I99" s="2" t="s">
        <v>55</v>
      </c>
      <c r="J99" s="2" t="s">
        <v>55</v>
      </c>
      <c r="K99" s="2" t="s">
        <v>55</v>
      </c>
      <c r="L99" s="2" t="s">
        <v>55</v>
      </c>
      <c r="M99" s="2" t="s">
        <v>55</v>
      </c>
      <c r="N99" s="2" t="s">
        <v>55</v>
      </c>
      <c r="O99" s="2" t="s">
        <v>55</v>
      </c>
      <c r="P99" s="2" t="s">
        <v>55</v>
      </c>
      <c r="Q99" s="2" t="s">
        <v>55</v>
      </c>
      <c r="R99" s="2" t="s">
        <v>55</v>
      </c>
      <c r="S99" s="2">
        <f t="shared" si="2"/>
        <v>0</v>
      </c>
      <c r="T99" s="2" t="s">
        <v>2004</v>
      </c>
      <c r="U99" s="2" t="s">
        <v>2005</v>
      </c>
    </row>
    <row r="100" spans="1:21" x14ac:dyDescent="0.25">
      <c r="A100" s="2" t="s">
        <v>2082</v>
      </c>
      <c r="B100" s="2" t="s">
        <v>2003</v>
      </c>
      <c r="C100" s="2" t="s">
        <v>55</v>
      </c>
      <c r="D100" s="2" t="s">
        <v>55</v>
      </c>
      <c r="E100" s="2" t="s">
        <v>55</v>
      </c>
      <c r="F100" s="2">
        <v>0</v>
      </c>
      <c r="G100" s="2" t="s">
        <v>55</v>
      </c>
      <c r="H100" s="2" t="s">
        <v>55</v>
      </c>
      <c r="I100" s="2" t="s">
        <v>55</v>
      </c>
      <c r="J100" s="2" t="s">
        <v>55</v>
      </c>
      <c r="K100" s="2" t="s">
        <v>55</v>
      </c>
      <c r="L100" s="2" t="s">
        <v>55</v>
      </c>
      <c r="M100" s="2" t="s">
        <v>55</v>
      </c>
      <c r="N100" s="2" t="s">
        <v>55</v>
      </c>
      <c r="O100" s="2" t="s">
        <v>55</v>
      </c>
      <c r="P100" s="2" t="s">
        <v>55</v>
      </c>
      <c r="Q100" s="2" t="s">
        <v>55</v>
      </c>
      <c r="R100" s="2" t="s">
        <v>55</v>
      </c>
      <c r="S100" s="2">
        <f t="shared" si="2"/>
        <v>0</v>
      </c>
      <c r="T100" s="2" t="s">
        <v>2004</v>
      </c>
      <c r="U100" s="2" t="s">
        <v>2005</v>
      </c>
    </row>
    <row r="101" spans="1:21" x14ac:dyDescent="0.25">
      <c r="A101" s="2" t="s">
        <v>2083</v>
      </c>
      <c r="B101" s="2" t="s">
        <v>2003</v>
      </c>
      <c r="C101" s="2" t="s">
        <v>55</v>
      </c>
      <c r="D101" s="2" t="s">
        <v>55</v>
      </c>
      <c r="E101" s="2" t="s">
        <v>55</v>
      </c>
      <c r="F101" s="2">
        <v>0</v>
      </c>
      <c r="G101" s="2" t="s">
        <v>55</v>
      </c>
      <c r="H101" s="2" t="s">
        <v>55</v>
      </c>
      <c r="I101" s="2" t="s">
        <v>55</v>
      </c>
      <c r="J101" s="2" t="s">
        <v>55</v>
      </c>
      <c r="K101" s="2" t="s">
        <v>55</v>
      </c>
      <c r="L101" s="2" t="s">
        <v>55</v>
      </c>
      <c r="M101" s="2" t="s">
        <v>55</v>
      </c>
      <c r="N101" s="2" t="s">
        <v>55</v>
      </c>
      <c r="O101" s="2" t="s">
        <v>55</v>
      </c>
      <c r="P101" s="2" t="s">
        <v>55</v>
      </c>
      <c r="Q101" s="2" t="s">
        <v>55</v>
      </c>
      <c r="R101" s="2" t="s">
        <v>55</v>
      </c>
      <c r="S101" s="2">
        <f t="shared" si="2"/>
        <v>0</v>
      </c>
      <c r="T101" s="2" t="s">
        <v>2004</v>
      </c>
      <c r="U101" s="2" t="s">
        <v>2005</v>
      </c>
    </row>
    <row r="102" spans="1:21" x14ac:dyDescent="0.25">
      <c r="A102" s="2" t="s">
        <v>2084</v>
      </c>
      <c r="B102" s="2" t="s">
        <v>2003</v>
      </c>
      <c r="C102" s="2" t="s">
        <v>55</v>
      </c>
      <c r="D102" s="2" t="s">
        <v>55</v>
      </c>
      <c r="E102" s="2" t="s">
        <v>55</v>
      </c>
      <c r="F102" s="2">
        <v>0</v>
      </c>
      <c r="G102" s="2" t="s">
        <v>55</v>
      </c>
      <c r="H102" s="2" t="s">
        <v>55</v>
      </c>
      <c r="I102" s="2" t="s">
        <v>55</v>
      </c>
      <c r="J102" s="2" t="s">
        <v>55</v>
      </c>
      <c r="K102" s="2" t="s">
        <v>55</v>
      </c>
      <c r="L102" s="2" t="s">
        <v>55</v>
      </c>
      <c r="M102" s="2" t="s">
        <v>55</v>
      </c>
      <c r="N102" s="2" t="s">
        <v>55</v>
      </c>
      <c r="O102" s="2" t="s">
        <v>55</v>
      </c>
      <c r="P102" s="2" t="s">
        <v>55</v>
      </c>
      <c r="Q102" s="2" t="s">
        <v>55</v>
      </c>
      <c r="R102" s="2" t="s">
        <v>55</v>
      </c>
      <c r="S102" s="2">
        <f t="shared" si="2"/>
        <v>0</v>
      </c>
      <c r="T102" s="2" t="s">
        <v>2004</v>
      </c>
      <c r="U102" s="2" t="s">
        <v>2005</v>
      </c>
    </row>
    <row r="103" spans="1:21" x14ac:dyDescent="0.25">
      <c r="A103" s="2" t="s">
        <v>2085</v>
      </c>
      <c r="B103" s="2" t="s">
        <v>2003</v>
      </c>
      <c r="C103" s="2" t="s">
        <v>55</v>
      </c>
      <c r="D103" s="2" t="s">
        <v>55</v>
      </c>
      <c r="E103" s="2" t="s">
        <v>55</v>
      </c>
      <c r="F103" s="2">
        <v>0</v>
      </c>
      <c r="G103" s="2" t="s">
        <v>55</v>
      </c>
      <c r="H103" s="2" t="s">
        <v>55</v>
      </c>
      <c r="I103" s="2" t="s">
        <v>55</v>
      </c>
      <c r="J103" s="2" t="s">
        <v>55</v>
      </c>
      <c r="K103" s="2" t="s">
        <v>55</v>
      </c>
      <c r="L103" s="2" t="s">
        <v>55</v>
      </c>
      <c r="M103" s="2" t="s">
        <v>55</v>
      </c>
      <c r="N103" s="2" t="s">
        <v>55</v>
      </c>
      <c r="O103" s="2" t="s">
        <v>55</v>
      </c>
      <c r="P103" s="2" t="s">
        <v>55</v>
      </c>
      <c r="Q103" s="2" t="s">
        <v>55</v>
      </c>
      <c r="R103" s="2" t="s">
        <v>55</v>
      </c>
      <c r="S103" s="2">
        <f t="shared" si="2"/>
        <v>0</v>
      </c>
      <c r="T103" s="2" t="s">
        <v>2004</v>
      </c>
      <c r="U103" s="2" t="s">
        <v>2005</v>
      </c>
    </row>
    <row r="104" spans="1:21" x14ac:dyDescent="0.25">
      <c r="A104" s="2" t="s">
        <v>2086</v>
      </c>
      <c r="B104" s="2" t="s">
        <v>2003</v>
      </c>
      <c r="C104" s="2" t="s">
        <v>55</v>
      </c>
      <c r="D104" s="2" t="s">
        <v>55</v>
      </c>
      <c r="E104" s="2" t="s">
        <v>55</v>
      </c>
      <c r="F104" s="2">
        <v>0</v>
      </c>
      <c r="G104" s="2" t="s">
        <v>55</v>
      </c>
      <c r="H104" s="2" t="s">
        <v>55</v>
      </c>
      <c r="I104" s="2" t="s">
        <v>55</v>
      </c>
      <c r="J104" s="2" t="s">
        <v>55</v>
      </c>
      <c r="K104" s="2" t="s">
        <v>55</v>
      </c>
      <c r="L104" s="2" t="s">
        <v>55</v>
      </c>
      <c r="M104" s="2" t="s">
        <v>55</v>
      </c>
      <c r="N104" s="2" t="s">
        <v>55</v>
      </c>
      <c r="O104" s="2" t="s">
        <v>55</v>
      </c>
      <c r="P104" s="2" t="s">
        <v>55</v>
      </c>
      <c r="Q104" s="2" t="s">
        <v>55</v>
      </c>
      <c r="R104" s="2" t="s">
        <v>55</v>
      </c>
      <c r="S104" s="2">
        <f t="shared" si="2"/>
        <v>0</v>
      </c>
      <c r="T104" s="2" t="s">
        <v>2004</v>
      </c>
      <c r="U104" s="2" t="s">
        <v>2005</v>
      </c>
    </row>
    <row r="105" spans="1:21" x14ac:dyDescent="0.25">
      <c r="A105" s="2" t="s">
        <v>2087</v>
      </c>
      <c r="B105" s="2" t="s">
        <v>2003</v>
      </c>
      <c r="C105" s="2" t="s">
        <v>55</v>
      </c>
      <c r="D105" s="2" t="s">
        <v>55</v>
      </c>
      <c r="E105" s="2" t="s">
        <v>55</v>
      </c>
      <c r="F105" s="2">
        <v>0</v>
      </c>
      <c r="G105" s="2" t="s">
        <v>55</v>
      </c>
      <c r="H105" s="2" t="s">
        <v>55</v>
      </c>
      <c r="I105" s="2" t="s">
        <v>55</v>
      </c>
      <c r="J105" s="2" t="s">
        <v>55</v>
      </c>
      <c r="K105" s="2" t="s">
        <v>55</v>
      </c>
      <c r="L105" s="2" t="s">
        <v>55</v>
      </c>
      <c r="M105" s="2" t="s">
        <v>55</v>
      </c>
      <c r="N105" s="2" t="s">
        <v>55</v>
      </c>
      <c r="O105" s="2" t="s">
        <v>55</v>
      </c>
      <c r="P105" s="2" t="s">
        <v>55</v>
      </c>
      <c r="Q105" s="2" t="s">
        <v>55</v>
      </c>
      <c r="R105" s="2" t="s">
        <v>55</v>
      </c>
      <c r="S105" s="2">
        <f t="shared" si="2"/>
        <v>0</v>
      </c>
      <c r="T105" s="2" t="s">
        <v>2004</v>
      </c>
      <c r="U105" s="2" t="s">
        <v>2005</v>
      </c>
    </row>
    <row r="106" spans="1:21" x14ac:dyDescent="0.25">
      <c r="A106" s="2" t="s">
        <v>2088</v>
      </c>
      <c r="B106" s="2" t="s">
        <v>2003</v>
      </c>
      <c r="C106" s="2" t="s">
        <v>55</v>
      </c>
      <c r="D106" s="2" t="s">
        <v>55</v>
      </c>
      <c r="E106" s="2" t="s">
        <v>55</v>
      </c>
      <c r="F106" s="2">
        <v>0</v>
      </c>
      <c r="G106" s="2" t="s">
        <v>55</v>
      </c>
      <c r="H106" s="2" t="s">
        <v>55</v>
      </c>
      <c r="I106" s="2" t="s">
        <v>55</v>
      </c>
      <c r="J106" s="2" t="s">
        <v>55</v>
      </c>
      <c r="K106" s="2" t="s">
        <v>55</v>
      </c>
      <c r="L106" s="2" t="s">
        <v>55</v>
      </c>
      <c r="M106" s="2" t="s">
        <v>55</v>
      </c>
      <c r="N106" s="2" t="s">
        <v>55</v>
      </c>
      <c r="O106" s="2" t="s">
        <v>55</v>
      </c>
      <c r="P106" s="2" t="s">
        <v>55</v>
      </c>
      <c r="Q106" s="2" t="s">
        <v>55</v>
      </c>
      <c r="R106" s="2" t="s">
        <v>55</v>
      </c>
      <c r="S106" s="2">
        <f t="shared" si="2"/>
        <v>0</v>
      </c>
      <c r="T106" s="2" t="s">
        <v>2004</v>
      </c>
      <c r="U106" s="2" t="s">
        <v>2005</v>
      </c>
    </row>
    <row r="107" spans="1:21" x14ac:dyDescent="0.25">
      <c r="A107" s="2" t="s">
        <v>2089</v>
      </c>
      <c r="B107" s="2" t="s">
        <v>2003</v>
      </c>
      <c r="C107" s="2" t="s">
        <v>55</v>
      </c>
      <c r="D107" s="2" t="s">
        <v>55</v>
      </c>
      <c r="E107" s="2" t="s">
        <v>55</v>
      </c>
      <c r="F107" s="2">
        <v>0</v>
      </c>
      <c r="G107" s="2" t="s">
        <v>55</v>
      </c>
      <c r="H107" s="2" t="s">
        <v>55</v>
      </c>
      <c r="I107" s="2" t="s">
        <v>55</v>
      </c>
      <c r="J107" s="2" t="s">
        <v>55</v>
      </c>
      <c r="K107" s="2" t="s">
        <v>55</v>
      </c>
      <c r="L107" s="2" t="s">
        <v>55</v>
      </c>
      <c r="M107" s="2" t="s">
        <v>55</v>
      </c>
      <c r="N107" s="2" t="s">
        <v>55</v>
      </c>
      <c r="O107" s="2" t="s">
        <v>55</v>
      </c>
      <c r="P107" s="2" t="s">
        <v>55</v>
      </c>
      <c r="Q107" s="2" t="s">
        <v>55</v>
      </c>
      <c r="R107" s="2" t="s">
        <v>55</v>
      </c>
      <c r="S107" s="2">
        <f t="shared" si="2"/>
        <v>0</v>
      </c>
      <c r="T107" s="2" t="s">
        <v>2004</v>
      </c>
      <c r="U107" s="2" t="s">
        <v>2005</v>
      </c>
    </row>
    <row r="108" spans="1:21" x14ac:dyDescent="0.25">
      <c r="A108" s="2" t="s">
        <v>2090</v>
      </c>
      <c r="B108" s="2" t="s">
        <v>2003</v>
      </c>
      <c r="C108" s="2" t="s">
        <v>55</v>
      </c>
      <c r="D108" s="2" t="s">
        <v>55</v>
      </c>
      <c r="E108" s="2" t="s">
        <v>55</v>
      </c>
      <c r="F108" s="2">
        <v>0</v>
      </c>
      <c r="G108" s="2" t="s">
        <v>55</v>
      </c>
      <c r="H108" s="2" t="s">
        <v>55</v>
      </c>
      <c r="I108" s="2" t="s">
        <v>55</v>
      </c>
      <c r="J108" s="2" t="s">
        <v>55</v>
      </c>
      <c r="K108" s="2" t="s">
        <v>55</v>
      </c>
      <c r="L108" s="2" t="s">
        <v>55</v>
      </c>
      <c r="M108" s="2" t="s">
        <v>55</v>
      </c>
      <c r="N108" s="2" t="s">
        <v>55</v>
      </c>
      <c r="O108" s="2" t="s">
        <v>55</v>
      </c>
      <c r="P108" s="2" t="s">
        <v>55</v>
      </c>
      <c r="Q108" s="2" t="s">
        <v>55</v>
      </c>
      <c r="R108" s="2" t="s">
        <v>55</v>
      </c>
      <c r="S108" s="2">
        <f t="shared" si="2"/>
        <v>0</v>
      </c>
      <c r="T108" s="2" t="s">
        <v>2004</v>
      </c>
      <c r="U108" s="2" t="s">
        <v>2005</v>
      </c>
    </row>
    <row r="109" spans="1:21" x14ac:dyDescent="0.25">
      <c r="A109" s="2" t="s">
        <v>2091</v>
      </c>
      <c r="B109" s="2" t="s">
        <v>2003</v>
      </c>
      <c r="C109" s="2" t="s">
        <v>55</v>
      </c>
      <c r="D109" s="2" t="s">
        <v>55</v>
      </c>
      <c r="E109" s="2" t="s">
        <v>55</v>
      </c>
      <c r="F109" s="2">
        <v>0</v>
      </c>
      <c r="G109" s="2" t="s">
        <v>55</v>
      </c>
      <c r="H109" s="2" t="s">
        <v>55</v>
      </c>
      <c r="I109" s="2" t="s">
        <v>55</v>
      </c>
      <c r="J109" s="2" t="s">
        <v>55</v>
      </c>
      <c r="K109" s="2" t="s">
        <v>55</v>
      </c>
      <c r="L109" s="2" t="s">
        <v>55</v>
      </c>
      <c r="M109" s="2" t="s">
        <v>55</v>
      </c>
      <c r="N109" s="2" t="s">
        <v>55</v>
      </c>
      <c r="O109" s="2" t="s">
        <v>55</v>
      </c>
      <c r="P109" s="2" t="s">
        <v>55</v>
      </c>
      <c r="Q109" s="2" t="s">
        <v>55</v>
      </c>
      <c r="R109" s="2" t="s">
        <v>55</v>
      </c>
      <c r="S109" s="2">
        <f t="shared" ref="S109:S112" si="3">COUNTIF(M109:R109,"Yes")</f>
        <v>0</v>
      </c>
      <c r="T109" s="2" t="s">
        <v>2004</v>
      </c>
      <c r="U109" s="2" t="s">
        <v>2005</v>
      </c>
    </row>
    <row r="110" spans="1:21" x14ac:dyDescent="0.25">
      <c r="A110" s="2" t="s">
        <v>2092</v>
      </c>
      <c r="B110" s="2" t="s">
        <v>2003</v>
      </c>
      <c r="C110" s="2" t="s">
        <v>55</v>
      </c>
      <c r="D110" s="2" t="s">
        <v>55</v>
      </c>
      <c r="E110" s="2" t="s">
        <v>55</v>
      </c>
      <c r="F110" s="2">
        <v>0</v>
      </c>
      <c r="G110" s="2" t="s">
        <v>55</v>
      </c>
      <c r="H110" s="2" t="s">
        <v>55</v>
      </c>
      <c r="I110" s="2" t="s">
        <v>55</v>
      </c>
      <c r="J110" s="2" t="s">
        <v>55</v>
      </c>
      <c r="K110" s="2" t="s">
        <v>55</v>
      </c>
      <c r="L110" s="2" t="s">
        <v>55</v>
      </c>
      <c r="M110" s="2" t="s">
        <v>55</v>
      </c>
      <c r="N110" s="2" t="s">
        <v>55</v>
      </c>
      <c r="O110" s="2" t="s">
        <v>55</v>
      </c>
      <c r="P110" s="2" t="s">
        <v>55</v>
      </c>
      <c r="Q110" s="2" t="s">
        <v>55</v>
      </c>
      <c r="R110" s="2" t="s">
        <v>55</v>
      </c>
      <c r="S110" s="2">
        <f t="shared" si="3"/>
        <v>0</v>
      </c>
      <c r="T110" s="2" t="s">
        <v>2004</v>
      </c>
      <c r="U110" s="2" t="s">
        <v>2005</v>
      </c>
    </row>
    <row r="111" spans="1:21" x14ac:dyDescent="0.25">
      <c r="A111" s="2" t="s">
        <v>2093</v>
      </c>
      <c r="B111" s="2" t="s">
        <v>2003</v>
      </c>
      <c r="C111" s="2" t="s">
        <v>55</v>
      </c>
      <c r="D111" s="2" t="s">
        <v>55</v>
      </c>
      <c r="E111" s="2" t="s">
        <v>55</v>
      </c>
      <c r="F111" s="2">
        <v>0</v>
      </c>
      <c r="G111" s="2" t="s">
        <v>55</v>
      </c>
      <c r="H111" s="2" t="s">
        <v>55</v>
      </c>
      <c r="I111" s="2" t="s">
        <v>55</v>
      </c>
      <c r="J111" s="2" t="s">
        <v>55</v>
      </c>
      <c r="K111" s="2" t="s">
        <v>55</v>
      </c>
      <c r="L111" s="2" t="s">
        <v>55</v>
      </c>
      <c r="M111" s="2" t="s">
        <v>55</v>
      </c>
      <c r="N111" s="2" t="s">
        <v>55</v>
      </c>
      <c r="O111" s="2" t="s">
        <v>55</v>
      </c>
      <c r="P111" s="2" t="s">
        <v>55</v>
      </c>
      <c r="Q111" s="2" t="s">
        <v>55</v>
      </c>
      <c r="R111" s="2" t="s">
        <v>55</v>
      </c>
      <c r="S111" s="2">
        <f t="shared" si="3"/>
        <v>0</v>
      </c>
      <c r="T111" s="2" t="s">
        <v>2004</v>
      </c>
      <c r="U111" s="2" t="s">
        <v>2005</v>
      </c>
    </row>
    <row r="112" spans="1:21" x14ac:dyDescent="0.25">
      <c r="A112" s="2" t="s">
        <v>2094</v>
      </c>
      <c r="B112" s="2" t="s">
        <v>2003</v>
      </c>
      <c r="C112" s="2" t="s">
        <v>55</v>
      </c>
      <c r="D112" s="2" t="s">
        <v>55</v>
      </c>
      <c r="E112" s="2" t="s">
        <v>55</v>
      </c>
      <c r="F112" s="2">
        <v>0</v>
      </c>
      <c r="G112" s="2" t="s">
        <v>55</v>
      </c>
      <c r="H112" s="2" t="s">
        <v>55</v>
      </c>
      <c r="I112" s="2" t="s">
        <v>55</v>
      </c>
      <c r="J112" s="2" t="s">
        <v>55</v>
      </c>
      <c r="K112" s="2" t="s">
        <v>55</v>
      </c>
      <c r="L112" s="2" t="s">
        <v>55</v>
      </c>
      <c r="M112" s="2" t="s">
        <v>55</v>
      </c>
      <c r="N112" s="2" t="s">
        <v>55</v>
      </c>
      <c r="O112" s="2" t="s">
        <v>55</v>
      </c>
      <c r="P112" s="2" t="s">
        <v>55</v>
      </c>
      <c r="Q112" s="2" t="s">
        <v>55</v>
      </c>
      <c r="R112" s="2" t="s">
        <v>55</v>
      </c>
      <c r="S112" s="2">
        <f t="shared" si="3"/>
        <v>0</v>
      </c>
      <c r="T112" s="2" t="s">
        <v>2004</v>
      </c>
      <c r="U112" s="2" t="s">
        <v>2005</v>
      </c>
    </row>
  </sheetData>
  <mergeCells count="1">
    <mergeCell ref="A1:U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-0.249977111117893"/>
  </sheetPr>
  <dimension ref="A1:H9"/>
  <sheetViews>
    <sheetView tabSelected="1" workbookViewId="0">
      <selection activeCell="B21" sqref="B21"/>
    </sheetView>
  </sheetViews>
  <sheetFormatPr defaultRowHeight="15" x14ac:dyDescent="0.25"/>
  <cols>
    <col min="1" max="1" width="38" customWidth="1"/>
    <col min="2" max="2" width="34" customWidth="1"/>
    <col min="3" max="3" width="18" customWidth="1"/>
    <col min="4" max="4" width="30" customWidth="1"/>
    <col min="5" max="5" width="18" customWidth="1"/>
    <col min="6" max="6" width="64" customWidth="1"/>
    <col min="7" max="7" width="24" customWidth="1"/>
    <col min="8" max="8" width="58" customWidth="1"/>
  </cols>
  <sheetData>
    <row r="1" spans="1:8" ht="18.75" x14ac:dyDescent="0.3">
      <c r="A1" s="15" t="s">
        <v>904</v>
      </c>
      <c r="B1" s="16"/>
      <c r="C1" s="16"/>
      <c r="D1" s="16"/>
      <c r="E1" s="16"/>
      <c r="F1" s="16"/>
      <c r="G1" s="16"/>
      <c r="H1" s="16"/>
    </row>
    <row r="2" spans="1:8" s="25" customFormat="1" ht="15.75" x14ac:dyDescent="0.25">
      <c r="A2" s="24" t="s">
        <v>905</v>
      </c>
      <c r="B2" s="24" t="s">
        <v>906</v>
      </c>
      <c r="C2" s="24" t="s">
        <v>907</v>
      </c>
      <c r="D2" s="24" t="s">
        <v>908</v>
      </c>
      <c r="E2" s="24" t="s">
        <v>909</v>
      </c>
      <c r="F2" s="24" t="s">
        <v>910</v>
      </c>
      <c r="G2" s="24" t="s">
        <v>581</v>
      </c>
      <c r="H2" s="24" t="s">
        <v>911</v>
      </c>
    </row>
    <row r="3" spans="1:8" ht="40.5" x14ac:dyDescent="0.25">
      <c r="A3" s="2" t="s">
        <v>2095</v>
      </c>
      <c r="B3" s="2" t="s">
        <v>2096</v>
      </c>
      <c r="C3" s="2" t="s">
        <v>2097</v>
      </c>
      <c r="D3" s="2" t="s">
        <v>2098</v>
      </c>
      <c r="E3" s="2" t="s">
        <v>2099</v>
      </c>
      <c r="F3" s="2" t="s">
        <v>2100</v>
      </c>
      <c r="G3" s="2" t="s">
        <v>948</v>
      </c>
      <c r="H3" s="2" t="s">
        <v>2101</v>
      </c>
    </row>
    <row r="4" spans="1:8" ht="27" x14ac:dyDescent="0.25">
      <c r="A4" s="2" t="s">
        <v>2102</v>
      </c>
      <c r="B4" s="2" t="s">
        <v>60</v>
      </c>
      <c r="C4" s="2" t="s">
        <v>60</v>
      </c>
      <c r="D4" s="2" t="s">
        <v>60</v>
      </c>
      <c r="E4" s="2" t="s">
        <v>55</v>
      </c>
      <c r="F4" s="2" t="s">
        <v>2103</v>
      </c>
      <c r="G4" s="2" t="s">
        <v>949</v>
      </c>
      <c r="H4" s="2" t="s">
        <v>2104</v>
      </c>
    </row>
    <row r="5" spans="1:8" ht="27" x14ac:dyDescent="0.25">
      <c r="A5" s="2" t="s">
        <v>2105</v>
      </c>
      <c r="B5" s="2" t="s">
        <v>2106</v>
      </c>
      <c r="C5" s="2" t="s">
        <v>60</v>
      </c>
      <c r="D5" s="2" t="s">
        <v>60</v>
      </c>
      <c r="E5" s="2" t="s">
        <v>55</v>
      </c>
      <c r="F5" s="2" t="s">
        <v>2107</v>
      </c>
      <c r="G5" s="2" t="s">
        <v>950</v>
      </c>
      <c r="H5" s="2" t="s">
        <v>2108</v>
      </c>
    </row>
    <row r="6" spans="1:8" ht="27" x14ac:dyDescent="0.25">
      <c r="A6" s="2" t="s">
        <v>2109</v>
      </c>
      <c r="B6" s="2" t="s">
        <v>2106</v>
      </c>
      <c r="C6" s="2" t="s">
        <v>60</v>
      </c>
      <c r="D6" s="2" t="s">
        <v>60</v>
      </c>
      <c r="E6" s="2" t="s">
        <v>55</v>
      </c>
      <c r="F6" s="2" t="s">
        <v>2110</v>
      </c>
      <c r="G6" s="2" t="s">
        <v>952</v>
      </c>
      <c r="H6" s="2" t="s">
        <v>2111</v>
      </c>
    </row>
    <row r="7" spans="1:8" ht="27" x14ac:dyDescent="0.25">
      <c r="A7" s="2" t="s">
        <v>2112</v>
      </c>
      <c r="B7" s="2" t="s">
        <v>2106</v>
      </c>
      <c r="C7" s="2" t="s">
        <v>60</v>
      </c>
      <c r="D7" s="2" t="s">
        <v>60</v>
      </c>
      <c r="E7" s="2" t="s">
        <v>55</v>
      </c>
      <c r="F7" s="2" t="s">
        <v>2113</v>
      </c>
      <c r="G7" s="2" t="s">
        <v>950</v>
      </c>
      <c r="H7" s="2" t="s">
        <v>2114</v>
      </c>
    </row>
    <row r="8" spans="1:8" ht="40.5" x14ac:dyDescent="0.25">
      <c r="A8" s="2" t="s">
        <v>2115</v>
      </c>
      <c r="B8" s="2" t="s">
        <v>2096</v>
      </c>
      <c r="C8" s="2" t="s">
        <v>2097</v>
      </c>
      <c r="D8" s="2" t="s">
        <v>2098</v>
      </c>
      <c r="E8" s="2" t="s">
        <v>2099</v>
      </c>
      <c r="F8" s="2" t="s">
        <v>2116</v>
      </c>
      <c r="G8" s="2" t="s">
        <v>948</v>
      </c>
      <c r="H8" s="2" t="s">
        <v>2117</v>
      </c>
    </row>
    <row r="9" spans="1:8" x14ac:dyDescent="0.25">
      <c r="A9" s="2" t="s">
        <v>2118</v>
      </c>
      <c r="B9" s="2" t="s">
        <v>60</v>
      </c>
      <c r="C9" s="2" t="s">
        <v>60</v>
      </c>
      <c r="D9" s="2" t="s">
        <v>60</v>
      </c>
      <c r="E9" s="2" t="s">
        <v>55</v>
      </c>
      <c r="F9" s="2" t="s">
        <v>2119</v>
      </c>
      <c r="G9" s="2" t="s">
        <v>38</v>
      </c>
      <c r="H9" s="2" t="s">
        <v>2120</v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39997558519241921"/>
  </sheetPr>
  <dimension ref="A1:K15"/>
  <sheetViews>
    <sheetView tabSelected="1" workbookViewId="0">
      <selection activeCell="B21" sqref="B21"/>
    </sheetView>
  </sheetViews>
  <sheetFormatPr defaultRowHeight="15" x14ac:dyDescent="0.25"/>
  <cols>
    <col min="1" max="1" width="10" customWidth="1"/>
    <col min="2" max="2" width="14" customWidth="1"/>
    <col min="3" max="3" width="24" customWidth="1"/>
    <col min="4" max="4" width="52" customWidth="1"/>
    <col min="5" max="5" width="18" customWidth="1"/>
    <col min="6" max="6" width="22" customWidth="1"/>
    <col min="7" max="7" width="16" customWidth="1"/>
    <col min="8" max="8" width="55" customWidth="1"/>
  </cols>
  <sheetData>
    <row r="1" spans="1:11" ht="18.75" x14ac:dyDescent="0.3">
      <c r="A1" s="15" t="s">
        <v>912</v>
      </c>
      <c r="B1" s="16"/>
      <c r="C1" s="16"/>
      <c r="D1" s="16"/>
      <c r="E1" s="16"/>
      <c r="F1" s="16"/>
      <c r="G1" s="16"/>
      <c r="H1" s="16"/>
    </row>
    <row r="2" spans="1:11" s="25" customFormat="1" ht="15.75" x14ac:dyDescent="0.25"/>
    <row r="3" spans="1:11" ht="30" x14ac:dyDescent="0.25">
      <c r="A3" s="3" t="s">
        <v>574</v>
      </c>
      <c r="B3" s="3" t="s">
        <v>913</v>
      </c>
      <c r="C3" s="3" t="s">
        <v>914</v>
      </c>
      <c r="D3" s="3" t="s">
        <v>915</v>
      </c>
      <c r="E3" s="3" t="s">
        <v>916</v>
      </c>
      <c r="F3" s="3" t="s">
        <v>917</v>
      </c>
      <c r="G3" s="3" t="s">
        <v>581</v>
      </c>
      <c r="H3" s="3" t="s">
        <v>782</v>
      </c>
      <c r="J3" s="4" t="s">
        <v>914</v>
      </c>
      <c r="K3" s="4" t="s">
        <v>918</v>
      </c>
    </row>
    <row r="4" spans="1:11" ht="30" x14ac:dyDescent="0.25">
      <c r="A4" s="2" t="s">
        <v>2121</v>
      </c>
      <c r="B4" s="2" t="s">
        <v>2122</v>
      </c>
      <c r="C4" s="2" t="s">
        <v>2123</v>
      </c>
      <c r="D4" s="2" t="s">
        <v>584</v>
      </c>
      <c r="E4" s="2" t="s">
        <v>2124</v>
      </c>
      <c r="F4" s="2" t="s">
        <v>2125</v>
      </c>
      <c r="G4" s="2" t="s">
        <v>2126</v>
      </c>
      <c r="H4" s="2" t="s">
        <v>2127</v>
      </c>
      <c r="I4" s="13"/>
      <c r="J4" s="13" t="s">
        <v>2123</v>
      </c>
      <c r="K4" s="13">
        <v>1</v>
      </c>
    </row>
    <row r="5" spans="1:11" ht="30" x14ac:dyDescent="0.25">
      <c r="A5" s="2" t="s">
        <v>2128</v>
      </c>
      <c r="B5" s="2" t="s">
        <v>2122</v>
      </c>
      <c r="C5" s="2" t="s">
        <v>2129</v>
      </c>
      <c r="D5" s="2" t="s">
        <v>2130</v>
      </c>
      <c r="E5" s="2" t="s">
        <v>423</v>
      </c>
      <c r="F5" s="2" t="s">
        <v>2125</v>
      </c>
      <c r="G5" s="2" t="s">
        <v>949</v>
      </c>
      <c r="H5" s="2" t="s">
        <v>2131</v>
      </c>
      <c r="I5" s="13"/>
      <c r="J5" s="13" t="s">
        <v>2129</v>
      </c>
      <c r="K5" s="13">
        <v>2</v>
      </c>
    </row>
    <row r="6" spans="1:11" ht="45" x14ac:dyDescent="0.25">
      <c r="A6" s="2" t="s">
        <v>2132</v>
      </c>
      <c r="B6" s="2" t="s">
        <v>452</v>
      </c>
      <c r="C6" s="2" t="s">
        <v>2129</v>
      </c>
      <c r="D6" s="2" t="s">
        <v>2133</v>
      </c>
      <c r="E6" s="2" t="s">
        <v>2134</v>
      </c>
      <c r="F6" s="2" t="s">
        <v>2125</v>
      </c>
      <c r="G6" s="2" t="s">
        <v>2135</v>
      </c>
      <c r="H6" s="2" t="s">
        <v>2136</v>
      </c>
      <c r="I6" s="13"/>
      <c r="J6" s="13" t="s">
        <v>2137</v>
      </c>
      <c r="K6" s="13">
        <v>5</v>
      </c>
    </row>
    <row r="7" spans="1:11" ht="30" x14ac:dyDescent="0.25">
      <c r="A7" s="2" t="s">
        <v>2138</v>
      </c>
      <c r="B7" s="2" t="s">
        <v>2122</v>
      </c>
      <c r="C7" s="2" t="s">
        <v>2137</v>
      </c>
      <c r="D7" s="2" t="s">
        <v>2139</v>
      </c>
      <c r="E7" s="2" t="s">
        <v>486</v>
      </c>
      <c r="F7" s="2" t="s">
        <v>2125</v>
      </c>
      <c r="G7" s="2" t="s">
        <v>2140</v>
      </c>
      <c r="H7" s="2" t="s">
        <v>2141</v>
      </c>
      <c r="I7" s="13"/>
      <c r="J7" s="13" t="s">
        <v>2142</v>
      </c>
      <c r="K7" s="13">
        <v>2</v>
      </c>
    </row>
    <row r="8" spans="1:11" ht="30" x14ac:dyDescent="0.25">
      <c r="A8" s="2" t="s">
        <v>2143</v>
      </c>
      <c r="B8" s="2" t="s">
        <v>2122</v>
      </c>
      <c r="C8" s="2" t="s">
        <v>2137</v>
      </c>
      <c r="D8" s="2" t="s">
        <v>2144</v>
      </c>
      <c r="E8" s="2" t="s">
        <v>492</v>
      </c>
      <c r="F8" s="2" t="s">
        <v>2125</v>
      </c>
      <c r="G8" s="2" t="s">
        <v>2140</v>
      </c>
      <c r="H8" s="2" t="s">
        <v>2145</v>
      </c>
      <c r="I8" s="13"/>
      <c r="J8" s="13" t="s">
        <v>2146</v>
      </c>
      <c r="K8" s="13">
        <v>2</v>
      </c>
    </row>
    <row r="9" spans="1:11" ht="30" x14ac:dyDescent="0.25">
      <c r="A9" s="2" t="s">
        <v>2147</v>
      </c>
      <c r="B9" s="2" t="s">
        <v>2122</v>
      </c>
      <c r="C9" s="2" t="s">
        <v>2137</v>
      </c>
      <c r="D9" s="2" t="s">
        <v>2148</v>
      </c>
      <c r="E9" s="2" t="s">
        <v>498</v>
      </c>
      <c r="F9" s="2" t="s">
        <v>2125</v>
      </c>
      <c r="G9" s="2" t="s">
        <v>2140</v>
      </c>
      <c r="H9" s="2" t="s">
        <v>2149</v>
      </c>
      <c r="I9" s="13"/>
      <c r="J9" s="13" t="s">
        <v>19</v>
      </c>
      <c r="K9" s="13">
        <v>2</v>
      </c>
    </row>
    <row r="10" spans="1:11" ht="27" x14ac:dyDescent="0.25">
      <c r="A10" s="2" t="s">
        <v>2150</v>
      </c>
      <c r="B10" s="2" t="s">
        <v>452</v>
      </c>
      <c r="C10" s="2" t="s">
        <v>2137</v>
      </c>
      <c r="D10" s="2" t="s">
        <v>2151</v>
      </c>
      <c r="E10" s="2" t="s">
        <v>472</v>
      </c>
      <c r="F10" s="2" t="s">
        <v>2125</v>
      </c>
      <c r="G10" s="2" t="s">
        <v>2152</v>
      </c>
      <c r="H10" s="2" t="s">
        <v>2153</v>
      </c>
      <c r="I10" s="13"/>
      <c r="J10" s="13"/>
      <c r="K10" s="13"/>
    </row>
    <row r="11" spans="1:11" ht="27" x14ac:dyDescent="0.25">
      <c r="A11" s="2" t="s">
        <v>2154</v>
      </c>
      <c r="B11" s="2" t="s">
        <v>2122</v>
      </c>
      <c r="C11" s="2" t="s">
        <v>2137</v>
      </c>
      <c r="D11" s="2" t="s">
        <v>2155</v>
      </c>
      <c r="E11" s="2" t="s">
        <v>472</v>
      </c>
      <c r="F11" s="2" t="s">
        <v>2156</v>
      </c>
      <c r="G11" s="2" t="s">
        <v>1412</v>
      </c>
      <c r="H11" s="2" t="s">
        <v>2157</v>
      </c>
      <c r="I11" s="13"/>
      <c r="J11" s="13"/>
      <c r="K11" s="13"/>
    </row>
    <row r="12" spans="1:11" ht="27" x14ac:dyDescent="0.25">
      <c r="A12" s="2" t="s">
        <v>2158</v>
      </c>
      <c r="B12" s="2" t="s">
        <v>2122</v>
      </c>
      <c r="C12" s="2" t="s">
        <v>2142</v>
      </c>
      <c r="D12" s="2" t="s">
        <v>646</v>
      </c>
      <c r="E12" s="2" t="s">
        <v>462</v>
      </c>
      <c r="F12" s="2" t="s">
        <v>2156</v>
      </c>
      <c r="G12" s="2" t="s">
        <v>2159</v>
      </c>
      <c r="H12" s="2" t="s">
        <v>2160</v>
      </c>
      <c r="I12" s="13"/>
      <c r="J12" s="13"/>
      <c r="K12" s="13"/>
    </row>
    <row r="13" spans="1:11" ht="40.5" x14ac:dyDescent="0.25">
      <c r="A13" s="2" t="s">
        <v>2161</v>
      </c>
      <c r="B13" s="2" t="s">
        <v>2122</v>
      </c>
      <c r="C13" s="2" t="s">
        <v>2142</v>
      </c>
      <c r="D13" s="2" t="s">
        <v>654</v>
      </c>
      <c r="E13" s="2" t="s">
        <v>462</v>
      </c>
      <c r="F13" s="2" t="s">
        <v>2156</v>
      </c>
      <c r="G13" s="2" t="s">
        <v>2162</v>
      </c>
      <c r="H13" s="2" t="s">
        <v>2163</v>
      </c>
      <c r="I13" s="13"/>
      <c r="J13" s="13"/>
      <c r="K13" s="13"/>
    </row>
    <row r="14" spans="1:11" ht="40.5" x14ac:dyDescent="0.25">
      <c r="A14" s="2" t="s">
        <v>2164</v>
      </c>
      <c r="B14" s="2" t="s">
        <v>452</v>
      </c>
      <c r="C14" s="2" t="s">
        <v>2146</v>
      </c>
      <c r="D14" s="2" t="s">
        <v>2165</v>
      </c>
      <c r="E14" s="2" t="s">
        <v>667</v>
      </c>
      <c r="F14" s="2" t="s">
        <v>2125</v>
      </c>
      <c r="G14" s="2" t="s">
        <v>2166</v>
      </c>
      <c r="H14" s="2" t="s">
        <v>2167</v>
      </c>
      <c r="I14" s="13"/>
      <c r="J14" s="13"/>
      <c r="K14" s="13"/>
    </row>
    <row r="15" spans="1:11" ht="40.5" x14ac:dyDescent="0.25">
      <c r="A15" s="2" t="s">
        <v>2168</v>
      </c>
      <c r="B15" s="2" t="s">
        <v>452</v>
      </c>
      <c r="C15" s="2" t="s">
        <v>19</v>
      </c>
      <c r="D15" s="2" t="s">
        <v>2169</v>
      </c>
      <c r="E15" s="2" t="s">
        <v>667</v>
      </c>
      <c r="F15" s="2" t="s">
        <v>2125</v>
      </c>
      <c r="G15" s="2" t="s">
        <v>2170</v>
      </c>
      <c r="H15" s="2" t="s">
        <v>2171</v>
      </c>
      <c r="I15" s="13"/>
      <c r="J15" s="13"/>
      <c r="K15" s="13"/>
    </row>
  </sheetData>
  <mergeCells count="1">
    <mergeCell ref="A1:H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2" tint="-0.499984740745262"/>
  </sheetPr>
  <dimension ref="A1:D18"/>
  <sheetViews>
    <sheetView tabSelected="1" workbookViewId="0">
      <selection activeCell="B21" sqref="B21"/>
    </sheetView>
  </sheetViews>
  <sheetFormatPr defaultRowHeight="15" x14ac:dyDescent="0.25"/>
  <cols>
    <col min="1" max="1" width="34" customWidth="1"/>
    <col min="2" max="2" width="92" customWidth="1"/>
    <col min="3" max="3" width="16" customWidth="1"/>
    <col min="4" max="4" width="55" customWidth="1"/>
  </cols>
  <sheetData>
    <row r="1" spans="1:4" ht="18.75" x14ac:dyDescent="0.3">
      <c r="A1" s="15" t="s">
        <v>919</v>
      </c>
      <c r="B1" s="16"/>
      <c r="C1" s="16"/>
      <c r="D1" s="16"/>
    </row>
    <row r="2" spans="1:4" s="25" customFormat="1" ht="15.75" x14ac:dyDescent="0.25"/>
    <row r="3" spans="1:4" x14ac:dyDescent="0.25">
      <c r="A3" s="3" t="s">
        <v>920</v>
      </c>
      <c r="B3" s="3" t="s">
        <v>921</v>
      </c>
      <c r="C3" s="3" t="s">
        <v>922</v>
      </c>
      <c r="D3" s="3" t="s">
        <v>923</v>
      </c>
    </row>
    <row r="4" spans="1:4" ht="27" x14ac:dyDescent="0.25">
      <c r="A4" s="2" t="s">
        <v>2172</v>
      </c>
      <c r="B4" s="2" t="s">
        <v>2173</v>
      </c>
      <c r="C4" s="2" t="s">
        <v>42</v>
      </c>
      <c r="D4" s="2" t="s">
        <v>2174</v>
      </c>
    </row>
    <row r="5" spans="1:4" x14ac:dyDescent="0.25">
      <c r="A5" s="2" t="s">
        <v>2175</v>
      </c>
      <c r="B5" s="2" t="s">
        <v>2176</v>
      </c>
      <c r="C5" s="2" t="s">
        <v>34</v>
      </c>
      <c r="D5" s="2" t="s">
        <v>2177</v>
      </c>
    </row>
    <row r="6" spans="1:4" ht="27" x14ac:dyDescent="0.25">
      <c r="A6" s="2" t="s">
        <v>2178</v>
      </c>
      <c r="B6" s="2" t="s">
        <v>2179</v>
      </c>
      <c r="C6" s="2" t="s">
        <v>34</v>
      </c>
      <c r="D6" s="2" t="s">
        <v>2180</v>
      </c>
    </row>
    <row r="7" spans="1:4" x14ac:dyDescent="0.25">
      <c r="A7" s="2" t="s">
        <v>2181</v>
      </c>
      <c r="B7" s="2" t="s">
        <v>2182</v>
      </c>
      <c r="C7" s="2" t="s">
        <v>34</v>
      </c>
      <c r="D7" s="2" t="s">
        <v>2183</v>
      </c>
    </row>
    <row r="8" spans="1:4" ht="27" x14ac:dyDescent="0.25">
      <c r="A8" s="2" t="s">
        <v>2184</v>
      </c>
      <c r="B8" s="2" t="s">
        <v>2185</v>
      </c>
      <c r="C8" s="2" t="s">
        <v>34</v>
      </c>
      <c r="D8" s="2" t="s">
        <v>2186</v>
      </c>
    </row>
    <row r="9" spans="1:4" ht="27" x14ac:dyDescent="0.25">
      <c r="A9" s="2" t="s">
        <v>617</v>
      </c>
      <c r="B9" s="2" t="s">
        <v>2187</v>
      </c>
      <c r="C9" s="2" t="s">
        <v>951</v>
      </c>
      <c r="D9" s="2" t="s">
        <v>2188</v>
      </c>
    </row>
    <row r="10" spans="1:4" ht="27" x14ac:dyDescent="0.25">
      <c r="A10" s="2" t="s">
        <v>2189</v>
      </c>
      <c r="B10" s="2" t="s">
        <v>2190</v>
      </c>
      <c r="C10" s="2" t="s">
        <v>951</v>
      </c>
      <c r="D10" s="2" t="s">
        <v>2191</v>
      </c>
    </row>
    <row r="11" spans="1:4" ht="40.5" x14ac:dyDescent="0.25">
      <c r="A11" s="2" t="s">
        <v>2192</v>
      </c>
      <c r="B11" s="2" t="s">
        <v>2193</v>
      </c>
      <c r="C11" s="2" t="s">
        <v>951</v>
      </c>
      <c r="D11" s="2" t="s">
        <v>2194</v>
      </c>
    </row>
    <row r="12" spans="1:4" ht="27" x14ac:dyDescent="0.25">
      <c r="A12" s="2" t="s">
        <v>2195</v>
      </c>
      <c r="B12" s="2" t="s">
        <v>2196</v>
      </c>
      <c r="C12" s="2" t="s">
        <v>34</v>
      </c>
      <c r="D12" s="2" t="s">
        <v>2197</v>
      </c>
    </row>
    <row r="13" spans="1:4" x14ac:dyDescent="0.25">
      <c r="A13" s="2" t="s">
        <v>2198</v>
      </c>
      <c r="B13" s="2" t="s">
        <v>2199</v>
      </c>
      <c r="C13" s="2" t="s">
        <v>34</v>
      </c>
      <c r="D13" s="2" t="s">
        <v>2200</v>
      </c>
    </row>
    <row r="14" spans="1:4" ht="27" x14ac:dyDescent="0.25">
      <c r="A14" s="2" t="s">
        <v>2201</v>
      </c>
      <c r="B14" s="2" t="s">
        <v>2202</v>
      </c>
      <c r="C14" s="2" t="s">
        <v>42</v>
      </c>
      <c r="D14" s="2" t="s">
        <v>2203</v>
      </c>
    </row>
    <row r="15" spans="1:4" ht="27" x14ac:dyDescent="0.25">
      <c r="A15" s="2" t="s">
        <v>2204</v>
      </c>
      <c r="B15" s="2" t="s">
        <v>2205</v>
      </c>
      <c r="C15" s="2" t="s">
        <v>34</v>
      </c>
      <c r="D15" s="2" t="s">
        <v>2206</v>
      </c>
    </row>
    <row r="16" spans="1:4" ht="27" x14ac:dyDescent="0.25">
      <c r="A16" s="2" t="s">
        <v>2207</v>
      </c>
      <c r="B16" s="2" t="s">
        <v>2208</v>
      </c>
      <c r="C16" s="2" t="s">
        <v>42</v>
      </c>
      <c r="D16" s="2" t="s">
        <v>2209</v>
      </c>
    </row>
    <row r="17" spans="1:4" ht="27" x14ac:dyDescent="0.25">
      <c r="A17" s="2" t="s">
        <v>2210</v>
      </c>
      <c r="B17" s="2" t="s">
        <v>2211</v>
      </c>
      <c r="C17" s="2" t="s">
        <v>951</v>
      </c>
      <c r="D17" s="2" t="s">
        <v>2212</v>
      </c>
    </row>
    <row r="18" spans="1:4" ht="27" x14ac:dyDescent="0.25">
      <c r="A18" s="2" t="s">
        <v>2213</v>
      </c>
      <c r="B18" s="2" t="s">
        <v>2214</v>
      </c>
      <c r="C18" s="2" t="s">
        <v>951</v>
      </c>
      <c r="D18" s="2" t="s">
        <v>2215</v>
      </c>
    </row>
  </sheetData>
  <mergeCells count="1"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-0.249977111117893"/>
  </sheetPr>
  <dimension ref="A1:D14"/>
  <sheetViews>
    <sheetView tabSelected="1" workbookViewId="0">
      <selection activeCell="B21" sqref="B21"/>
    </sheetView>
  </sheetViews>
  <sheetFormatPr defaultRowHeight="15" x14ac:dyDescent="0.25"/>
  <cols>
    <col min="1" max="1" width="38" customWidth="1"/>
    <col min="2" max="2" width="48" customWidth="1"/>
    <col min="3" max="3" width="75" customWidth="1"/>
    <col min="4" max="4" width="88" customWidth="1"/>
  </cols>
  <sheetData>
    <row r="1" spans="1:4" ht="18.75" x14ac:dyDescent="0.3">
      <c r="A1" s="15" t="s">
        <v>924</v>
      </c>
      <c r="B1" s="16"/>
      <c r="C1" s="16"/>
      <c r="D1" s="16"/>
    </row>
    <row r="2" spans="1:4" s="25" customFormat="1" ht="15.75" x14ac:dyDescent="0.25"/>
    <row r="3" spans="1:4" x14ac:dyDescent="0.25">
      <c r="A3" s="3" t="s">
        <v>925</v>
      </c>
      <c r="B3" s="3" t="s">
        <v>926</v>
      </c>
      <c r="C3" s="3" t="s">
        <v>927</v>
      </c>
      <c r="D3" s="3" t="s">
        <v>928</v>
      </c>
    </row>
    <row r="4" spans="1:4" x14ac:dyDescent="0.25">
      <c r="A4" s="2" t="s">
        <v>929</v>
      </c>
      <c r="B4" s="2" t="s">
        <v>930</v>
      </c>
      <c r="C4" s="2" t="s">
        <v>931</v>
      </c>
      <c r="D4" s="2" t="s">
        <v>932</v>
      </c>
    </row>
    <row r="5" spans="1:4" x14ac:dyDescent="0.25">
      <c r="A5" s="2" t="s">
        <v>933</v>
      </c>
      <c r="B5" s="2" t="s">
        <v>934</v>
      </c>
      <c r="C5" s="2" t="s">
        <v>935</v>
      </c>
      <c r="D5" s="2" t="s">
        <v>936</v>
      </c>
    </row>
    <row r="6" spans="1:4" x14ac:dyDescent="0.25">
      <c r="A6" s="2" t="s">
        <v>937</v>
      </c>
      <c r="B6" s="2" t="s">
        <v>938</v>
      </c>
      <c r="C6" s="2" t="s">
        <v>939</v>
      </c>
      <c r="D6" s="2" t="s">
        <v>940</v>
      </c>
    </row>
    <row r="7" spans="1:4" ht="27" x14ac:dyDescent="0.25">
      <c r="A7" s="2" t="s">
        <v>941</v>
      </c>
      <c r="B7" s="2" t="s">
        <v>942</v>
      </c>
      <c r="C7" s="2" t="s">
        <v>943</v>
      </c>
      <c r="D7" s="2" t="s">
        <v>944</v>
      </c>
    </row>
    <row r="8" spans="1:4" ht="30" x14ac:dyDescent="0.25">
      <c r="A8" s="13" t="s">
        <v>2216</v>
      </c>
      <c r="B8" s="13" t="s">
        <v>2217</v>
      </c>
      <c r="C8" s="13" t="s">
        <v>2218</v>
      </c>
      <c r="D8" s="13" t="s">
        <v>2219</v>
      </c>
    </row>
    <row r="9" spans="1:4" x14ac:dyDescent="0.25">
      <c r="A9" s="13" t="s">
        <v>2220</v>
      </c>
      <c r="B9" s="13" t="s">
        <v>2221</v>
      </c>
      <c r="C9" s="13" t="s">
        <v>2222</v>
      </c>
      <c r="D9" s="13" t="s">
        <v>2223</v>
      </c>
    </row>
    <row r="10" spans="1:4" ht="30" x14ac:dyDescent="0.25">
      <c r="A10" s="13" t="s">
        <v>2224</v>
      </c>
      <c r="B10" s="13" t="s">
        <v>2225</v>
      </c>
      <c r="C10" s="13" t="s">
        <v>2226</v>
      </c>
      <c r="D10" s="13" t="s">
        <v>2227</v>
      </c>
    </row>
    <row r="11" spans="1:4" ht="30" x14ac:dyDescent="0.25">
      <c r="A11" s="13" t="s">
        <v>2228</v>
      </c>
      <c r="B11" s="13" t="s">
        <v>2229</v>
      </c>
      <c r="C11" s="13" t="s">
        <v>2230</v>
      </c>
      <c r="D11" s="13" t="s">
        <v>2231</v>
      </c>
    </row>
    <row r="12" spans="1:4" ht="30" x14ac:dyDescent="0.25">
      <c r="A12" s="13" t="s">
        <v>2232</v>
      </c>
      <c r="B12" s="13" t="s">
        <v>2233</v>
      </c>
      <c r="C12" s="13" t="s">
        <v>2234</v>
      </c>
      <c r="D12" s="13" t="s">
        <v>2235</v>
      </c>
    </row>
    <row r="13" spans="1:4" x14ac:dyDescent="0.25">
      <c r="A13" s="13" t="s">
        <v>2236</v>
      </c>
      <c r="B13" s="13" t="s">
        <v>2237</v>
      </c>
      <c r="C13" s="13" t="s">
        <v>2238</v>
      </c>
      <c r="D13" s="13" t="s">
        <v>2239</v>
      </c>
    </row>
    <row r="14" spans="1:4" x14ac:dyDescent="0.25">
      <c r="A14" s="13" t="s">
        <v>2240</v>
      </c>
      <c r="B14" s="13" t="s">
        <v>2241</v>
      </c>
      <c r="C14" s="13" t="s">
        <v>2242</v>
      </c>
      <c r="D14" s="13" t="s">
        <v>2243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S6_ReadMe</vt:lpstr>
      <vt:lpstr>Controlled_Lists</vt:lpstr>
      <vt:lpstr>Synthesis_Input</vt:lpstr>
      <vt:lpstr>Denominator_Rules</vt:lpstr>
      <vt:lpstr>Descriptive_Plan</vt:lpstr>
      <vt:lpstr>CrossDimensional_Plan</vt:lpstr>
      <vt:lpstr>CrossTab_Templates</vt:lpstr>
      <vt:lpstr>Visualization_Plan</vt:lpstr>
      <vt:lpstr>Bibliometric_Metadata</vt:lpstr>
      <vt:lpstr>Bibliometric_Plan</vt:lpstr>
      <vt:lpstr>Thematic_Seed_Codebook</vt:lpstr>
      <vt:lpstr>Thematic_R1</vt:lpstr>
      <vt:lpstr>Thematic_R2</vt:lpstr>
      <vt:lpstr>Thematic_Reconciliation</vt:lpstr>
      <vt:lpstr>Research_Agenda</vt:lpstr>
      <vt:lpstr>Software_Log</vt:lpstr>
      <vt:lpstr>Output_Register</vt:lpstr>
      <vt:lpstr>Reporting_Checklist</vt:lpstr>
      <vt:lpstr>Provenance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Muntasir Yakubu</cp:lastModifiedBy>
  <dcterms:modified xsi:type="dcterms:W3CDTF">2026-08-16T08:13:53Z</dcterms:modified>
</cp:coreProperties>
</file>