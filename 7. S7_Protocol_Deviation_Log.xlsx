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ew Publications\Systematic Mapping Study\Database Search\"/>
    </mc:Choice>
  </mc:AlternateContent>
  <xr:revisionPtr revIDLastSave="0" documentId="13_ncr:1_{DD91071E-10A9-4168-9F9D-511C3F57FDAF}" xr6:coauthVersionLast="47" xr6:coauthVersionMax="47" xr10:uidLastSave="{00000000-0000-0000-0000-000000000000}"/>
  <bookViews>
    <workbookView xWindow="-120" yWindow="-120" windowWidth="29040" windowHeight="15720" firstSheet="4" activeTab="8" xr2:uid="{00000000-000D-0000-FFFF-FFFF00000000}"/>
  </bookViews>
  <sheets>
    <sheet name="S7_ReadMe" sheetId="1" r:id="rId1"/>
    <sheet name="Controlled_Vocab" sheetId="2" r:id="rId2"/>
    <sheet name="Protocol_Deviation_Log" sheetId="3" r:id="rId3"/>
    <sheet name="Search_Change_Log" sheetId="4" r:id="rId4"/>
    <sheet name="Classification_Change_Log" sheetId="5" r:id="rId5"/>
    <sheet name="Candidate_Issues" sheetId="6" r:id="rId6"/>
    <sheet name="Deviation_Summary" sheetId="7" r:id="rId7"/>
    <sheet name="Manuscript_Summary" sheetId="8" r:id="rId8"/>
    <sheet name="Reporting_Checklist" sheetId="9" r:id="rId9"/>
    <sheet name="Provenanc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7" l="1"/>
  <c r="E15" i="7"/>
  <c r="F14" i="7"/>
  <c r="E14" i="7"/>
  <c r="F13" i="7"/>
  <c r="E13" i="7"/>
  <c r="F12" i="7"/>
  <c r="E12" i="7"/>
  <c r="B12" i="7"/>
  <c r="F11" i="7"/>
  <c r="E11" i="7"/>
  <c r="B11" i="7"/>
  <c r="F10" i="7"/>
  <c r="E10" i="7"/>
  <c r="B10" i="7"/>
  <c r="F9" i="7"/>
  <c r="E9" i="7"/>
  <c r="B9" i="7"/>
  <c r="F8" i="7"/>
  <c r="E8" i="7"/>
  <c r="B8" i="7"/>
  <c r="F7" i="7"/>
  <c r="E7" i="7"/>
  <c r="B7" i="7"/>
  <c r="F6" i="7"/>
  <c r="E6" i="7"/>
  <c r="B6" i="7"/>
  <c r="F5" i="7"/>
  <c r="E5" i="7"/>
  <c r="B5" i="7"/>
  <c r="A16" i="7" s="1"/>
  <c r="F4" i="7"/>
  <c r="E4" i="7"/>
  <c r="B4" i="7"/>
  <c r="B15" i="7" l="1"/>
</calcChain>
</file>

<file path=xl/sharedStrings.xml><?xml version="1.0" encoding="utf-8"?>
<sst xmlns="http://schemas.openxmlformats.org/spreadsheetml/2006/main" count="4623" uniqueCount="538">
  <si>
    <t>Supplementary File S7 — Protocol-Deviation Log and Corrective-Action Record</t>
  </si>
  <si>
    <t>Item</t>
  </si>
  <si>
    <t>Operational rule</t>
  </si>
  <si>
    <t>Purpose</t>
  </si>
  <si>
    <t>Document methodological changes made after protocol finalization, the corrective actions taken, and their potential effect on validity or interpretation.</t>
  </si>
  <si>
    <t>Integrity rule</t>
  </si>
  <si>
    <t>Do not create a deviation entry merely because an issue, disagreement, missing paper, or reporting correction occurred. A deviation requires a change to the finalized review procedure, decision rule, scope, search, selection, extraction, coding, reliability, synthesis, or reporting plan.</t>
  </si>
  <si>
    <t>Material deviation</t>
  </si>
  <si>
    <t>A deviation is material when it could reasonably change the retrieved study set, inclusion decisions, classification of studies, evidence-maturity/readiness results, synthesis, or interpretation.</t>
  </si>
  <si>
    <t>Minor / administrative change</t>
  </si>
  <si>
    <t>A wording correction, file-management correction, formatting change, or implementation detail that does not change the methodological decision rule is not automatically a material deviation.</t>
  </si>
  <si>
    <t>Search changes</t>
  </si>
  <si>
    <t>If a search term, field, database, filter, date limit, or search strategy changes after screening has begun, record the change and rerun the affected search across all selected databases where feasible.</t>
  </si>
  <si>
    <t>Classification changes</t>
  </si>
  <si>
    <t>If a classification or EM/TRL decision rule changes after coding has begun, identify the previously coded studies potentially affected and reassess them under the revised rule.</t>
  </si>
  <si>
    <t>Pilot refinement</t>
  </si>
  <si>
    <t>A codebook refinement explicitly planned in Section 3.8 and completed before full extraction is not, by itself, a protocol deviation. It becomes a deviation only if the change exceeds the planned refinement process or alters a finalized rule after formal coding has begun.</t>
  </si>
  <si>
    <t>Study-source problems</t>
  </si>
  <si>
    <t>A missing, incomplete, preprint, duplicate, or wrong-version paper is normally a study-management/eligibility issue rather than a methodological deviation, unless resolving it requires changing the protocol procedure.</t>
  </si>
  <si>
    <t>Corrective action</t>
  </si>
  <si>
    <t>Every confirmed deviation should state what was rerun, reassessed, recoded, re-extracted, or re-analysed, and whether the correction was applied retrospectively to affected studies.</t>
  </si>
  <si>
    <t>Reporting</t>
  </si>
  <si>
    <t>Material deviations are summarized in the final manuscript. If no material deviations occur, state this explicitly. Supplementary File S7 retains the full audit trail.</t>
  </si>
  <si>
    <t>Current status</t>
  </si>
  <si>
    <t>Status as of 2026-08-10: no confirmed protocol deviations are recorded. Four candidate issues remain pending decision (CI001, CI004, CI005, CI006); CI002 and CI003 are rejected as deviations. The 'no material deviations' manuscript statement is therefore provisional until the pending candidate issues are resolved.</t>
  </si>
  <si>
    <t>Controlled Values for Protocol-Deviation Coding</t>
  </si>
  <si>
    <t>Deviation status</t>
  </si>
  <si>
    <t>Materiality</t>
  </si>
  <si>
    <t>Review stage</t>
  </si>
  <si>
    <t>Corrective-action status</t>
  </si>
  <si>
    <t>Yes/No/Pending</t>
  </si>
  <si>
    <t>Yes/No/NA</t>
  </si>
  <si>
    <t>Validity / risk domain</t>
  </si>
  <si>
    <t>Disposition</t>
  </si>
  <si>
    <t>Change type</t>
  </si>
  <si>
    <t>Search rerun?</t>
  </si>
  <si>
    <t>Reassessment required?</t>
  </si>
  <si>
    <t>Trigger</t>
  </si>
  <si>
    <t>Manuscript report?</t>
  </si>
  <si>
    <t>Decision</t>
  </si>
  <si>
    <t>Confirmed deviation</t>
  </si>
  <si>
    <t>Material</t>
  </si>
  <si>
    <t>Protocol finalization</t>
  </si>
  <si>
    <t>Not started</t>
  </si>
  <si>
    <t>Yes</t>
  </si>
  <si>
    <t>Information retrieval</t>
  </si>
  <si>
    <t>Open</t>
  </si>
  <si>
    <t>Database added/removed</t>
  </si>
  <si>
    <t>Pilot finding</t>
  </si>
  <si>
    <t>Confirmed</t>
  </si>
  <si>
    <t>Candidate issue</t>
  </si>
  <si>
    <t>Minor</t>
  </si>
  <si>
    <t>Search design</t>
  </si>
  <si>
    <t>In progress</t>
  </si>
  <si>
    <t>No</t>
  </si>
  <si>
    <t>Selection bias</t>
  </si>
  <si>
    <t>Closed</t>
  </si>
  <si>
    <t>Search term modified</t>
  </si>
  <si>
    <t>Reviewer disagreement</t>
  </si>
  <si>
    <t>Rejected as deviation</t>
  </si>
  <si>
    <t>Documentation correction</t>
  </si>
  <si>
    <t>Administrative</t>
  </si>
  <si>
    <t>Search execution</t>
  </si>
  <si>
    <t>Completed</t>
  </si>
  <si>
    <t>Pending</t>
  </si>
  <si>
    <t>NA</t>
  </si>
  <si>
    <t>Classification validity</t>
  </si>
  <si>
    <t>Superseded</t>
  </si>
  <si>
    <t>Search field modified</t>
  </si>
  <si>
    <t>Not required</t>
  </si>
  <si>
    <t>Database/platform constraint</t>
  </si>
  <si>
    <t>Pending decision</t>
  </si>
  <si>
    <t>Not a deviation</t>
  </si>
  <si>
    <t>To be determined</t>
  </si>
  <si>
    <t>Deduplication</t>
  </si>
  <si>
    <t>Measurement validity</t>
  </si>
  <si>
    <t>Monitor</t>
  </si>
  <si>
    <t>Search filter/date modified</t>
  </si>
  <si>
    <t>Not feasible</t>
  </si>
  <si>
    <t>Data/source issue</t>
  </si>
  <si>
    <t>No event recorded</t>
  </si>
  <si>
    <t>Title/abstract screening</t>
  </si>
  <si>
    <t>Data extraction</t>
  </si>
  <si>
    <t>Eligibility criterion revised</t>
  </si>
  <si>
    <t>Methodological clarification</t>
  </si>
  <si>
    <t>Reserved placeholder</t>
  </si>
  <si>
    <t>Not applicable</t>
  </si>
  <si>
    <t>Full-text eligibility</t>
  </si>
  <si>
    <t>Reliability</t>
  </si>
  <si>
    <t>Reserved</t>
  </si>
  <si>
    <t>Screening rule revised</t>
  </si>
  <si>
    <t>Error correction</t>
  </si>
  <si>
    <t>Snowballing</t>
  </si>
  <si>
    <t>Synthesis/interpretation</t>
  </si>
  <si>
    <t>Snowballing procedure revised</t>
  </si>
  <si>
    <t>External review feedback</t>
  </si>
  <si>
    <t>Quality assessment</t>
  </si>
  <si>
    <t>External validity</t>
  </si>
  <si>
    <t>QA criterion/scoring revised</t>
  </si>
  <si>
    <t>Other</t>
  </si>
  <si>
    <t>Classification/codebook</t>
  </si>
  <si>
    <t>Classification category/rule revised</t>
  </si>
  <si>
    <t>EM rule revised</t>
  </si>
  <si>
    <t>Inter-rater reliability</t>
  </si>
  <si>
    <t>TRL rule revised</t>
  </si>
  <si>
    <t>Data synthesis/visualization</t>
  </si>
  <si>
    <t>Extraction variable revised</t>
  </si>
  <si>
    <t>Reviewer procedure revised</t>
  </si>
  <si>
    <t>Synthesis/visualization revised</t>
  </si>
  <si>
    <t>Master Protocol-Deviation Log</t>
  </si>
  <si>
    <t>Deviation ID</t>
  </si>
  <si>
    <t>Status</t>
  </si>
  <si>
    <t>Original protocol decision</t>
  </si>
  <si>
    <t>Revised procedure / decision</t>
  </si>
  <si>
    <t>Date of change</t>
  </si>
  <si>
    <t>Reason for change</t>
  </si>
  <si>
    <t>Potentially affected study count</t>
  </si>
  <si>
    <t>Affected study IDs / records</t>
  </si>
  <si>
    <t>Retrospective reassessment applied?</t>
  </si>
  <si>
    <t>Validation / interpretation effect</t>
  </si>
  <si>
    <t>Risk domain</t>
  </si>
  <si>
    <t>Material deviation for manuscript?</t>
  </si>
  <si>
    <t>Protocol / source reference</t>
  </si>
  <si>
    <t>Reviewer 1 approval</t>
  </si>
  <si>
    <t>Reviewer 2 approval</t>
  </si>
  <si>
    <t>Third-reviewer / adjudication note</t>
  </si>
  <si>
    <t>Final disposition</t>
  </si>
  <si>
    <t>Date closed</t>
  </si>
  <si>
    <t>Evidence / audit trail location</t>
  </si>
  <si>
    <t>Notes</t>
  </si>
  <si>
    <t>PD001</t>
  </si>
  <si>
    <t>Reserved log slot — no protocol-deviation event assigned</t>
  </si>
  <si>
    <t>NA — no corrective action required</t>
  </si>
  <si>
    <t>No validity/interpretation effect because no deviation event is assigned</t>
  </si>
  <si>
    <t>Supplementary File S7 / current review record</t>
  </si>
  <si>
    <t>S7 placeholder row only</t>
  </si>
  <si>
    <t>Reserved; overwrite only if an actual candidate/confirmed deviation event is assigned</t>
  </si>
  <si>
    <t>PD002</t>
  </si>
  <si>
    <t>PD003</t>
  </si>
  <si>
    <t>PD004</t>
  </si>
  <si>
    <t>PD005</t>
  </si>
  <si>
    <t>PD006</t>
  </si>
  <si>
    <t>PD007</t>
  </si>
  <si>
    <t>PD008</t>
  </si>
  <si>
    <t>PD009</t>
  </si>
  <si>
    <t>PD010</t>
  </si>
  <si>
    <t>PD011</t>
  </si>
  <si>
    <t>PD012</t>
  </si>
  <si>
    <t>PD013</t>
  </si>
  <si>
    <t>PD014</t>
  </si>
  <si>
    <t>PD015</t>
  </si>
  <si>
    <t>PD016</t>
  </si>
  <si>
    <t>PD017</t>
  </si>
  <si>
    <t>PD018</t>
  </si>
  <si>
    <t>PD019</t>
  </si>
  <si>
    <t>PD020</t>
  </si>
  <si>
    <t>PD021</t>
  </si>
  <si>
    <t>PD022</t>
  </si>
  <si>
    <t>PD023</t>
  </si>
  <si>
    <t>PD024</t>
  </si>
  <si>
    <t>PD025</t>
  </si>
  <si>
    <t>PD026</t>
  </si>
  <si>
    <t>PD027</t>
  </si>
  <si>
    <t>PD028</t>
  </si>
  <si>
    <t>PD029</t>
  </si>
  <si>
    <t>PD030</t>
  </si>
  <si>
    <t>PD031</t>
  </si>
  <si>
    <t>PD032</t>
  </si>
  <si>
    <t>PD033</t>
  </si>
  <si>
    <t>PD034</t>
  </si>
  <si>
    <t>PD035</t>
  </si>
  <si>
    <t>PD036</t>
  </si>
  <si>
    <t>PD037</t>
  </si>
  <si>
    <t>PD038</t>
  </si>
  <si>
    <t>PD039</t>
  </si>
  <si>
    <t>PD040</t>
  </si>
  <si>
    <t>PD041</t>
  </si>
  <si>
    <t>PD042</t>
  </si>
  <si>
    <t>PD043</t>
  </si>
  <si>
    <t>PD044</t>
  </si>
  <si>
    <t>PD045</t>
  </si>
  <si>
    <t>PD046</t>
  </si>
  <si>
    <t>PD047</t>
  </si>
  <si>
    <t>PD048</t>
  </si>
  <si>
    <t>PD049</t>
  </si>
  <si>
    <t>PD050</t>
  </si>
  <si>
    <t>PD051</t>
  </si>
  <si>
    <t>PD052</t>
  </si>
  <si>
    <t>PD053</t>
  </si>
  <si>
    <t>PD054</t>
  </si>
  <si>
    <t>PD055</t>
  </si>
  <si>
    <t>PD056</t>
  </si>
  <si>
    <t>PD057</t>
  </si>
  <si>
    <t>PD058</t>
  </si>
  <si>
    <t>PD059</t>
  </si>
  <si>
    <t>PD060</t>
  </si>
  <si>
    <t>PD061</t>
  </si>
  <si>
    <t>PD062</t>
  </si>
  <si>
    <t>PD063</t>
  </si>
  <si>
    <t>PD064</t>
  </si>
  <si>
    <t>PD065</t>
  </si>
  <si>
    <t>PD066</t>
  </si>
  <si>
    <t>PD067</t>
  </si>
  <si>
    <t>PD068</t>
  </si>
  <si>
    <t>PD069</t>
  </si>
  <si>
    <t>PD070</t>
  </si>
  <si>
    <t>PD071</t>
  </si>
  <si>
    <t>PD072</t>
  </si>
  <si>
    <t>PD073</t>
  </si>
  <si>
    <t>PD074</t>
  </si>
  <si>
    <t>PD075</t>
  </si>
  <si>
    <t>PD076</t>
  </si>
  <si>
    <t>PD077</t>
  </si>
  <si>
    <t>PD078</t>
  </si>
  <si>
    <t>PD079</t>
  </si>
  <si>
    <t>PD080</t>
  </si>
  <si>
    <t>PD081</t>
  </si>
  <si>
    <t>PD082</t>
  </si>
  <si>
    <t>PD083</t>
  </si>
  <si>
    <t>PD084</t>
  </si>
  <si>
    <t>PD085</t>
  </si>
  <si>
    <t>PD086</t>
  </si>
  <si>
    <t>PD087</t>
  </si>
  <si>
    <t>PD088</t>
  </si>
  <si>
    <t>PD089</t>
  </si>
  <si>
    <t>PD090</t>
  </si>
  <si>
    <t>PD091</t>
  </si>
  <si>
    <t>PD092</t>
  </si>
  <si>
    <t>PD093</t>
  </si>
  <si>
    <t>PD094</t>
  </si>
  <si>
    <t>PD095</t>
  </si>
  <si>
    <t>PD096</t>
  </si>
  <si>
    <t>PD097</t>
  </si>
  <si>
    <t>PD098</t>
  </si>
  <si>
    <t>PD099</t>
  </si>
  <si>
    <t>PD100</t>
  </si>
  <si>
    <t>Search-Strategy Change and Rerun Log</t>
  </si>
  <si>
    <t>Search change ID</t>
  </si>
  <si>
    <t>Linked deviation ID</t>
  </si>
  <si>
    <t>Database</t>
  </si>
  <si>
    <t>Original search term / field / filter</t>
  </si>
  <si>
    <t>Revised search term / field / filter</t>
  </si>
  <si>
    <t>Date changed</t>
  </si>
  <si>
    <t>Screening already commenced?</t>
  </si>
  <si>
    <t>Reason</t>
  </si>
  <si>
    <t>Rerun status</t>
  </si>
  <si>
    <t>Rerun date</t>
  </si>
  <si>
    <t>Records before change</t>
  </si>
  <si>
    <t>Records after rerun</t>
  </si>
  <si>
    <t>New records identified</t>
  </si>
  <si>
    <t>Previously retrieved records lost</t>
  </si>
  <si>
    <t>Duplicates among new records</t>
  </si>
  <si>
    <t>New records screened</t>
  </si>
  <si>
    <t>New studies included</t>
  </si>
  <si>
    <t>Affected final Study IDs</t>
  </si>
  <si>
    <t>Corrective-action note</t>
  </si>
  <si>
    <t>Validity / interpretation note</t>
  </si>
  <si>
    <t>SC001</t>
  </si>
  <si>
    <t>NA — no post-finalization search change recorded</t>
  </si>
  <si>
    <t>No search-change event recorded</t>
  </si>
  <si>
    <t>No validity/interpretation effect; reserved placeholder</t>
  </si>
  <si>
    <t>SC002</t>
  </si>
  <si>
    <t>SC003</t>
  </si>
  <si>
    <t>SC004</t>
  </si>
  <si>
    <t>SC005</t>
  </si>
  <si>
    <t>SC006</t>
  </si>
  <si>
    <t>SC007</t>
  </si>
  <si>
    <t>SC008</t>
  </si>
  <si>
    <t>SC009</t>
  </si>
  <si>
    <t>SC010</t>
  </si>
  <si>
    <t>SC011</t>
  </si>
  <si>
    <t>SC012</t>
  </si>
  <si>
    <t>SC013</t>
  </si>
  <si>
    <t>SC014</t>
  </si>
  <si>
    <t>SC015</t>
  </si>
  <si>
    <t>SC016</t>
  </si>
  <si>
    <t>SC017</t>
  </si>
  <si>
    <t>SC018</t>
  </si>
  <si>
    <t>SC019</t>
  </si>
  <si>
    <t>SC020</t>
  </si>
  <si>
    <t>SC021</t>
  </si>
  <si>
    <t>SC022</t>
  </si>
  <si>
    <t>SC023</t>
  </si>
  <si>
    <t>SC024</t>
  </si>
  <si>
    <t>SC025</t>
  </si>
  <si>
    <t>SC026</t>
  </si>
  <si>
    <t>SC027</t>
  </si>
  <si>
    <t>SC028</t>
  </si>
  <si>
    <t>SC029</t>
  </si>
  <si>
    <t>SC030</t>
  </si>
  <si>
    <t>SC031</t>
  </si>
  <si>
    <t>SC032</t>
  </si>
  <si>
    <t>SC033</t>
  </si>
  <si>
    <t>SC034</t>
  </si>
  <si>
    <t>SC035</t>
  </si>
  <si>
    <t>SC036</t>
  </si>
  <si>
    <t>SC037</t>
  </si>
  <si>
    <t>SC038</t>
  </si>
  <si>
    <t>SC039</t>
  </si>
  <si>
    <t>SC040</t>
  </si>
  <si>
    <t>SC041</t>
  </si>
  <si>
    <t>SC042</t>
  </si>
  <si>
    <t>SC043</t>
  </si>
  <si>
    <t>SC044</t>
  </si>
  <si>
    <t>SC045</t>
  </si>
  <si>
    <t>SC046</t>
  </si>
  <si>
    <t>SC047</t>
  </si>
  <si>
    <t>SC048</t>
  </si>
  <si>
    <t>SC049</t>
  </si>
  <si>
    <t>SC050</t>
  </si>
  <si>
    <t>Classification, EM, and TRL Rule-Change Log</t>
  </si>
  <si>
    <t>Change ID</t>
  </si>
  <si>
    <t>Facet / variable</t>
  </si>
  <si>
    <t>Original rule / category</t>
  </si>
  <si>
    <t>Revised rule / category</t>
  </si>
  <si>
    <t>Formal coding already begun?</t>
  </si>
  <si>
    <t>Planned pilot refinement?</t>
  </si>
  <si>
    <t>Reason / ambiguity</t>
  </si>
  <si>
    <t>Affected Study IDs</t>
  </si>
  <si>
    <t>Reassessment completed?</t>
  </si>
  <si>
    <t>Disagreement / IRR effect</t>
  </si>
  <si>
    <t>Validity / interpretation effect</t>
  </si>
  <si>
    <t>Codebook version</t>
  </si>
  <si>
    <t>CR001</t>
  </si>
  <si>
    <t>NA — no finalized rule change recorded</t>
  </si>
  <si>
    <t>No rule-change event recorded; planned pilot refinement belongs in S5</t>
  </si>
  <si>
    <t>NA — no formal IRR effect</t>
  </si>
  <si>
    <t>Current finalized S3</t>
  </si>
  <si>
    <t>Reserved placeholder; corrections that apply an existing rule are not protocol deviations</t>
  </si>
  <si>
    <t>CR002</t>
  </si>
  <si>
    <t>CR003</t>
  </si>
  <si>
    <t>CR004</t>
  </si>
  <si>
    <t>CR005</t>
  </si>
  <si>
    <t>CR006</t>
  </si>
  <si>
    <t>CR007</t>
  </si>
  <si>
    <t>CR008</t>
  </si>
  <si>
    <t>CR009</t>
  </si>
  <si>
    <t>CR010</t>
  </si>
  <si>
    <t>CR011</t>
  </si>
  <si>
    <t>CR012</t>
  </si>
  <si>
    <t>CR013</t>
  </si>
  <si>
    <t>CR014</t>
  </si>
  <si>
    <t>CR015</t>
  </si>
  <si>
    <t>CR016</t>
  </si>
  <si>
    <t>CR017</t>
  </si>
  <si>
    <t>CR018</t>
  </si>
  <si>
    <t>CR019</t>
  </si>
  <si>
    <t>CR020</t>
  </si>
  <si>
    <t>CR021</t>
  </si>
  <si>
    <t>CR022</t>
  </si>
  <si>
    <t>CR023</t>
  </si>
  <si>
    <t>CR024</t>
  </si>
  <si>
    <t>CR025</t>
  </si>
  <si>
    <t>CR026</t>
  </si>
  <si>
    <t>CR027</t>
  </si>
  <si>
    <t>CR028</t>
  </si>
  <si>
    <t>CR029</t>
  </si>
  <si>
    <t>CR030</t>
  </si>
  <si>
    <t>CR031</t>
  </si>
  <si>
    <t>CR032</t>
  </si>
  <si>
    <t>CR033</t>
  </si>
  <si>
    <t>CR034</t>
  </si>
  <si>
    <t>CR035</t>
  </si>
  <si>
    <t>CR036</t>
  </si>
  <si>
    <t>CR037</t>
  </si>
  <si>
    <t>CR038</t>
  </si>
  <si>
    <t>CR039</t>
  </si>
  <si>
    <t>CR040</t>
  </si>
  <si>
    <t>CR041</t>
  </si>
  <si>
    <t>CR042</t>
  </si>
  <si>
    <t>CR043</t>
  </si>
  <si>
    <t>CR044</t>
  </si>
  <si>
    <t>CR045</t>
  </si>
  <si>
    <t>CR046</t>
  </si>
  <si>
    <t>CR047</t>
  </si>
  <si>
    <t>CR048</t>
  </si>
  <si>
    <t>CR049</t>
  </si>
  <si>
    <t>CR050</t>
  </si>
  <si>
    <t>Candidate Issues Requiring a Protocol-Deviation Decision</t>
  </si>
  <si>
    <t>These items are not pre-classified as confirmed deviations. They are included to prevent genuine methodological issues from being silently omitted and to prevent planned/administrative activities from being incorrectly reported as deviations.</t>
  </si>
  <si>
    <t>Issue ID</t>
  </si>
  <si>
    <t>Issue / event</t>
  </si>
  <si>
    <t>Evidence currently available</t>
  </si>
  <si>
    <t>Default interpretation</t>
  </si>
  <si>
    <t>When it becomes a protocol deviation</t>
  </si>
  <si>
    <t>Required action</t>
  </si>
  <si>
    <t>Materiality if confirmed</t>
  </si>
  <si>
    <t>CI001</t>
  </si>
  <si>
    <t>Declared review window ends 31 August 2026, while the recorded primary database searches were executed on 6–8 August 2026.</t>
  </si>
  <si>
    <t>Section 3.3 records the publication period as 1 January 2016–31 August 2026 and database search dates of 6–8 August 2026.</t>
  </si>
  <si>
    <t>Not yet a confirmed deviation as of 10 August 2026 because an update search can still be executed on/after the declared cut-off date.</t>
  </si>
  <si>
    <t>If the final review claims completeness through 31 August 2026 without an update search, or if the protocol cut-off is changed after finalization.</t>
  </si>
  <si>
    <t>Execute and archive an update search on/after 31 August 2026 using the finalized strategy, or formally revise and justify the cut-off date and log that change.</t>
  </si>
  <si>
    <t>Cut-off date is still in the future as of 2026-08-10; no deviation is confirmed yet.</t>
  </si>
  <si>
    <t>CI002</t>
  </si>
  <si>
    <t>Pilot codebook definitions are refined after independent pilot coding.</t>
  </si>
  <si>
    <t>Section 3.8 explicitly pre-specifies codebook refinement and recoding of the pilot sample.</t>
  </si>
  <si>
    <t>Planned methodological activity; not a deviation when completed within the pre-specified pilot process before full extraction.</t>
  </si>
  <si>
    <t>If a substantive coding rule is changed outside the planned pilot process or after formal extraction/coding has begun.</t>
  </si>
  <si>
    <t>Record planned pilot refinements in S5. Use S7 only for post-finalization changes that alter the finalized coding procedure.</t>
  </si>
  <si>
    <t>Keep any genuine pilot-rule clarifications in S5 unless they exceed the planned refinement procedure.</t>
  </si>
  <si>
    <t>CI003</t>
  </si>
  <si>
    <t>Search-string calibration against benchmark studies before the formal database search.</t>
  </si>
  <si>
    <t>Section 3.3 states that search sensitivity was calibrated against 12 known relevant studies and revised when an indexed benchmark was missed.</t>
  </si>
  <si>
    <t>Planned calibration; not a deviation when completed before the formal search.</t>
  </si>
  <si>
    <t>If a search term/field/filter is changed after screening has commenced and the change alters the executed search procedure.</t>
  </si>
  <si>
    <t>Keep calibration evidence in S1. If a post-screening search change occurs, create a Search_Change_Log entry and rerun affected searches where feasible.</t>
  </si>
  <si>
    <t>Pre-search calibration is part of the documented search-development process.</t>
  </si>
  <si>
    <t>CI004</t>
  </si>
  <si>
    <t>Missing, incomplete, preprint, duplicate, or wrong-version primary-study files are discovered during review management.</t>
  </si>
  <si>
    <t>Current unresolved source/eligibility cases include PS015, PS031, PS033, PS040 and PS064.</t>
  </si>
  <si>
    <t>Study-management/eligibility issue, not automatically a protocol deviation.</t>
  </si>
  <si>
    <t>If resolving a source problem requires changing eligibility criteria, retrieval procedure, review period, or another finalized methodological rule.</t>
  </si>
  <si>
    <t>Resolve through normal retrieval/eligibility procedures; create a deviation only if the methodology itself changes.</t>
  </si>
  <si>
    <t>PS015 eligibility; PS031 preprint/final-version mismatch; PS033 incomplete full text; PS040 actual file missing; PS064 preprint/VOR replacement pending.</t>
  </si>
  <si>
    <t>CI005</t>
  </si>
  <si>
    <t>PRISMA study-selection flow currently mixes the snowballing pathway with the main screening arithmetic.</t>
  </si>
  <si>
    <t>The supplied counts use 1,462 database records + 89 snowballing records in the arithmetic leading to 952 screened, yet 11 snowballing studies are then added separately to the 83 database-screening inclusions to obtain 94.</t>
  </si>
  <si>
    <t>Reporting/data-flow reconciliation issue; not yet a confirmed protocol deviation.</t>
  </si>
  <si>
    <t>If audit evidence shows that records were double-counted/omitted or that the actual selection procedure differed from the finalized protocol.</t>
  </si>
  <si>
    <t>Audit the screening manager/reference records and determine whether the 952 screened records included the 89 snowballing records. Correct the PRISMA flow and counts accordingly.</t>
  </si>
  <si>
    <t>Do not silently alter the supplied counts; reconcile the pathway before final manuscript reporting.</t>
  </si>
  <si>
    <t>CI006</t>
  </si>
  <si>
    <t>The stated PRISMA duplicate-removal count of 356 is not reproducible from the current 1,462-record database master using defensible bibliographic matching.</t>
  </si>
  <si>
    <t>Current duplicate audit identifies 121 confirmed duplicate groups containing 122 removable records. The 89 snowballing records are not available as bibliographic records for a full 1,551-record deduplication audit.</t>
  </si>
  <si>
    <t>Deduplication-audit discrepancy; not yet a confirmed protocol deviation.</t>
  </si>
  <si>
    <t>If the reported duplicate count/procedure cannot be supported by the original reference-manager deduplication log, or if a deduplication rule is changed retrospectively.</t>
  </si>
  <si>
    <t>Reconcile against the original reference-manager/system deduplication log and, if needed, obtain the 89 snowballing bibliographic records and rerun the full audit. Log any methodological change separately.</t>
  </si>
  <si>
    <t>Current supported database-only duplicate count is 122 confirmed removals; do not force the workbook to 356 without evidence.</t>
  </si>
  <si>
    <t>Protocol-Deviation Summary Dashboard</t>
  </si>
  <si>
    <t>Metric</t>
  </si>
  <si>
    <t>Current value</t>
  </si>
  <si>
    <t>Confirmed deviations</t>
  </si>
  <si>
    <t>Material deviations</t>
  </si>
  <si>
    <t>Material confirmed deviations</t>
  </si>
  <si>
    <t>Minor / administrative confirmed deviations</t>
  </si>
  <si>
    <t>Open confirmed deviations</t>
  </si>
  <si>
    <t>Closed confirmed deviations</t>
  </si>
  <si>
    <t>Corrective actions completed</t>
  </si>
  <si>
    <t>Confirmed deviations requiring manuscript reporting</t>
  </si>
  <si>
    <t>Total potentially affected studies (non-deduplicated sum)</t>
  </si>
  <si>
    <t>Candidate issues pending decision</t>
  </si>
  <si>
    <t>Manuscript status sentence</t>
  </si>
  <si>
    <t>Material Protocol Deviations — Manuscript Summary Table</t>
  </si>
  <si>
    <t>Original decision</t>
  </si>
  <si>
    <t>Revised procedure</t>
  </si>
  <si>
    <t>Date</t>
  </si>
  <si>
    <t>Potential validity / interpretation effect</t>
  </si>
  <si>
    <t>Affected studies</t>
  </si>
  <si>
    <t>None confirmed as of 2026-08-10</t>
  </si>
  <si>
    <t>No confirmed material deviation is currently available for manuscript tabulation.</t>
  </si>
  <si>
    <t>Reserved — no material deviation entry</t>
  </si>
  <si>
    <t>Protocol-Deviation Reporting Checklist</t>
  </si>
  <si>
    <t>Requirement</t>
  </si>
  <si>
    <t>Completion criterion</t>
  </si>
  <si>
    <t>Completed?</t>
  </si>
  <si>
    <t>Location / note</t>
  </si>
  <si>
    <t>Protocol finalization date retained</t>
  </si>
  <si>
    <t>The finalized protocol/version and date are identifiable in the review archive.</t>
  </si>
  <si>
    <t>The protocol finalization/version date is not documented in the current S7 workbook; add the archived protocol/OSF date before final submission.</t>
  </si>
  <si>
    <t>Every confirmed deviation is dated</t>
  </si>
  <si>
    <t>Each entry has a date of change and review stage.</t>
  </si>
  <si>
    <t>No confirmed deviations are currently recorded.</t>
  </si>
  <si>
    <t>Original and revised decisions are explicit</t>
  </si>
  <si>
    <t>No deviation is described only as a vague 'change'.</t>
  </si>
  <si>
    <t>No confirmed deviations are currently recorded; reserved PD rows are explicitly marked as non-events.</t>
  </si>
  <si>
    <t>Affected studies quantified</t>
  </si>
  <si>
    <t>Potentially affected count and Study IDs/records are identified where feasible.</t>
  </si>
  <si>
    <t>No confirmed deviations are currently recorded. Candidate issues retain affected records where known.</t>
  </si>
  <si>
    <t>Corrective action documented</t>
  </si>
  <si>
    <t>Rerun/reassessment/recoding/re-extraction action is recorded.</t>
  </si>
  <si>
    <t>No confirmed deviations currently require corrective action; candidate actions are documented in Candidate_Issues.</t>
  </si>
  <si>
    <t>Retrospective application checked</t>
  </si>
  <si>
    <t>Previously processed studies are reassessed when the revised rule could affect them.</t>
  </si>
  <si>
    <t>No confirmed post-finalization methodological rule change is recorded.</t>
  </si>
  <si>
    <t>Validity effect assessed</t>
  </si>
  <si>
    <t>Each material deviation includes a reasoned validity/interpretation note.</t>
  </si>
  <si>
    <t>No material deviation is confirmed.</t>
  </si>
  <si>
    <t>Search changes rerun where feasible</t>
  </si>
  <si>
    <t>Post-screening search modifications are rerun across selected databases where feasible.</t>
  </si>
  <si>
    <t>No confirmed post-finalization search-strategy change is recorded. CI001 remains pending until the 31-Aug-2026 update-search decision.</t>
  </si>
  <si>
    <t>Classification changes recoded</t>
  </si>
  <si>
    <t>Previously coded studies are reassessed after substantive rule changes.</t>
  </si>
  <si>
    <t>No confirmed post-finalization classification/EM/TRL rule change is recorded; planned pilot refinement is handled in S5.</t>
  </si>
  <si>
    <t>Candidate issues resolved</t>
  </si>
  <si>
    <t>All candidate issues are confirmed/rejected before final reporting.</t>
  </si>
  <si>
    <t>Pending: CI001, CI004, CI005 and CI006. Rejected as deviations: CI002 and CI003.</t>
  </si>
  <si>
    <t>Material deviations summarized</t>
  </si>
  <si>
    <t>Confirmed material deviations are copied to Manuscript_Summary.</t>
  </si>
  <si>
    <t>Confirmed material-deviation count = 0; Manuscript_Summary explicitly records that no material deviation is currently available for tabulation.</t>
  </si>
  <si>
    <t>No-deviation statement used correctly</t>
  </si>
  <si>
    <t>A 'no material deviations' statement is used only when the confirmed material-deviation count is zero.</t>
  </si>
  <si>
    <t>Material confirmed deviations = 0. The statement is explicitly provisional while candidate issues remain unresolved.</t>
  </si>
  <si>
    <t>S7 Provenance and Relationship to the Review Method</t>
  </si>
  <si>
    <t>Source / companion file</t>
  </si>
  <si>
    <t>Used for</t>
  </si>
  <si>
    <t>Treatment in S7</t>
  </si>
  <si>
    <t>Important note</t>
  </si>
  <si>
    <t>Research Methodology §3.10</t>
  </si>
  <si>
    <t>Defines deviation fields, rerun/reassessment requirements, and manuscript reporting rule.</t>
  </si>
  <si>
    <t>Primary methodological basis for S7.</t>
  </si>
  <si>
    <t>S7 does not invent deviations not documented by the review record.</t>
  </si>
  <si>
    <t>Supplementary File S1</t>
  </si>
  <si>
    <t>Search strategy/search dates and future search-history evidence.</t>
  </si>
  <si>
    <t>Potential search deviations and rerun evidence.</t>
  </si>
  <si>
    <t>A search update/calibration record is not automatically a deviation; timing and stage matter.</t>
  </si>
  <si>
    <t>Supplementary File S3</t>
  </si>
  <si>
    <t>Final classification, EM and TRL decision rules.</t>
  </si>
  <si>
    <t>Baseline against which post-finalization coding-rule changes are judged.</t>
  </si>
  <si>
    <t>Planned pilot refinement before full coding belongs in S5.</t>
  </si>
  <si>
    <t>Supplementary File S4</t>
  </si>
  <si>
    <t>Study extraction workflow and final coded dataset.</t>
  </si>
  <si>
    <t>Affected-study reassessment / re-extraction evidence.</t>
  </si>
  <si>
    <t>Do not change coded values silently after a protocol deviation.</t>
  </si>
  <si>
    <t>Supplementary File S5</t>
  </si>
  <si>
    <t>Pilot coding and inter-rater reliability.</t>
  </si>
  <si>
    <t>Evidence that planned codebook refinement occurred before formal extraction.</t>
  </si>
  <si>
    <t>A planned pilot change is not automatically a protocol deviation.</t>
  </si>
  <si>
    <t>Supplementary File S6</t>
  </si>
  <si>
    <t>Synthesis and visualization plan.</t>
  </si>
  <si>
    <t>Baseline for post-finalization synthesis/visualization changes.</t>
  </si>
  <si>
    <t>Material changes to denominator rules or readiness analysis after synthesis begins should be logged.</t>
  </si>
  <si>
    <t>Candidate_Issues / current audit status</t>
  </si>
  <si>
    <t>Tracks unresolved methodological audit questions without prematurely classifying them as deviations.</t>
  </si>
  <si>
    <t>Candidate issues remain separate from confirmed deviations.</t>
  </si>
  <si>
    <t>As of 2026-08-10: CI001, CI004, CI005 and CI006 pending; CI002/CI003 rejected.</t>
  </si>
  <si>
    <t>PRISMA_Study_Selection_Counts_and_Check.xlsx</t>
  </si>
  <si>
    <t>Selection-flow arithmetic and snowballing-pathway reconciliation.</t>
  </si>
  <si>
    <t>Supports CI005.</t>
  </si>
  <si>
    <t>The supplied flow must be reconciled before final reporting; counts are not silently altered in S7.</t>
  </si>
  <si>
    <t>Identified_Duplicate_Records_from_1462.xlsx</t>
  </si>
  <si>
    <t>Bibliographic duplicate audit of the 1,462-record database master.</t>
  </si>
  <si>
    <t>Supports CI006.</t>
  </si>
  <si>
    <t>122 confirmed removable database duplicates are reproducible; the stated 356 requires the original deduplication log and/or additional records.</t>
  </si>
  <si>
    <t>Current review status — 2026-08-10</t>
  </si>
  <si>
    <t>Temporal status of this S7 completion.</t>
  </si>
  <si>
    <t>Audit snapshot only; not a protocol-registration timestamp.</t>
  </si>
  <si>
    <t>No confirmed deviations; four candidate issues remain unresolved.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</si>
</sst>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name val="Carlito"/>
    </font>
    <font>
      <b/>
      <sz val="14"/>
      <color rgb="FFFFFFFF"/>
      <name val="Aptos"/>
    </font>
    <font>
      <b/>
      <sz val="10"/>
      <color rgb="FFFFFFFF"/>
      <name val="Aptos"/>
    </font>
    <font>
      <sz val="10"/>
      <name val="Aptos"/>
    </font>
    <font>
      <b/>
      <sz val="10"/>
      <name val="Aptos"/>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EAF3F8"/>
      </patternFill>
    </fill>
  </fills>
  <borders count="1">
    <border>
      <left/>
      <right/>
      <top/>
      <bottom/>
      <diagonal/>
    </border>
  </borders>
  <cellStyleXfs count="1">
    <xf numFmtId="0" fontId="0" fillId="0" borderId="0"/>
  </cellStyleXfs>
  <cellXfs count="18">
    <xf numFmtId="0" fontId="0" fillId="0" borderId="0" xfId="0"/>
    <xf numFmtId="0" fontId="3" fillId="0" borderId="0" xfId="0" applyFont="1"/>
    <xf numFmtId="0" fontId="2" fillId="2" borderId="0" xfId="0" applyFont="1" applyFill="1" applyAlignment="1">
      <alignment horizontal="center" vertical="center" wrapText="1"/>
    </xf>
    <xf numFmtId="0" fontId="4" fillId="3" borderId="0" xfId="0" applyFont="1" applyFill="1" applyAlignment="1">
      <alignment vertical="top" wrapText="1"/>
    </xf>
    <xf numFmtId="0" fontId="3" fillId="0" borderId="0" xfId="0" applyFont="1" applyAlignment="1">
      <alignment wrapText="1"/>
    </xf>
    <xf numFmtId="0" fontId="1" fillId="0" borderId="0" xfId="0" applyFont="1"/>
    <xf numFmtId="0" fontId="3" fillId="0" borderId="0" xfId="0" applyFont="1" applyAlignment="1">
      <alignment vertical="top" wrapText="1"/>
    </xf>
    <xf numFmtId="164" fontId="3" fillId="0" borderId="0" xfId="0" applyNumberFormat="1" applyFont="1" applyAlignment="1">
      <alignment vertical="top" wrapText="1"/>
    </xf>
    <xf numFmtId="1" fontId="3" fillId="0" borderId="0" xfId="0" applyNumberFormat="1" applyFont="1" applyAlignment="1">
      <alignment vertical="top" wrapText="1"/>
    </xf>
    <xf numFmtId="164" fontId="3" fillId="0" borderId="0" xfId="0" applyNumberFormat="1" applyFont="1" applyAlignment="1">
      <alignment wrapText="1"/>
    </xf>
    <xf numFmtId="0" fontId="1" fillId="0" borderId="0" xfId="0" applyFont="1" applyAlignment="1">
      <alignment vertical="top"/>
    </xf>
    <xf numFmtId="0" fontId="1" fillId="2" borderId="0" xfId="0" applyFont="1" applyFill="1" applyAlignment="1">
      <alignment horizontal="center" vertical="top"/>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3" fillId="4"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0" fontId="3" fillId="0" borderId="0" xfId="0" applyFont="1" applyAlignment="1">
      <alignment vertical="top" wrapText="1"/>
    </xf>
  </cellXfs>
  <cellStyles count="1">
    <cellStyle name="Normal" xfId="0" builtinId="0"/>
  </cellStyles>
  <dxfs count="10">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CE4D6"/>
        </patternFill>
      </fill>
    </dxf>
    <dxf>
      <font>
        <b/>
      </font>
      <fill>
        <patternFill>
          <bgColor rgb="FFFCE4D6"/>
        </patternFill>
      </fill>
    </dxf>
    <dxf>
      <fill>
        <patternFill>
          <bgColor rgb="FFE2F0D9"/>
        </patternFill>
      </fill>
    </dxf>
    <dxf>
      <fill>
        <patternFill>
          <bgColor rgb="FFE2F0D9"/>
        </patternFill>
      </fill>
    </dxf>
    <dxf>
      <fill>
        <patternFill>
          <bgColor rgb="FFFFF2CC"/>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Confirmed Deviations by Review Stage</a:t>
            </a:r>
          </a:p>
        </c:rich>
      </c:tx>
      <c:overlay val="1"/>
    </c:title>
    <c:autoTitleDeleted val="0"/>
    <c:plotArea>
      <c:layout/>
      <c:barChart>
        <c:barDir val="col"/>
        <c:grouping val="clustered"/>
        <c:varyColors val="0"/>
        <c:ser>
          <c:idx val="0"/>
          <c:order val="0"/>
          <c:tx>
            <c:v>Confirmed deviations</c:v>
          </c:tx>
          <c:invertIfNegative val="1"/>
          <c:cat>
            <c:strRef>
              <c:f>Deviation_Summary!$D$4:$D$15</c:f>
              <c:strCache>
                <c:ptCount val="12"/>
                <c:pt idx="0">
                  <c:v>Search design</c:v>
                </c:pt>
                <c:pt idx="1">
                  <c:v>Search execution</c:v>
                </c:pt>
                <c:pt idx="2">
                  <c:v>Deduplication</c:v>
                </c:pt>
                <c:pt idx="3">
                  <c:v>Title/abstract screening</c:v>
                </c:pt>
                <c:pt idx="4">
                  <c:v>Full-text eligibility</c:v>
                </c:pt>
                <c:pt idx="5">
                  <c:v>Snowballing</c:v>
                </c:pt>
                <c:pt idx="6">
                  <c:v>Quality assessment</c:v>
                </c:pt>
                <c:pt idx="7">
                  <c:v>Classification/codebook</c:v>
                </c:pt>
                <c:pt idx="8">
                  <c:v>Data extraction</c:v>
                </c:pt>
                <c:pt idx="9">
                  <c:v>Inter-rater reliability</c:v>
                </c:pt>
                <c:pt idx="10">
                  <c:v>Data synthesis/visualization</c:v>
                </c:pt>
                <c:pt idx="11">
                  <c:v>Reporting</c:v>
                </c:pt>
              </c:strCache>
            </c:strRef>
          </c:cat>
          <c:val>
            <c:numRef>
              <c:f>Deviation_Summary!$E$4:$E$15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0EB-47EF-BFF1-57EDCBF33EA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Z120"/>
  <sheetViews>
    <sheetView workbookViewId="0">
      <selection sqref="A1:D1"/>
    </sheetView>
  </sheetViews>
  <sheetFormatPr defaultRowHeight="14.25"/>
  <cols>
    <col min="1" max="1" width="30" customWidth="1"/>
    <col min="2" max="2" width="105" customWidth="1"/>
  </cols>
  <sheetData>
    <row r="1" spans="1:26" ht="18.75">
      <c r="A1" s="12" t="s">
        <v>0</v>
      </c>
      <c r="B1" s="12"/>
      <c r="C1" s="13"/>
      <c r="D1" s="13"/>
      <c r="E1" s="5"/>
      <c r="F1" s="5"/>
      <c r="G1" s="5"/>
      <c r="H1" s="5"/>
      <c r="I1" s="5"/>
      <c r="J1" s="5"/>
      <c r="K1" s="5"/>
      <c r="L1" s="5"/>
      <c r="M1" s="5"/>
      <c r="N1" s="5"/>
      <c r="O1" s="5"/>
      <c r="P1" s="5"/>
      <c r="Q1" s="5"/>
      <c r="R1" s="5"/>
      <c r="S1" s="5"/>
      <c r="T1" s="5"/>
      <c r="U1" s="5"/>
      <c r="V1" s="5"/>
      <c r="W1" s="5"/>
      <c r="X1" s="5"/>
      <c r="Y1" s="5"/>
      <c r="Z1" s="5"/>
    </row>
    <row r="2" spans="1:26" ht="15">
      <c r="A2" s="4"/>
      <c r="B2" s="4"/>
      <c r="C2" s="1"/>
      <c r="D2" s="1"/>
      <c r="E2" s="1"/>
      <c r="F2" s="1"/>
      <c r="G2" s="1"/>
      <c r="H2" s="1"/>
      <c r="I2" s="1"/>
      <c r="J2" s="1"/>
      <c r="K2" s="1"/>
      <c r="L2" s="1"/>
      <c r="M2" s="1"/>
      <c r="N2" s="1"/>
      <c r="O2" s="1"/>
      <c r="P2" s="1"/>
      <c r="Q2" s="1"/>
      <c r="R2" s="1"/>
      <c r="S2" s="1"/>
      <c r="T2" s="1"/>
      <c r="U2" s="1"/>
      <c r="V2" s="1"/>
      <c r="W2" s="1"/>
      <c r="X2" s="1"/>
      <c r="Y2" s="1"/>
      <c r="Z2" s="1"/>
    </row>
    <row r="3" spans="1:26" ht="15">
      <c r="A3" s="2" t="s">
        <v>1</v>
      </c>
      <c r="B3" s="2" t="s">
        <v>2</v>
      </c>
      <c r="C3" s="1"/>
      <c r="D3" s="1"/>
      <c r="E3" s="1"/>
      <c r="F3" s="1"/>
      <c r="G3" s="1"/>
      <c r="H3" s="1"/>
      <c r="I3" s="1"/>
      <c r="J3" s="1"/>
      <c r="K3" s="1"/>
      <c r="L3" s="1"/>
      <c r="M3" s="1"/>
      <c r="N3" s="1"/>
      <c r="O3" s="1"/>
      <c r="P3" s="1"/>
      <c r="Q3" s="1"/>
      <c r="R3" s="1"/>
      <c r="S3" s="1"/>
      <c r="T3" s="1"/>
      <c r="U3" s="1"/>
      <c r="V3" s="1"/>
      <c r="W3" s="1"/>
      <c r="X3" s="1"/>
      <c r="Y3" s="1"/>
      <c r="Z3" s="1"/>
    </row>
    <row r="4" spans="1:26" ht="27">
      <c r="A4" s="3" t="s">
        <v>3</v>
      </c>
      <c r="B4" s="4" t="s">
        <v>4</v>
      </c>
      <c r="C4" s="1"/>
      <c r="D4" s="1"/>
      <c r="E4" s="1"/>
      <c r="F4" s="1"/>
      <c r="G4" s="1"/>
      <c r="H4" s="1"/>
      <c r="I4" s="1"/>
      <c r="J4" s="1"/>
      <c r="K4" s="1"/>
      <c r="L4" s="1"/>
      <c r="M4" s="1"/>
      <c r="N4" s="1"/>
      <c r="O4" s="1"/>
      <c r="P4" s="1"/>
      <c r="Q4" s="1"/>
      <c r="R4" s="1"/>
      <c r="S4" s="1"/>
      <c r="T4" s="1"/>
      <c r="U4" s="1"/>
      <c r="V4" s="1"/>
      <c r="W4" s="1"/>
      <c r="X4" s="1"/>
      <c r="Y4" s="1"/>
      <c r="Z4" s="1"/>
    </row>
    <row r="5" spans="1:26" ht="27">
      <c r="A5" s="3" t="s">
        <v>5</v>
      </c>
      <c r="B5" s="4" t="s">
        <v>6</v>
      </c>
      <c r="C5" s="1"/>
      <c r="D5" s="1"/>
      <c r="E5" s="1"/>
      <c r="F5" s="1"/>
      <c r="G5" s="1"/>
      <c r="H5" s="1"/>
      <c r="I5" s="1"/>
      <c r="J5" s="1"/>
      <c r="K5" s="1"/>
      <c r="L5" s="1"/>
      <c r="M5" s="1"/>
      <c r="N5" s="1"/>
      <c r="O5" s="1"/>
      <c r="P5" s="1"/>
      <c r="Q5" s="1"/>
      <c r="R5" s="1"/>
      <c r="S5" s="1"/>
      <c r="T5" s="1"/>
      <c r="U5" s="1"/>
      <c r="V5" s="1"/>
      <c r="W5" s="1"/>
      <c r="X5" s="1"/>
      <c r="Y5" s="1"/>
      <c r="Z5" s="1"/>
    </row>
    <row r="6" spans="1:26" ht="27">
      <c r="A6" s="3" t="s">
        <v>7</v>
      </c>
      <c r="B6" s="4" t="s">
        <v>8</v>
      </c>
      <c r="C6" s="1"/>
      <c r="D6" s="1"/>
      <c r="E6" s="1"/>
      <c r="F6" s="1"/>
      <c r="G6" s="1"/>
      <c r="H6" s="1"/>
      <c r="I6" s="1"/>
      <c r="J6" s="1"/>
      <c r="K6" s="1"/>
      <c r="L6" s="1"/>
      <c r="M6" s="1"/>
      <c r="N6" s="1"/>
      <c r="O6" s="1"/>
      <c r="P6" s="1"/>
      <c r="Q6" s="1"/>
      <c r="R6" s="1"/>
      <c r="S6" s="1"/>
      <c r="T6" s="1"/>
      <c r="U6" s="1"/>
      <c r="V6" s="1"/>
      <c r="W6" s="1"/>
      <c r="X6" s="1"/>
      <c r="Y6" s="1"/>
      <c r="Z6" s="1"/>
    </row>
    <row r="7" spans="1:26" ht="27">
      <c r="A7" s="3" t="s">
        <v>9</v>
      </c>
      <c r="B7" s="4" t="s">
        <v>10</v>
      </c>
      <c r="C7" s="1"/>
      <c r="D7" s="1"/>
      <c r="E7" s="1"/>
      <c r="F7" s="1"/>
      <c r="G7" s="1"/>
      <c r="H7" s="1"/>
      <c r="I7" s="1"/>
      <c r="J7" s="1"/>
      <c r="K7" s="1"/>
      <c r="L7" s="1"/>
      <c r="M7" s="1"/>
      <c r="N7" s="1"/>
      <c r="O7" s="1"/>
      <c r="P7" s="1"/>
      <c r="Q7" s="1"/>
      <c r="R7" s="1"/>
      <c r="S7" s="1"/>
      <c r="T7" s="1"/>
      <c r="U7" s="1"/>
      <c r="V7" s="1"/>
      <c r="W7" s="1"/>
      <c r="X7" s="1"/>
      <c r="Y7" s="1"/>
      <c r="Z7" s="1"/>
    </row>
    <row r="8" spans="1:26" ht="27">
      <c r="A8" s="3" t="s">
        <v>11</v>
      </c>
      <c r="B8" s="4" t="s">
        <v>12</v>
      </c>
      <c r="C8" s="1"/>
      <c r="D8" s="1"/>
      <c r="E8" s="1"/>
      <c r="F8" s="1"/>
      <c r="G8" s="1"/>
      <c r="H8" s="1"/>
      <c r="I8" s="1"/>
      <c r="J8" s="1"/>
      <c r="K8" s="1"/>
      <c r="L8" s="1"/>
      <c r="M8" s="1"/>
      <c r="N8" s="1"/>
      <c r="O8" s="1"/>
      <c r="P8" s="1"/>
      <c r="Q8" s="1"/>
      <c r="R8" s="1"/>
      <c r="S8" s="1"/>
      <c r="T8" s="1"/>
      <c r="U8" s="1"/>
      <c r="V8" s="1"/>
      <c r="W8" s="1"/>
      <c r="X8" s="1"/>
      <c r="Y8" s="1"/>
      <c r="Z8" s="1"/>
    </row>
    <row r="9" spans="1:26" ht="27">
      <c r="A9" s="3" t="s">
        <v>13</v>
      </c>
      <c r="B9" s="4" t="s">
        <v>14</v>
      </c>
      <c r="C9" s="1"/>
      <c r="D9" s="1"/>
      <c r="E9" s="1"/>
      <c r="F9" s="1"/>
      <c r="G9" s="1"/>
      <c r="H9" s="1"/>
      <c r="I9" s="1"/>
      <c r="J9" s="1"/>
      <c r="K9" s="1"/>
      <c r="L9" s="1"/>
      <c r="M9" s="1"/>
      <c r="N9" s="1"/>
      <c r="O9" s="1"/>
      <c r="P9" s="1"/>
      <c r="Q9" s="1"/>
      <c r="R9" s="1"/>
      <c r="S9" s="1"/>
      <c r="T9" s="1"/>
      <c r="U9" s="1"/>
      <c r="V9" s="1"/>
      <c r="W9" s="1"/>
      <c r="X9" s="1"/>
      <c r="Y9" s="1"/>
      <c r="Z9" s="1"/>
    </row>
    <row r="10" spans="1:26" ht="27">
      <c r="A10" s="3" t="s">
        <v>15</v>
      </c>
      <c r="B10" s="4" t="s">
        <v>16</v>
      </c>
      <c r="C10" s="1"/>
      <c r="D10" s="1"/>
      <c r="E10" s="1"/>
      <c r="F10" s="1"/>
      <c r="G10" s="1"/>
      <c r="H10" s="1"/>
      <c r="I10" s="1"/>
      <c r="J10" s="1"/>
      <c r="K10" s="1"/>
      <c r="L10" s="1"/>
      <c r="M10" s="1"/>
      <c r="N10" s="1"/>
      <c r="O10" s="1"/>
      <c r="P10" s="1"/>
      <c r="Q10" s="1"/>
      <c r="R10" s="1"/>
      <c r="S10" s="1"/>
      <c r="T10" s="1"/>
      <c r="U10" s="1"/>
      <c r="V10" s="1"/>
      <c r="W10" s="1"/>
      <c r="X10" s="1"/>
      <c r="Y10" s="1"/>
      <c r="Z10" s="1"/>
    </row>
    <row r="11" spans="1:26" ht="27">
      <c r="A11" s="3" t="s">
        <v>17</v>
      </c>
      <c r="B11" s="4" t="s">
        <v>18</v>
      </c>
      <c r="C11" s="1"/>
      <c r="D11" s="1"/>
      <c r="E11" s="1"/>
      <c r="F11" s="1"/>
      <c r="G11" s="1"/>
      <c r="H11" s="1"/>
      <c r="I11" s="1"/>
      <c r="J11" s="1"/>
      <c r="K11" s="1"/>
      <c r="L11" s="1"/>
      <c r="M11" s="1"/>
      <c r="N11" s="1"/>
      <c r="O11" s="1"/>
      <c r="P11" s="1"/>
      <c r="Q11" s="1"/>
      <c r="R11" s="1"/>
      <c r="S11" s="1"/>
      <c r="T11" s="1"/>
      <c r="U11" s="1"/>
      <c r="V11" s="1"/>
      <c r="W11" s="1"/>
      <c r="X11" s="1"/>
      <c r="Y11" s="1"/>
      <c r="Z11" s="1"/>
    </row>
    <row r="12" spans="1:26" ht="27">
      <c r="A12" s="3" t="s">
        <v>19</v>
      </c>
      <c r="B12" s="4" t="s">
        <v>20</v>
      </c>
      <c r="C12" s="1"/>
      <c r="D12" s="1"/>
      <c r="E12" s="1"/>
      <c r="F12" s="1"/>
      <c r="G12" s="1"/>
      <c r="H12" s="1"/>
      <c r="I12" s="1"/>
      <c r="J12" s="1"/>
      <c r="K12" s="1"/>
      <c r="L12" s="1"/>
      <c r="M12" s="1"/>
      <c r="N12" s="1"/>
      <c r="O12" s="1"/>
      <c r="P12" s="1"/>
      <c r="Q12" s="1"/>
      <c r="R12" s="1"/>
      <c r="S12" s="1"/>
      <c r="T12" s="1"/>
      <c r="U12" s="1"/>
      <c r="V12" s="1"/>
      <c r="W12" s="1"/>
      <c r="X12" s="1"/>
      <c r="Y12" s="1"/>
      <c r="Z12" s="1"/>
    </row>
    <row r="13" spans="1:26" ht="27">
      <c r="A13" s="3" t="s">
        <v>21</v>
      </c>
      <c r="B13" s="4" t="s">
        <v>22</v>
      </c>
      <c r="C13" s="1"/>
      <c r="D13" s="1"/>
      <c r="E13" s="1"/>
      <c r="F13" s="1"/>
      <c r="G13" s="1"/>
      <c r="H13" s="1"/>
      <c r="I13" s="1"/>
      <c r="J13" s="1"/>
      <c r="K13" s="1"/>
      <c r="L13" s="1"/>
      <c r="M13" s="1"/>
      <c r="N13" s="1"/>
      <c r="O13" s="1"/>
      <c r="P13" s="1"/>
      <c r="Q13" s="1"/>
      <c r="R13" s="1"/>
      <c r="S13" s="1"/>
      <c r="T13" s="1"/>
      <c r="U13" s="1"/>
      <c r="V13" s="1"/>
      <c r="W13" s="1"/>
      <c r="X13" s="1"/>
      <c r="Y13" s="1"/>
      <c r="Z13" s="1"/>
    </row>
    <row r="14" spans="1:26" ht="40.5">
      <c r="A14" s="3" t="s">
        <v>23</v>
      </c>
      <c r="B14" s="4" t="s">
        <v>24</v>
      </c>
      <c r="C14" s="1"/>
      <c r="D14" s="1"/>
      <c r="E14" s="1"/>
      <c r="F14" s="1"/>
      <c r="G14" s="1"/>
      <c r="H14" s="1"/>
      <c r="I14" s="1"/>
      <c r="J14" s="1"/>
      <c r="K14" s="1"/>
      <c r="L14" s="1"/>
      <c r="M14" s="1"/>
      <c r="N14" s="1"/>
      <c r="O14" s="1"/>
      <c r="P14" s="1"/>
      <c r="Q14" s="1"/>
      <c r="R14" s="1"/>
      <c r="S14" s="1"/>
      <c r="T14" s="1"/>
      <c r="U14" s="1"/>
      <c r="V14" s="1"/>
      <c r="W14" s="1"/>
      <c r="X14" s="1"/>
      <c r="Y14" s="1"/>
      <c r="Z14" s="1"/>
    </row>
    <row r="15" spans="1:26" ht="1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120"/>
  <sheetViews>
    <sheetView workbookViewId="0">
      <selection sqref="A1:N1"/>
    </sheetView>
  </sheetViews>
  <sheetFormatPr defaultRowHeight="14.25"/>
  <cols>
    <col min="1" max="14" width="28" customWidth="1"/>
  </cols>
  <sheetData>
    <row r="1" spans="1:26" ht="18.75">
      <c r="A1" s="13" t="s">
        <v>25</v>
      </c>
      <c r="B1" s="13"/>
      <c r="C1" s="13"/>
      <c r="D1" s="13"/>
      <c r="E1" s="13"/>
      <c r="F1" s="13"/>
      <c r="G1" s="13"/>
      <c r="H1" s="13"/>
      <c r="I1" s="13"/>
      <c r="J1" s="13"/>
      <c r="K1" s="13"/>
      <c r="L1" s="13"/>
      <c r="M1" s="13"/>
      <c r="N1" s="13"/>
      <c r="O1" s="5"/>
      <c r="P1" s="5"/>
      <c r="Q1" s="5"/>
      <c r="R1" s="5"/>
      <c r="S1" s="5"/>
      <c r="T1" s="5"/>
      <c r="U1" s="5"/>
      <c r="V1" s="5"/>
      <c r="W1" s="5"/>
      <c r="X1" s="5"/>
      <c r="Y1" s="5"/>
      <c r="Z1" s="5"/>
    </row>
    <row r="2" spans="1:26" ht="15">
      <c r="A2" s="1"/>
      <c r="B2" s="1"/>
      <c r="C2" s="1"/>
      <c r="D2" s="1"/>
      <c r="E2" s="1"/>
      <c r="F2" s="1"/>
      <c r="G2" s="1"/>
      <c r="H2" s="1"/>
      <c r="I2" s="1"/>
      <c r="J2" s="1"/>
      <c r="K2" s="1"/>
      <c r="L2" s="1"/>
      <c r="M2" s="1"/>
      <c r="N2" s="1"/>
      <c r="O2" s="1"/>
      <c r="P2" s="1"/>
      <c r="Q2" s="1"/>
      <c r="R2" s="1"/>
      <c r="S2" s="1"/>
      <c r="T2" s="1"/>
      <c r="U2" s="1"/>
      <c r="V2" s="1"/>
      <c r="W2" s="1"/>
      <c r="X2" s="1"/>
      <c r="Y2" s="1"/>
      <c r="Z2" s="1"/>
    </row>
    <row r="3" spans="1:26" ht="15">
      <c r="A3" s="2" t="s">
        <v>26</v>
      </c>
      <c r="B3" s="2" t="s">
        <v>27</v>
      </c>
      <c r="C3" s="2" t="s">
        <v>28</v>
      </c>
      <c r="D3" s="2" t="s">
        <v>29</v>
      </c>
      <c r="E3" s="2" t="s">
        <v>30</v>
      </c>
      <c r="F3" s="2" t="s">
        <v>31</v>
      </c>
      <c r="G3" s="2" t="s">
        <v>32</v>
      </c>
      <c r="H3" s="2" t="s">
        <v>33</v>
      </c>
      <c r="I3" s="2" t="s">
        <v>34</v>
      </c>
      <c r="J3" s="2" t="s">
        <v>35</v>
      </c>
      <c r="K3" s="2" t="s">
        <v>36</v>
      </c>
      <c r="L3" s="2" t="s">
        <v>37</v>
      </c>
      <c r="M3" s="2" t="s">
        <v>38</v>
      </c>
      <c r="N3" s="2" t="s">
        <v>39</v>
      </c>
      <c r="O3" s="1"/>
      <c r="P3" s="1"/>
      <c r="Q3" s="1"/>
      <c r="R3" s="1"/>
      <c r="S3" s="1"/>
      <c r="T3" s="1"/>
      <c r="U3" s="1"/>
      <c r="V3" s="1"/>
      <c r="W3" s="1"/>
      <c r="X3" s="1"/>
      <c r="Y3" s="1"/>
      <c r="Z3" s="1"/>
    </row>
    <row r="4" spans="1:26" ht="15">
      <c r="A4" s="1" t="s">
        <v>40</v>
      </c>
      <c r="B4" s="1" t="s">
        <v>41</v>
      </c>
      <c r="C4" s="1" t="s">
        <v>42</v>
      </c>
      <c r="D4" s="1" t="s">
        <v>43</v>
      </c>
      <c r="E4" s="1" t="s">
        <v>44</v>
      </c>
      <c r="F4" s="1" t="s">
        <v>44</v>
      </c>
      <c r="G4" s="1" t="s">
        <v>45</v>
      </c>
      <c r="H4" s="1" t="s">
        <v>46</v>
      </c>
      <c r="I4" s="1" t="s">
        <v>47</v>
      </c>
      <c r="J4" s="1" t="s">
        <v>44</v>
      </c>
      <c r="K4" s="1" t="s">
        <v>44</v>
      </c>
      <c r="L4" s="1" t="s">
        <v>48</v>
      </c>
      <c r="M4" s="1" t="s">
        <v>44</v>
      </c>
      <c r="N4" s="1" t="s">
        <v>49</v>
      </c>
      <c r="O4" s="1"/>
      <c r="P4" s="1"/>
      <c r="Q4" s="1"/>
      <c r="R4" s="1"/>
      <c r="S4" s="1"/>
      <c r="T4" s="1"/>
      <c r="U4" s="1"/>
      <c r="V4" s="1"/>
      <c r="W4" s="1"/>
      <c r="X4" s="1"/>
      <c r="Y4" s="1"/>
      <c r="Z4" s="1"/>
    </row>
    <row r="5" spans="1:26" ht="15">
      <c r="A5" s="1" t="s">
        <v>50</v>
      </c>
      <c r="B5" s="1" t="s">
        <v>51</v>
      </c>
      <c r="C5" s="1" t="s">
        <v>52</v>
      </c>
      <c r="D5" s="1" t="s">
        <v>53</v>
      </c>
      <c r="E5" s="1" t="s">
        <v>54</v>
      </c>
      <c r="F5" s="1" t="s">
        <v>54</v>
      </c>
      <c r="G5" s="1" t="s">
        <v>55</v>
      </c>
      <c r="H5" s="1" t="s">
        <v>56</v>
      </c>
      <c r="I5" s="1" t="s">
        <v>57</v>
      </c>
      <c r="J5" s="1" t="s">
        <v>54</v>
      </c>
      <c r="K5" s="1" t="s">
        <v>54</v>
      </c>
      <c r="L5" s="1" t="s">
        <v>58</v>
      </c>
      <c r="M5" s="1" t="s">
        <v>54</v>
      </c>
      <c r="N5" s="1" t="s">
        <v>59</v>
      </c>
      <c r="O5" s="1"/>
      <c r="P5" s="1"/>
      <c r="Q5" s="1"/>
      <c r="R5" s="1"/>
      <c r="S5" s="1"/>
      <c r="T5" s="1"/>
      <c r="U5" s="1"/>
      <c r="V5" s="1"/>
      <c r="W5" s="1"/>
      <c r="X5" s="1"/>
      <c r="Y5" s="1"/>
      <c r="Z5" s="1"/>
    </row>
    <row r="6" spans="1:26" ht="15">
      <c r="A6" s="1" t="s">
        <v>60</v>
      </c>
      <c r="B6" s="1" t="s">
        <v>61</v>
      </c>
      <c r="C6" s="1" t="s">
        <v>62</v>
      </c>
      <c r="D6" s="1" t="s">
        <v>63</v>
      </c>
      <c r="E6" s="1" t="s">
        <v>64</v>
      </c>
      <c r="F6" s="1" t="s">
        <v>65</v>
      </c>
      <c r="G6" s="1" t="s">
        <v>66</v>
      </c>
      <c r="H6" s="1" t="s">
        <v>67</v>
      </c>
      <c r="I6" s="1" t="s">
        <v>68</v>
      </c>
      <c r="J6" s="1" t="s">
        <v>69</v>
      </c>
      <c r="K6" s="1" t="s">
        <v>64</v>
      </c>
      <c r="L6" s="1" t="s">
        <v>70</v>
      </c>
      <c r="M6" s="1" t="s">
        <v>64</v>
      </c>
      <c r="N6" s="1" t="s">
        <v>71</v>
      </c>
      <c r="O6" s="1"/>
      <c r="P6" s="1"/>
      <c r="Q6" s="1"/>
      <c r="R6" s="1"/>
      <c r="S6" s="1"/>
      <c r="T6" s="1"/>
      <c r="U6" s="1"/>
      <c r="V6" s="1"/>
      <c r="W6" s="1"/>
      <c r="X6" s="1"/>
      <c r="Y6" s="1"/>
      <c r="Z6" s="1"/>
    </row>
    <row r="7" spans="1:26" ht="15">
      <c r="A7" s="1" t="s">
        <v>72</v>
      </c>
      <c r="B7" s="1" t="s">
        <v>73</v>
      </c>
      <c r="C7" s="1" t="s">
        <v>74</v>
      </c>
      <c r="D7" s="1" t="s">
        <v>69</v>
      </c>
      <c r="E7" s="1"/>
      <c r="F7" s="1"/>
      <c r="G7" s="1" t="s">
        <v>75</v>
      </c>
      <c r="H7" s="1" t="s">
        <v>76</v>
      </c>
      <c r="I7" s="1" t="s">
        <v>77</v>
      </c>
      <c r="J7" s="1" t="s">
        <v>78</v>
      </c>
      <c r="K7" s="1"/>
      <c r="L7" s="1" t="s">
        <v>79</v>
      </c>
      <c r="M7" s="1"/>
      <c r="N7" s="1" t="s">
        <v>49</v>
      </c>
      <c r="O7" s="1"/>
      <c r="P7" s="1"/>
      <c r="Q7" s="1"/>
      <c r="R7" s="1"/>
      <c r="S7" s="1"/>
      <c r="T7" s="1"/>
      <c r="U7" s="1"/>
      <c r="V7" s="1"/>
      <c r="W7" s="1"/>
      <c r="X7" s="1"/>
      <c r="Y7" s="1"/>
      <c r="Z7" s="1"/>
    </row>
    <row r="8" spans="1:26" ht="15">
      <c r="A8" s="1" t="s">
        <v>80</v>
      </c>
      <c r="B8" s="1" t="s">
        <v>65</v>
      </c>
      <c r="C8" s="1" t="s">
        <v>81</v>
      </c>
      <c r="D8" s="1" t="s">
        <v>78</v>
      </c>
      <c r="E8" s="1"/>
      <c r="F8" s="1"/>
      <c r="G8" s="1" t="s">
        <v>82</v>
      </c>
      <c r="H8" s="1" t="s">
        <v>65</v>
      </c>
      <c r="I8" s="1" t="s">
        <v>83</v>
      </c>
      <c r="J8" s="1"/>
      <c r="K8" s="1"/>
      <c r="L8" s="1" t="s">
        <v>84</v>
      </c>
      <c r="M8" s="1"/>
      <c r="N8" s="1" t="s">
        <v>80</v>
      </c>
      <c r="O8" s="1"/>
      <c r="P8" s="1"/>
      <c r="Q8" s="1"/>
      <c r="R8" s="1"/>
      <c r="S8" s="1"/>
      <c r="T8" s="1"/>
      <c r="U8" s="1"/>
      <c r="V8" s="1"/>
      <c r="W8" s="1"/>
      <c r="X8" s="1"/>
      <c r="Y8" s="1"/>
      <c r="Z8" s="1"/>
    </row>
    <row r="9" spans="1:26" ht="15">
      <c r="A9" s="1" t="s">
        <v>85</v>
      </c>
      <c r="B9" s="1" t="s">
        <v>86</v>
      </c>
      <c r="C9" s="1" t="s">
        <v>87</v>
      </c>
      <c r="D9" s="1"/>
      <c r="E9" s="1"/>
      <c r="F9" s="1"/>
      <c r="G9" s="1" t="s">
        <v>88</v>
      </c>
      <c r="H9" s="1" t="s">
        <v>89</v>
      </c>
      <c r="I9" s="1" t="s">
        <v>90</v>
      </c>
      <c r="J9" s="1"/>
      <c r="K9" s="1"/>
      <c r="L9" s="1" t="s">
        <v>91</v>
      </c>
      <c r="M9" s="1"/>
      <c r="N9" s="1" t="s">
        <v>85</v>
      </c>
      <c r="O9" s="1"/>
      <c r="P9" s="1"/>
      <c r="Q9" s="1"/>
      <c r="R9" s="1"/>
      <c r="S9" s="1"/>
      <c r="T9" s="1"/>
      <c r="U9" s="1"/>
      <c r="V9" s="1"/>
      <c r="W9" s="1"/>
      <c r="X9" s="1"/>
      <c r="Y9" s="1"/>
      <c r="Z9" s="1"/>
    </row>
    <row r="10" spans="1:26" ht="15">
      <c r="A10" s="1" t="s">
        <v>65</v>
      </c>
      <c r="B10" s="1"/>
      <c r="C10" s="1" t="s">
        <v>92</v>
      </c>
      <c r="D10" s="1"/>
      <c r="E10" s="1"/>
      <c r="F10" s="1"/>
      <c r="G10" s="1" t="s">
        <v>93</v>
      </c>
      <c r="H10" s="1"/>
      <c r="I10" s="1" t="s">
        <v>94</v>
      </c>
      <c r="J10" s="1"/>
      <c r="K10" s="1"/>
      <c r="L10" s="1" t="s">
        <v>95</v>
      </c>
      <c r="M10" s="1"/>
      <c r="N10" s="1"/>
      <c r="O10" s="1"/>
      <c r="P10" s="1"/>
      <c r="Q10" s="1"/>
      <c r="R10" s="1"/>
      <c r="S10" s="1"/>
      <c r="T10" s="1"/>
      <c r="U10" s="1"/>
      <c r="V10" s="1"/>
      <c r="W10" s="1"/>
      <c r="X10" s="1"/>
      <c r="Y10" s="1"/>
      <c r="Z10" s="1"/>
    </row>
    <row r="11" spans="1:26" ht="15">
      <c r="A11" s="1"/>
      <c r="B11" s="1"/>
      <c r="C11" s="1" t="s">
        <v>96</v>
      </c>
      <c r="D11" s="1"/>
      <c r="E11" s="1"/>
      <c r="F11" s="1"/>
      <c r="G11" s="1" t="s">
        <v>97</v>
      </c>
      <c r="H11" s="1"/>
      <c r="I11" s="1" t="s">
        <v>98</v>
      </c>
      <c r="J11" s="1"/>
      <c r="K11" s="1"/>
      <c r="L11" s="1" t="s">
        <v>99</v>
      </c>
      <c r="M11" s="1"/>
      <c r="N11" s="1"/>
      <c r="O11" s="1"/>
      <c r="P11" s="1"/>
      <c r="Q11" s="1"/>
      <c r="R11" s="1"/>
      <c r="S11" s="1"/>
      <c r="T11" s="1"/>
      <c r="U11" s="1"/>
      <c r="V11" s="1"/>
      <c r="W11" s="1"/>
      <c r="X11" s="1"/>
      <c r="Y11" s="1"/>
      <c r="Z11" s="1"/>
    </row>
    <row r="12" spans="1:26" ht="15">
      <c r="A12" s="1"/>
      <c r="B12" s="1"/>
      <c r="C12" s="1" t="s">
        <v>100</v>
      </c>
      <c r="D12" s="1"/>
      <c r="E12" s="1"/>
      <c r="F12" s="1"/>
      <c r="G12" s="1" t="s">
        <v>21</v>
      </c>
      <c r="H12" s="1"/>
      <c r="I12" s="1" t="s">
        <v>101</v>
      </c>
      <c r="J12" s="1"/>
      <c r="K12" s="1"/>
      <c r="L12" s="1"/>
      <c r="M12" s="1"/>
      <c r="N12" s="1"/>
      <c r="O12" s="1"/>
      <c r="P12" s="1"/>
      <c r="Q12" s="1"/>
      <c r="R12" s="1"/>
      <c r="S12" s="1"/>
      <c r="T12" s="1"/>
      <c r="U12" s="1"/>
      <c r="V12" s="1"/>
      <c r="W12" s="1"/>
      <c r="X12" s="1"/>
      <c r="Y12" s="1"/>
      <c r="Z12" s="1"/>
    </row>
    <row r="13" spans="1:26" ht="15">
      <c r="A13" s="1"/>
      <c r="B13" s="1"/>
      <c r="C13" s="1" t="s">
        <v>82</v>
      </c>
      <c r="D13" s="1"/>
      <c r="E13" s="1"/>
      <c r="F13" s="1"/>
      <c r="G13" s="1" t="s">
        <v>99</v>
      </c>
      <c r="H13" s="1"/>
      <c r="I13" s="1" t="s">
        <v>102</v>
      </c>
      <c r="J13" s="1"/>
      <c r="K13" s="1"/>
      <c r="L13" s="1"/>
      <c r="M13" s="1"/>
      <c r="N13" s="1"/>
      <c r="O13" s="1"/>
      <c r="P13" s="1"/>
      <c r="Q13" s="1"/>
      <c r="R13" s="1"/>
      <c r="S13" s="1"/>
      <c r="T13" s="1"/>
      <c r="U13" s="1"/>
      <c r="V13" s="1"/>
      <c r="W13" s="1"/>
      <c r="X13" s="1"/>
      <c r="Y13" s="1"/>
      <c r="Z13" s="1"/>
    </row>
    <row r="14" spans="1:26" ht="15">
      <c r="A14" s="1"/>
      <c r="B14" s="1"/>
      <c r="C14" s="1" t="s">
        <v>103</v>
      </c>
      <c r="D14" s="1"/>
      <c r="E14" s="1"/>
      <c r="F14" s="1"/>
      <c r="G14" s="1"/>
      <c r="H14" s="1"/>
      <c r="I14" s="1" t="s">
        <v>104</v>
      </c>
      <c r="J14" s="1"/>
      <c r="K14" s="1"/>
      <c r="L14" s="1"/>
      <c r="M14" s="1"/>
      <c r="N14" s="1"/>
      <c r="O14" s="1"/>
      <c r="P14" s="1"/>
      <c r="Q14" s="1"/>
      <c r="R14" s="1"/>
      <c r="S14" s="1"/>
      <c r="T14" s="1"/>
      <c r="U14" s="1"/>
      <c r="V14" s="1"/>
      <c r="W14" s="1"/>
      <c r="X14" s="1"/>
      <c r="Y14" s="1"/>
      <c r="Z14" s="1"/>
    </row>
    <row r="15" spans="1:26" ht="15">
      <c r="A15" s="1"/>
      <c r="B15" s="1"/>
      <c r="C15" s="1" t="s">
        <v>105</v>
      </c>
      <c r="D15" s="1"/>
      <c r="E15" s="1"/>
      <c r="F15" s="1"/>
      <c r="G15" s="1"/>
      <c r="H15" s="1"/>
      <c r="I15" s="1" t="s">
        <v>106</v>
      </c>
      <c r="J15" s="1"/>
      <c r="K15" s="1"/>
      <c r="L15" s="1"/>
      <c r="M15" s="1"/>
      <c r="N15" s="1"/>
      <c r="O15" s="1"/>
      <c r="P15" s="1"/>
      <c r="Q15" s="1"/>
      <c r="R15" s="1"/>
      <c r="S15" s="1"/>
      <c r="T15" s="1"/>
      <c r="U15" s="1"/>
      <c r="V15" s="1"/>
      <c r="W15" s="1"/>
      <c r="X15" s="1"/>
      <c r="Y15" s="1"/>
      <c r="Z15" s="1"/>
    </row>
    <row r="16" spans="1:26" ht="15">
      <c r="A16" s="1"/>
      <c r="B16" s="1"/>
      <c r="C16" s="1" t="s">
        <v>21</v>
      </c>
      <c r="D16" s="1"/>
      <c r="E16" s="1"/>
      <c r="F16" s="1"/>
      <c r="G16" s="1"/>
      <c r="H16" s="1"/>
      <c r="I16" s="1" t="s">
        <v>107</v>
      </c>
      <c r="J16" s="1"/>
      <c r="K16" s="1"/>
      <c r="L16" s="1"/>
      <c r="M16" s="1"/>
      <c r="N16" s="1"/>
      <c r="O16" s="1"/>
      <c r="P16" s="1"/>
      <c r="Q16" s="1"/>
      <c r="R16" s="1"/>
      <c r="S16" s="1"/>
      <c r="T16" s="1"/>
      <c r="U16" s="1"/>
      <c r="V16" s="1"/>
      <c r="W16" s="1"/>
      <c r="X16" s="1"/>
      <c r="Y16" s="1"/>
      <c r="Z16" s="1"/>
    </row>
    <row r="17" spans="1:26" ht="15">
      <c r="A17" s="1"/>
      <c r="B17" s="1"/>
      <c r="C17" s="1"/>
      <c r="D17" s="1"/>
      <c r="E17" s="1"/>
      <c r="F17" s="1"/>
      <c r="G17" s="1"/>
      <c r="H17" s="1"/>
      <c r="I17" s="1" t="s">
        <v>108</v>
      </c>
      <c r="J17" s="1"/>
      <c r="K17" s="1"/>
      <c r="L17" s="1"/>
      <c r="M17" s="1"/>
      <c r="N17" s="1"/>
      <c r="O17" s="1"/>
      <c r="P17" s="1"/>
      <c r="Q17" s="1"/>
      <c r="R17" s="1"/>
      <c r="S17" s="1"/>
      <c r="T17" s="1"/>
      <c r="U17" s="1"/>
      <c r="V17" s="1"/>
      <c r="W17" s="1"/>
      <c r="X17" s="1"/>
      <c r="Y17" s="1"/>
      <c r="Z17" s="1"/>
    </row>
    <row r="18" spans="1:26" ht="15">
      <c r="A18" s="1"/>
      <c r="B18" s="1"/>
      <c r="C18" s="1"/>
      <c r="D18" s="1"/>
      <c r="E18" s="1"/>
      <c r="F18" s="1"/>
      <c r="G18" s="1"/>
      <c r="H18" s="1"/>
      <c r="I18" s="1" t="s">
        <v>99</v>
      </c>
      <c r="J18" s="1"/>
      <c r="K18" s="1"/>
      <c r="L18" s="1"/>
      <c r="M18" s="1"/>
      <c r="N18" s="1"/>
      <c r="O18" s="1"/>
      <c r="P18" s="1"/>
      <c r="Q18" s="1"/>
      <c r="R18" s="1"/>
      <c r="S18" s="1"/>
      <c r="T18" s="1"/>
      <c r="U18" s="1"/>
      <c r="V18" s="1"/>
      <c r="W18" s="1"/>
      <c r="X18" s="1"/>
      <c r="Y18" s="1"/>
      <c r="Z18" s="1"/>
    </row>
    <row r="19" spans="1:26" ht="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sheetData>
  <mergeCells count="1">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Z119"/>
  <sheetViews>
    <sheetView workbookViewId="0">
      <selection activeCell="A2" sqref="A2:XFD2"/>
    </sheetView>
  </sheetViews>
  <sheetFormatPr defaultRowHeight="14.25"/>
  <cols>
    <col min="1" max="1" width="12" customWidth="1"/>
    <col min="2" max="2" width="22" customWidth="1"/>
    <col min="3" max="3" width="18" customWidth="1"/>
    <col min="4" max="4" width="32" customWidth="1"/>
    <col min="5" max="6" width="58" customWidth="1"/>
    <col min="7" max="7" width="15" customWidth="1"/>
    <col min="8" max="8" width="28" customWidth="1"/>
    <col min="9" max="9" width="52" customWidth="1"/>
    <col min="10" max="10" width="28" customWidth="1"/>
    <col min="11" max="11" width="18" customWidth="1"/>
    <col min="12" max="12" width="36" customWidth="1"/>
    <col min="13" max="13" width="58" customWidth="1"/>
    <col min="14" max="14" width="22" customWidth="1"/>
    <col min="15" max="15" width="24" customWidth="1"/>
    <col min="16" max="16" width="60" customWidth="1"/>
    <col min="17" max="17" width="28" customWidth="1"/>
    <col min="18" max="18" width="26" customWidth="1"/>
    <col min="19" max="19" width="38" customWidth="1"/>
    <col min="20" max="21" width="18" customWidth="1"/>
    <col min="22" max="22" width="48" customWidth="1"/>
    <col min="23" max="23" width="18" customWidth="1"/>
    <col min="24" max="24" width="15" customWidth="1"/>
    <col min="25" max="26" width="50" customWidth="1"/>
  </cols>
  <sheetData>
    <row r="1" spans="1:26" ht="18.75">
      <c r="A1" s="11" t="s">
        <v>109</v>
      </c>
      <c r="B1" s="11"/>
      <c r="C1" s="11"/>
      <c r="D1" s="11"/>
      <c r="E1" s="11"/>
      <c r="F1" s="11"/>
      <c r="G1" s="11"/>
      <c r="H1" s="11"/>
      <c r="I1" s="11"/>
      <c r="J1" s="11"/>
      <c r="K1" s="11"/>
      <c r="L1" s="11"/>
      <c r="M1" s="11"/>
      <c r="N1" s="11"/>
      <c r="O1" s="11"/>
      <c r="P1" s="11"/>
      <c r="Q1" s="11"/>
      <c r="R1" s="11"/>
      <c r="S1" s="11"/>
      <c r="T1" s="11"/>
      <c r="U1" s="11"/>
      <c r="V1" s="11"/>
      <c r="W1" s="11"/>
      <c r="X1" s="11"/>
      <c r="Y1" s="11"/>
      <c r="Z1" s="11"/>
    </row>
    <row r="2" spans="1:26" ht="27">
      <c r="A2" s="2" t="s">
        <v>110</v>
      </c>
      <c r="B2" s="2" t="s">
        <v>111</v>
      </c>
      <c r="C2" s="2" t="s">
        <v>27</v>
      </c>
      <c r="D2" s="2" t="s">
        <v>34</v>
      </c>
      <c r="E2" s="2" t="s">
        <v>112</v>
      </c>
      <c r="F2" s="2" t="s">
        <v>113</v>
      </c>
      <c r="G2" s="2" t="s">
        <v>114</v>
      </c>
      <c r="H2" s="2" t="s">
        <v>28</v>
      </c>
      <c r="I2" s="2" t="s">
        <v>115</v>
      </c>
      <c r="J2" s="2" t="s">
        <v>37</v>
      </c>
      <c r="K2" s="2" t="s">
        <v>116</v>
      </c>
      <c r="L2" s="2" t="s">
        <v>117</v>
      </c>
      <c r="M2" s="2" t="s">
        <v>19</v>
      </c>
      <c r="N2" s="2" t="s">
        <v>29</v>
      </c>
      <c r="O2" s="2" t="s">
        <v>118</v>
      </c>
      <c r="P2" s="2" t="s">
        <v>119</v>
      </c>
      <c r="Q2" s="2" t="s">
        <v>120</v>
      </c>
      <c r="R2" s="2" t="s">
        <v>121</v>
      </c>
      <c r="S2" s="2" t="s">
        <v>122</v>
      </c>
      <c r="T2" s="2" t="s">
        <v>123</v>
      </c>
      <c r="U2" s="2" t="s">
        <v>124</v>
      </c>
      <c r="V2" s="2" t="s">
        <v>125</v>
      </c>
      <c r="W2" s="2" t="s">
        <v>126</v>
      </c>
      <c r="X2" s="2" t="s">
        <v>127</v>
      </c>
      <c r="Y2" s="2" t="s">
        <v>128</v>
      </c>
      <c r="Z2" s="2" t="s">
        <v>129</v>
      </c>
    </row>
    <row r="3" spans="1:26" ht="27">
      <c r="A3" s="6" t="s">
        <v>130</v>
      </c>
      <c r="B3" s="6" t="s">
        <v>80</v>
      </c>
      <c r="C3" s="6" t="s">
        <v>65</v>
      </c>
      <c r="D3" s="6" t="s">
        <v>65</v>
      </c>
      <c r="E3" s="6" t="s">
        <v>131</v>
      </c>
      <c r="F3" s="6" t="s">
        <v>65</v>
      </c>
      <c r="G3" s="7" t="s">
        <v>65</v>
      </c>
      <c r="H3" s="6" t="s">
        <v>65</v>
      </c>
      <c r="I3" s="6" t="s">
        <v>65</v>
      </c>
      <c r="J3" s="6" t="s">
        <v>65</v>
      </c>
      <c r="K3" s="8">
        <v>0</v>
      </c>
      <c r="L3" s="6" t="s">
        <v>65</v>
      </c>
      <c r="M3" s="6" t="s">
        <v>132</v>
      </c>
      <c r="N3" s="6" t="s">
        <v>69</v>
      </c>
      <c r="O3" s="6" t="s">
        <v>65</v>
      </c>
      <c r="P3" s="6" t="s">
        <v>133</v>
      </c>
      <c r="Q3" s="6" t="s">
        <v>65</v>
      </c>
      <c r="R3" s="6" t="s">
        <v>54</v>
      </c>
      <c r="S3" s="6" t="s">
        <v>134</v>
      </c>
      <c r="T3" s="6" t="s">
        <v>65</v>
      </c>
      <c r="U3" s="6" t="s">
        <v>65</v>
      </c>
      <c r="V3" s="6" t="s">
        <v>65</v>
      </c>
      <c r="W3" s="6" t="s">
        <v>65</v>
      </c>
      <c r="X3" s="7" t="s">
        <v>65</v>
      </c>
      <c r="Y3" s="6" t="s">
        <v>135</v>
      </c>
      <c r="Z3" s="6" t="s">
        <v>136</v>
      </c>
    </row>
    <row r="4" spans="1:26" ht="27">
      <c r="A4" s="6" t="s">
        <v>137</v>
      </c>
      <c r="B4" s="6" t="s">
        <v>80</v>
      </c>
      <c r="C4" s="6" t="s">
        <v>65</v>
      </c>
      <c r="D4" s="6" t="s">
        <v>65</v>
      </c>
      <c r="E4" s="6" t="s">
        <v>131</v>
      </c>
      <c r="F4" s="6" t="s">
        <v>65</v>
      </c>
      <c r="G4" s="7" t="s">
        <v>65</v>
      </c>
      <c r="H4" s="6" t="s">
        <v>65</v>
      </c>
      <c r="I4" s="6" t="s">
        <v>65</v>
      </c>
      <c r="J4" s="6" t="s">
        <v>65</v>
      </c>
      <c r="K4" s="8">
        <v>0</v>
      </c>
      <c r="L4" s="6" t="s">
        <v>65</v>
      </c>
      <c r="M4" s="6" t="s">
        <v>132</v>
      </c>
      <c r="N4" s="6" t="s">
        <v>69</v>
      </c>
      <c r="O4" s="6" t="s">
        <v>65</v>
      </c>
      <c r="P4" s="6" t="s">
        <v>133</v>
      </c>
      <c r="Q4" s="6" t="s">
        <v>65</v>
      </c>
      <c r="R4" s="6" t="s">
        <v>54</v>
      </c>
      <c r="S4" s="6" t="s">
        <v>134</v>
      </c>
      <c r="T4" s="6" t="s">
        <v>65</v>
      </c>
      <c r="U4" s="6" t="s">
        <v>65</v>
      </c>
      <c r="V4" s="6" t="s">
        <v>65</v>
      </c>
      <c r="W4" s="6" t="s">
        <v>65</v>
      </c>
      <c r="X4" s="7" t="s">
        <v>65</v>
      </c>
      <c r="Y4" s="6" t="s">
        <v>135</v>
      </c>
      <c r="Z4" s="6" t="s">
        <v>136</v>
      </c>
    </row>
    <row r="5" spans="1:26" ht="27">
      <c r="A5" s="6" t="s">
        <v>138</v>
      </c>
      <c r="B5" s="6" t="s">
        <v>80</v>
      </c>
      <c r="C5" s="6" t="s">
        <v>65</v>
      </c>
      <c r="D5" s="6" t="s">
        <v>65</v>
      </c>
      <c r="E5" s="6" t="s">
        <v>131</v>
      </c>
      <c r="F5" s="6" t="s">
        <v>65</v>
      </c>
      <c r="G5" s="7" t="s">
        <v>65</v>
      </c>
      <c r="H5" s="6" t="s">
        <v>65</v>
      </c>
      <c r="I5" s="6" t="s">
        <v>65</v>
      </c>
      <c r="J5" s="6" t="s">
        <v>65</v>
      </c>
      <c r="K5" s="8">
        <v>0</v>
      </c>
      <c r="L5" s="6" t="s">
        <v>65</v>
      </c>
      <c r="M5" s="6" t="s">
        <v>132</v>
      </c>
      <c r="N5" s="6" t="s">
        <v>69</v>
      </c>
      <c r="O5" s="6" t="s">
        <v>65</v>
      </c>
      <c r="P5" s="6" t="s">
        <v>133</v>
      </c>
      <c r="Q5" s="6" t="s">
        <v>65</v>
      </c>
      <c r="R5" s="6" t="s">
        <v>54</v>
      </c>
      <c r="S5" s="6" t="s">
        <v>134</v>
      </c>
      <c r="T5" s="6" t="s">
        <v>65</v>
      </c>
      <c r="U5" s="6" t="s">
        <v>65</v>
      </c>
      <c r="V5" s="6" t="s">
        <v>65</v>
      </c>
      <c r="W5" s="6" t="s">
        <v>65</v>
      </c>
      <c r="X5" s="7" t="s">
        <v>65</v>
      </c>
      <c r="Y5" s="6" t="s">
        <v>135</v>
      </c>
      <c r="Z5" s="6" t="s">
        <v>136</v>
      </c>
    </row>
    <row r="6" spans="1:26" ht="27">
      <c r="A6" s="6" t="s">
        <v>139</v>
      </c>
      <c r="B6" s="6" t="s">
        <v>80</v>
      </c>
      <c r="C6" s="6" t="s">
        <v>65</v>
      </c>
      <c r="D6" s="6" t="s">
        <v>65</v>
      </c>
      <c r="E6" s="6" t="s">
        <v>131</v>
      </c>
      <c r="F6" s="6" t="s">
        <v>65</v>
      </c>
      <c r="G6" s="7" t="s">
        <v>65</v>
      </c>
      <c r="H6" s="6" t="s">
        <v>65</v>
      </c>
      <c r="I6" s="6" t="s">
        <v>65</v>
      </c>
      <c r="J6" s="6" t="s">
        <v>65</v>
      </c>
      <c r="K6" s="8">
        <v>0</v>
      </c>
      <c r="L6" s="6" t="s">
        <v>65</v>
      </c>
      <c r="M6" s="6" t="s">
        <v>132</v>
      </c>
      <c r="N6" s="6" t="s">
        <v>69</v>
      </c>
      <c r="O6" s="6" t="s">
        <v>65</v>
      </c>
      <c r="P6" s="6" t="s">
        <v>133</v>
      </c>
      <c r="Q6" s="6" t="s">
        <v>65</v>
      </c>
      <c r="R6" s="6" t="s">
        <v>54</v>
      </c>
      <c r="S6" s="6" t="s">
        <v>134</v>
      </c>
      <c r="T6" s="6" t="s">
        <v>65</v>
      </c>
      <c r="U6" s="6" t="s">
        <v>65</v>
      </c>
      <c r="V6" s="6" t="s">
        <v>65</v>
      </c>
      <c r="W6" s="6" t="s">
        <v>65</v>
      </c>
      <c r="X6" s="7" t="s">
        <v>65</v>
      </c>
      <c r="Y6" s="6" t="s">
        <v>135</v>
      </c>
      <c r="Z6" s="6" t="s">
        <v>136</v>
      </c>
    </row>
    <row r="7" spans="1:26" ht="27">
      <c r="A7" s="6" t="s">
        <v>140</v>
      </c>
      <c r="B7" s="6" t="s">
        <v>80</v>
      </c>
      <c r="C7" s="6" t="s">
        <v>65</v>
      </c>
      <c r="D7" s="6" t="s">
        <v>65</v>
      </c>
      <c r="E7" s="6" t="s">
        <v>131</v>
      </c>
      <c r="F7" s="6" t="s">
        <v>65</v>
      </c>
      <c r="G7" s="7" t="s">
        <v>65</v>
      </c>
      <c r="H7" s="6" t="s">
        <v>65</v>
      </c>
      <c r="I7" s="6" t="s">
        <v>65</v>
      </c>
      <c r="J7" s="6" t="s">
        <v>65</v>
      </c>
      <c r="K7" s="8">
        <v>0</v>
      </c>
      <c r="L7" s="6" t="s">
        <v>65</v>
      </c>
      <c r="M7" s="6" t="s">
        <v>132</v>
      </c>
      <c r="N7" s="6" t="s">
        <v>69</v>
      </c>
      <c r="O7" s="6" t="s">
        <v>65</v>
      </c>
      <c r="P7" s="6" t="s">
        <v>133</v>
      </c>
      <c r="Q7" s="6" t="s">
        <v>65</v>
      </c>
      <c r="R7" s="6" t="s">
        <v>54</v>
      </c>
      <c r="S7" s="6" t="s">
        <v>134</v>
      </c>
      <c r="T7" s="6" t="s">
        <v>65</v>
      </c>
      <c r="U7" s="6" t="s">
        <v>65</v>
      </c>
      <c r="V7" s="6" t="s">
        <v>65</v>
      </c>
      <c r="W7" s="6" t="s">
        <v>65</v>
      </c>
      <c r="X7" s="7" t="s">
        <v>65</v>
      </c>
      <c r="Y7" s="6" t="s">
        <v>135</v>
      </c>
      <c r="Z7" s="6" t="s">
        <v>136</v>
      </c>
    </row>
    <row r="8" spans="1:26" ht="27">
      <c r="A8" s="6" t="s">
        <v>141</v>
      </c>
      <c r="B8" s="6" t="s">
        <v>80</v>
      </c>
      <c r="C8" s="6" t="s">
        <v>65</v>
      </c>
      <c r="D8" s="6" t="s">
        <v>65</v>
      </c>
      <c r="E8" s="6" t="s">
        <v>131</v>
      </c>
      <c r="F8" s="6" t="s">
        <v>65</v>
      </c>
      <c r="G8" s="7" t="s">
        <v>65</v>
      </c>
      <c r="H8" s="6" t="s">
        <v>65</v>
      </c>
      <c r="I8" s="6" t="s">
        <v>65</v>
      </c>
      <c r="J8" s="6" t="s">
        <v>65</v>
      </c>
      <c r="K8" s="8">
        <v>0</v>
      </c>
      <c r="L8" s="6" t="s">
        <v>65</v>
      </c>
      <c r="M8" s="6" t="s">
        <v>132</v>
      </c>
      <c r="N8" s="6" t="s">
        <v>69</v>
      </c>
      <c r="O8" s="6" t="s">
        <v>65</v>
      </c>
      <c r="P8" s="6" t="s">
        <v>133</v>
      </c>
      <c r="Q8" s="6" t="s">
        <v>65</v>
      </c>
      <c r="R8" s="6" t="s">
        <v>54</v>
      </c>
      <c r="S8" s="6" t="s">
        <v>134</v>
      </c>
      <c r="T8" s="6" t="s">
        <v>65</v>
      </c>
      <c r="U8" s="6" t="s">
        <v>65</v>
      </c>
      <c r="V8" s="6" t="s">
        <v>65</v>
      </c>
      <c r="W8" s="6" t="s">
        <v>65</v>
      </c>
      <c r="X8" s="7" t="s">
        <v>65</v>
      </c>
      <c r="Y8" s="6" t="s">
        <v>135</v>
      </c>
      <c r="Z8" s="6" t="s">
        <v>136</v>
      </c>
    </row>
    <row r="9" spans="1:26" ht="27">
      <c r="A9" s="6" t="s">
        <v>142</v>
      </c>
      <c r="B9" s="6" t="s">
        <v>80</v>
      </c>
      <c r="C9" s="6" t="s">
        <v>65</v>
      </c>
      <c r="D9" s="6" t="s">
        <v>65</v>
      </c>
      <c r="E9" s="6" t="s">
        <v>131</v>
      </c>
      <c r="F9" s="6" t="s">
        <v>65</v>
      </c>
      <c r="G9" s="7" t="s">
        <v>65</v>
      </c>
      <c r="H9" s="6" t="s">
        <v>65</v>
      </c>
      <c r="I9" s="6" t="s">
        <v>65</v>
      </c>
      <c r="J9" s="6" t="s">
        <v>65</v>
      </c>
      <c r="K9" s="8">
        <v>0</v>
      </c>
      <c r="L9" s="6" t="s">
        <v>65</v>
      </c>
      <c r="M9" s="6" t="s">
        <v>132</v>
      </c>
      <c r="N9" s="6" t="s">
        <v>69</v>
      </c>
      <c r="O9" s="6" t="s">
        <v>65</v>
      </c>
      <c r="P9" s="6" t="s">
        <v>133</v>
      </c>
      <c r="Q9" s="6" t="s">
        <v>65</v>
      </c>
      <c r="R9" s="6" t="s">
        <v>54</v>
      </c>
      <c r="S9" s="6" t="s">
        <v>134</v>
      </c>
      <c r="T9" s="6" t="s">
        <v>65</v>
      </c>
      <c r="U9" s="6" t="s">
        <v>65</v>
      </c>
      <c r="V9" s="6" t="s">
        <v>65</v>
      </c>
      <c r="W9" s="6" t="s">
        <v>65</v>
      </c>
      <c r="X9" s="7" t="s">
        <v>65</v>
      </c>
      <c r="Y9" s="6" t="s">
        <v>135</v>
      </c>
      <c r="Z9" s="6" t="s">
        <v>136</v>
      </c>
    </row>
    <row r="10" spans="1:26" ht="27">
      <c r="A10" s="6" t="s">
        <v>143</v>
      </c>
      <c r="B10" s="6" t="s">
        <v>80</v>
      </c>
      <c r="C10" s="6" t="s">
        <v>65</v>
      </c>
      <c r="D10" s="6" t="s">
        <v>65</v>
      </c>
      <c r="E10" s="6" t="s">
        <v>131</v>
      </c>
      <c r="F10" s="6" t="s">
        <v>65</v>
      </c>
      <c r="G10" s="7" t="s">
        <v>65</v>
      </c>
      <c r="H10" s="6" t="s">
        <v>65</v>
      </c>
      <c r="I10" s="6" t="s">
        <v>65</v>
      </c>
      <c r="J10" s="6" t="s">
        <v>65</v>
      </c>
      <c r="K10" s="8">
        <v>0</v>
      </c>
      <c r="L10" s="6" t="s">
        <v>65</v>
      </c>
      <c r="M10" s="6" t="s">
        <v>132</v>
      </c>
      <c r="N10" s="6" t="s">
        <v>69</v>
      </c>
      <c r="O10" s="6" t="s">
        <v>65</v>
      </c>
      <c r="P10" s="6" t="s">
        <v>133</v>
      </c>
      <c r="Q10" s="6" t="s">
        <v>65</v>
      </c>
      <c r="R10" s="6" t="s">
        <v>54</v>
      </c>
      <c r="S10" s="6" t="s">
        <v>134</v>
      </c>
      <c r="T10" s="6" t="s">
        <v>65</v>
      </c>
      <c r="U10" s="6" t="s">
        <v>65</v>
      </c>
      <c r="V10" s="6" t="s">
        <v>65</v>
      </c>
      <c r="W10" s="6" t="s">
        <v>65</v>
      </c>
      <c r="X10" s="7" t="s">
        <v>65</v>
      </c>
      <c r="Y10" s="6" t="s">
        <v>135</v>
      </c>
      <c r="Z10" s="6" t="s">
        <v>136</v>
      </c>
    </row>
    <row r="11" spans="1:26" ht="27">
      <c r="A11" s="6" t="s">
        <v>144</v>
      </c>
      <c r="B11" s="6" t="s">
        <v>80</v>
      </c>
      <c r="C11" s="6" t="s">
        <v>65</v>
      </c>
      <c r="D11" s="6" t="s">
        <v>65</v>
      </c>
      <c r="E11" s="6" t="s">
        <v>131</v>
      </c>
      <c r="F11" s="6" t="s">
        <v>65</v>
      </c>
      <c r="G11" s="7" t="s">
        <v>65</v>
      </c>
      <c r="H11" s="6" t="s">
        <v>65</v>
      </c>
      <c r="I11" s="6" t="s">
        <v>65</v>
      </c>
      <c r="J11" s="6" t="s">
        <v>65</v>
      </c>
      <c r="K11" s="8">
        <v>0</v>
      </c>
      <c r="L11" s="6" t="s">
        <v>65</v>
      </c>
      <c r="M11" s="6" t="s">
        <v>132</v>
      </c>
      <c r="N11" s="6" t="s">
        <v>69</v>
      </c>
      <c r="O11" s="6" t="s">
        <v>65</v>
      </c>
      <c r="P11" s="6" t="s">
        <v>133</v>
      </c>
      <c r="Q11" s="6" t="s">
        <v>65</v>
      </c>
      <c r="R11" s="6" t="s">
        <v>54</v>
      </c>
      <c r="S11" s="6" t="s">
        <v>134</v>
      </c>
      <c r="T11" s="6" t="s">
        <v>65</v>
      </c>
      <c r="U11" s="6" t="s">
        <v>65</v>
      </c>
      <c r="V11" s="6" t="s">
        <v>65</v>
      </c>
      <c r="W11" s="6" t="s">
        <v>65</v>
      </c>
      <c r="X11" s="7" t="s">
        <v>65</v>
      </c>
      <c r="Y11" s="6" t="s">
        <v>135</v>
      </c>
      <c r="Z11" s="6" t="s">
        <v>136</v>
      </c>
    </row>
    <row r="12" spans="1:26" ht="27">
      <c r="A12" s="6" t="s">
        <v>145</v>
      </c>
      <c r="B12" s="6" t="s">
        <v>80</v>
      </c>
      <c r="C12" s="6" t="s">
        <v>65</v>
      </c>
      <c r="D12" s="6" t="s">
        <v>65</v>
      </c>
      <c r="E12" s="6" t="s">
        <v>131</v>
      </c>
      <c r="F12" s="6" t="s">
        <v>65</v>
      </c>
      <c r="G12" s="7" t="s">
        <v>65</v>
      </c>
      <c r="H12" s="6" t="s">
        <v>65</v>
      </c>
      <c r="I12" s="6" t="s">
        <v>65</v>
      </c>
      <c r="J12" s="6" t="s">
        <v>65</v>
      </c>
      <c r="K12" s="8">
        <v>0</v>
      </c>
      <c r="L12" s="6" t="s">
        <v>65</v>
      </c>
      <c r="M12" s="6" t="s">
        <v>132</v>
      </c>
      <c r="N12" s="6" t="s">
        <v>69</v>
      </c>
      <c r="O12" s="6" t="s">
        <v>65</v>
      </c>
      <c r="P12" s="6" t="s">
        <v>133</v>
      </c>
      <c r="Q12" s="6" t="s">
        <v>65</v>
      </c>
      <c r="R12" s="6" t="s">
        <v>54</v>
      </c>
      <c r="S12" s="6" t="s">
        <v>134</v>
      </c>
      <c r="T12" s="6" t="s">
        <v>65</v>
      </c>
      <c r="U12" s="6" t="s">
        <v>65</v>
      </c>
      <c r="V12" s="6" t="s">
        <v>65</v>
      </c>
      <c r="W12" s="6" t="s">
        <v>65</v>
      </c>
      <c r="X12" s="7" t="s">
        <v>65</v>
      </c>
      <c r="Y12" s="6" t="s">
        <v>135</v>
      </c>
      <c r="Z12" s="6" t="s">
        <v>136</v>
      </c>
    </row>
    <row r="13" spans="1:26" ht="27">
      <c r="A13" s="6" t="s">
        <v>146</v>
      </c>
      <c r="B13" s="6" t="s">
        <v>80</v>
      </c>
      <c r="C13" s="6" t="s">
        <v>65</v>
      </c>
      <c r="D13" s="6" t="s">
        <v>65</v>
      </c>
      <c r="E13" s="6" t="s">
        <v>131</v>
      </c>
      <c r="F13" s="6" t="s">
        <v>65</v>
      </c>
      <c r="G13" s="7" t="s">
        <v>65</v>
      </c>
      <c r="H13" s="6" t="s">
        <v>65</v>
      </c>
      <c r="I13" s="6" t="s">
        <v>65</v>
      </c>
      <c r="J13" s="6" t="s">
        <v>65</v>
      </c>
      <c r="K13" s="8">
        <v>0</v>
      </c>
      <c r="L13" s="6" t="s">
        <v>65</v>
      </c>
      <c r="M13" s="6" t="s">
        <v>132</v>
      </c>
      <c r="N13" s="6" t="s">
        <v>69</v>
      </c>
      <c r="O13" s="6" t="s">
        <v>65</v>
      </c>
      <c r="P13" s="6" t="s">
        <v>133</v>
      </c>
      <c r="Q13" s="6" t="s">
        <v>65</v>
      </c>
      <c r="R13" s="6" t="s">
        <v>54</v>
      </c>
      <c r="S13" s="6" t="s">
        <v>134</v>
      </c>
      <c r="T13" s="6" t="s">
        <v>65</v>
      </c>
      <c r="U13" s="6" t="s">
        <v>65</v>
      </c>
      <c r="V13" s="6" t="s">
        <v>65</v>
      </c>
      <c r="W13" s="6" t="s">
        <v>65</v>
      </c>
      <c r="X13" s="7" t="s">
        <v>65</v>
      </c>
      <c r="Y13" s="6" t="s">
        <v>135</v>
      </c>
      <c r="Z13" s="6" t="s">
        <v>136</v>
      </c>
    </row>
    <row r="14" spans="1:26" ht="27">
      <c r="A14" s="6" t="s">
        <v>147</v>
      </c>
      <c r="B14" s="6" t="s">
        <v>80</v>
      </c>
      <c r="C14" s="6" t="s">
        <v>65</v>
      </c>
      <c r="D14" s="6" t="s">
        <v>65</v>
      </c>
      <c r="E14" s="6" t="s">
        <v>131</v>
      </c>
      <c r="F14" s="6" t="s">
        <v>65</v>
      </c>
      <c r="G14" s="7" t="s">
        <v>65</v>
      </c>
      <c r="H14" s="6" t="s">
        <v>65</v>
      </c>
      <c r="I14" s="6" t="s">
        <v>65</v>
      </c>
      <c r="J14" s="6" t="s">
        <v>65</v>
      </c>
      <c r="K14" s="8">
        <v>0</v>
      </c>
      <c r="L14" s="6" t="s">
        <v>65</v>
      </c>
      <c r="M14" s="6" t="s">
        <v>132</v>
      </c>
      <c r="N14" s="6" t="s">
        <v>69</v>
      </c>
      <c r="O14" s="6" t="s">
        <v>65</v>
      </c>
      <c r="P14" s="6" t="s">
        <v>133</v>
      </c>
      <c r="Q14" s="6" t="s">
        <v>65</v>
      </c>
      <c r="R14" s="6" t="s">
        <v>54</v>
      </c>
      <c r="S14" s="6" t="s">
        <v>134</v>
      </c>
      <c r="T14" s="6" t="s">
        <v>65</v>
      </c>
      <c r="U14" s="6" t="s">
        <v>65</v>
      </c>
      <c r="V14" s="6" t="s">
        <v>65</v>
      </c>
      <c r="W14" s="6" t="s">
        <v>65</v>
      </c>
      <c r="X14" s="7" t="s">
        <v>65</v>
      </c>
      <c r="Y14" s="6" t="s">
        <v>135</v>
      </c>
      <c r="Z14" s="6" t="s">
        <v>136</v>
      </c>
    </row>
    <row r="15" spans="1:26" ht="27">
      <c r="A15" s="6" t="s">
        <v>148</v>
      </c>
      <c r="B15" s="6" t="s">
        <v>80</v>
      </c>
      <c r="C15" s="6" t="s">
        <v>65</v>
      </c>
      <c r="D15" s="6" t="s">
        <v>65</v>
      </c>
      <c r="E15" s="6" t="s">
        <v>131</v>
      </c>
      <c r="F15" s="6" t="s">
        <v>65</v>
      </c>
      <c r="G15" s="7" t="s">
        <v>65</v>
      </c>
      <c r="H15" s="6" t="s">
        <v>65</v>
      </c>
      <c r="I15" s="6" t="s">
        <v>65</v>
      </c>
      <c r="J15" s="6" t="s">
        <v>65</v>
      </c>
      <c r="K15" s="8">
        <v>0</v>
      </c>
      <c r="L15" s="6" t="s">
        <v>65</v>
      </c>
      <c r="M15" s="6" t="s">
        <v>132</v>
      </c>
      <c r="N15" s="6" t="s">
        <v>69</v>
      </c>
      <c r="O15" s="6" t="s">
        <v>65</v>
      </c>
      <c r="P15" s="6" t="s">
        <v>133</v>
      </c>
      <c r="Q15" s="6" t="s">
        <v>65</v>
      </c>
      <c r="R15" s="6" t="s">
        <v>54</v>
      </c>
      <c r="S15" s="6" t="s">
        <v>134</v>
      </c>
      <c r="T15" s="6" t="s">
        <v>65</v>
      </c>
      <c r="U15" s="6" t="s">
        <v>65</v>
      </c>
      <c r="V15" s="6" t="s">
        <v>65</v>
      </c>
      <c r="W15" s="6" t="s">
        <v>65</v>
      </c>
      <c r="X15" s="7" t="s">
        <v>65</v>
      </c>
      <c r="Y15" s="6" t="s">
        <v>135</v>
      </c>
      <c r="Z15" s="6" t="s">
        <v>136</v>
      </c>
    </row>
    <row r="16" spans="1:26" ht="27">
      <c r="A16" s="6" t="s">
        <v>149</v>
      </c>
      <c r="B16" s="6" t="s">
        <v>80</v>
      </c>
      <c r="C16" s="6" t="s">
        <v>65</v>
      </c>
      <c r="D16" s="6" t="s">
        <v>65</v>
      </c>
      <c r="E16" s="6" t="s">
        <v>131</v>
      </c>
      <c r="F16" s="6" t="s">
        <v>65</v>
      </c>
      <c r="G16" s="7" t="s">
        <v>65</v>
      </c>
      <c r="H16" s="6" t="s">
        <v>65</v>
      </c>
      <c r="I16" s="6" t="s">
        <v>65</v>
      </c>
      <c r="J16" s="6" t="s">
        <v>65</v>
      </c>
      <c r="K16" s="8">
        <v>0</v>
      </c>
      <c r="L16" s="6" t="s">
        <v>65</v>
      </c>
      <c r="M16" s="6" t="s">
        <v>132</v>
      </c>
      <c r="N16" s="6" t="s">
        <v>69</v>
      </c>
      <c r="O16" s="6" t="s">
        <v>65</v>
      </c>
      <c r="P16" s="6" t="s">
        <v>133</v>
      </c>
      <c r="Q16" s="6" t="s">
        <v>65</v>
      </c>
      <c r="R16" s="6" t="s">
        <v>54</v>
      </c>
      <c r="S16" s="6" t="s">
        <v>134</v>
      </c>
      <c r="T16" s="6" t="s">
        <v>65</v>
      </c>
      <c r="U16" s="6" t="s">
        <v>65</v>
      </c>
      <c r="V16" s="6" t="s">
        <v>65</v>
      </c>
      <c r="W16" s="6" t="s">
        <v>65</v>
      </c>
      <c r="X16" s="7" t="s">
        <v>65</v>
      </c>
      <c r="Y16" s="6" t="s">
        <v>135</v>
      </c>
      <c r="Z16" s="6" t="s">
        <v>136</v>
      </c>
    </row>
    <row r="17" spans="1:26" ht="27">
      <c r="A17" s="6" t="s">
        <v>150</v>
      </c>
      <c r="B17" s="6" t="s">
        <v>80</v>
      </c>
      <c r="C17" s="6" t="s">
        <v>65</v>
      </c>
      <c r="D17" s="6" t="s">
        <v>65</v>
      </c>
      <c r="E17" s="6" t="s">
        <v>131</v>
      </c>
      <c r="F17" s="6" t="s">
        <v>65</v>
      </c>
      <c r="G17" s="7" t="s">
        <v>65</v>
      </c>
      <c r="H17" s="6" t="s">
        <v>65</v>
      </c>
      <c r="I17" s="6" t="s">
        <v>65</v>
      </c>
      <c r="J17" s="6" t="s">
        <v>65</v>
      </c>
      <c r="K17" s="8">
        <v>0</v>
      </c>
      <c r="L17" s="6" t="s">
        <v>65</v>
      </c>
      <c r="M17" s="6" t="s">
        <v>132</v>
      </c>
      <c r="N17" s="6" t="s">
        <v>69</v>
      </c>
      <c r="O17" s="6" t="s">
        <v>65</v>
      </c>
      <c r="P17" s="6" t="s">
        <v>133</v>
      </c>
      <c r="Q17" s="6" t="s">
        <v>65</v>
      </c>
      <c r="R17" s="6" t="s">
        <v>54</v>
      </c>
      <c r="S17" s="6" t="s">
        <v>134</v>
      </c>
      <c r="T17" s="6" t="s">
        <v>65</v>
      </c>
      <c r="U17" s="6" t="s">
        <v>65</v>
      </c>
      <c r="V17" s="6" t="s">
        <v>65</v>
      </c>
      <c r="W17" s="6" t="s">
        <v>65</v>
      </c>
      <c r="X17" s="7" t="s">
        <v>65</v>
      </c>
      <c r="Y17" s="6" t="s">
        <v>135</v>
      </c>
      <c r="Z17" s="6" t="s">
        <v>136</v>
      </c>
    </row>
    <row r="18" spans="1:26" ht="27">
      <c r="A18" s="6" t="s">
        <v>151</v>
      </c>
      <c r="B18" s="6" t="s">
        <v>80</v>
      </c>
      <c r="C18" s="6" t="s">
        <v>65</v>
      </c>
      <c r="D18" s="6" t="s">
        <v>65</v>
      </c>
      <c r="E18" s="6" t="s">
        <v>131</v>
      </c>
      <c r="F18" s="6" t="s">
        <v>65</v>
      </c>
      <c r="G18" s="7" t="s">
        <v>65</v>
      </c>
      <c r="H18" s="6" t="s">
        <v>65</v>
      </c>
      <c r="I18" s="6" t="s">
        <v>65</v>
      </c>
      <c r="J18" s="6" t="s">
        <v>65</v>
      </c>
      <c r="K18" s="8">
        <v>0</v>
      </c>
      <c r="L18" s="6" t="s">
        <v>65</v>
      </c>
      <c r="M18" s="6" t="s">
        <v>132</v>
      </c>
      <c r="N18" s="6" t="s">
        <v>69</v>
      </c>
      <c r="O18" s="6" t="s">
        <v>65</v>
      </c>
      <c r="P18" s="6" t="s">
        <v>133</v>
      </c>
      <c r="Q18" s="6" t="s">
        <v>65</v>
      </c>
      <c r="R18" s="6" t="s">
        <v>54</v>
      </c>
      <c r="S18" s="6" t="s">
        <v>134</v>
      </c>
      <c r="T18" s="6" t="s">
        <v>65</v>
      </c>
      <c r="U18" s="6" t="s">
        <v>65</v>
      </c>
      <c r="V18" s="6" t="s">
        <v>65</v>
      </c>
      <c r="W18" s="6" t="s">
        <v>65</v>
      </c>
      <c r="X18" s="7" t="s">
        <v>65</v>
      </c>
      <c r="Y18" s="6" t="s">
        <v>135</v>
      </c>
      <c r="Z18" s="6" t="s">
        <v>136</v>
      </c>
    </row>
    <row r="19" spans="1:26" ht="27">
      <c r="A19" s="6" t="s">
        <v>152</v>
      </c>
      <c r="B19" s="6" t="s">
        <v>80</v>
      </c>
      <c r="C19" s="6" t="s">
        <v>65</v>
      </c>
      <c r="D19" s="6" t="s">
        <v>65</v>
      </c>
      <c r="E19" s="6" t="s">
        <v>131</v>
      </c>
      <c r="F19" s="6" t="s">
        <v>65</v>
      </c>
      <c r="G19" s="7" t="s">
        <v>65</v>
      </c>
      <c r="H19" s="6" t="s">
        <v>65</v>
      </c>
      <c r="I19" s="6" t="s">
        <v>65</v>
      </c>
      <c r="J19" s="6" t="s">
        <v>65</v>
      </c>
      <c r="K19" s="8">
        <v>0</v>
      </c>
      <c r="L19" s="6" t="s">
        <v>65</v>
      </c>
      <c r="M19" s="6" t="s">
        <v>132</v>
      </c>
      <c r="N19" s="6" t="s">
        <v>69</v>
      </c>
      <c r="O19" s="6" t="s">
        <v>65</v>
      </c>
      <c r="P19" s="6" t="s">
        <v>133</v>
      </c>
      <c r="Q19" s="6" t="s">
        <v>65</v>
      </c>
      <c r="R19" s="6" t="s">
        <v>54</v>
      </c>
      <c r="S19" s="6" t="s">
        <v>134</v>
      </c>
      <c r="T19" s="6" t="s">
        <v>65</v>
      </c>
      <c r="U19" s="6" t="s">
        <v>65</v>
      </c>
      <c r="V19" s="6" t="s">
        <v>65</v>
      </c>
      <c r="W19" s="6" t="s">
        <v>65</v>
      </c>
      <c r="X19" s="7" t="s">
        <v>65</v>
      </c>
      <c r="Y19" s="6" t="s">
        <v>135</v>
      </c>
      <c r="Z19" s="6" t="s">
        <v>136</v>
      </c>
    </row>
    <row r="20" spans="1:26" ht="27">
      <c r="A20" s="6" t="s">
        <v>153</v>
      </c>
      <c r="B20" s="6" t="s">
        <v>80</v>
      </c>
      <c r="C20" s="6" t="s">
        <v>65</v>
      </c>
      <c r="D20" s="6" t="s">
        <v>65</v>
      </c>
      <c r="E20" s="6" t="s">
        <v>131</v>
      </c>
      <c r="F20" s="6" t="s">
        <v>65</v>
      </c>
      <c r="G20" s="7" t="s">
        <v>65</v>
      </c>
      <c r="H20" s="6" t="s">
        <v>65</v>
      </c>
      <c r="I20" s="6" t="s">
        <v>65</v>
      </c>
      <c r="J20" s="6" t="s">
        <v>65</v>
      </c>
      <c r="K20" s="8">
        <v>0</v>
      </c>
      <c r="L20" s="6" t="s">
        <v>65</v>
      </c>
      <c r="M20" s="6" t="s">
        <v>132</v>
      </c>
      <c r="N20" s="6" t="s">
        <v>69</v>
      </c>
      <c r="O20" s="6" t="s">
        <v>65</v>
      </c>
      <c r="P20" s="6" t="s">
        <v>133</v>
      </c>
      <c r="Q20" s="6" t="s">
        <v>65</v>
      </c>
      <c r="R20" s="6" t="s">
        <v>54</v>
      </c>
      <c r="S20" s="6" t="s">
        <v>134</v>
      </c>
      <c r="T20" s="6" t="s">
        <v>65</v>
      </c>
      <c r="U20" s="6" t="s">
        <v>65</v>
      </c>
      <c r="V20" s="6" t="s">
        <v>65</v>
      </c>
      <c r="W20" s="6" t="s">
        <v>65</v>
      </c>
      <c r="X20" s="7" t="s">
        <v>65</v>
      </c>
      <c r="Y20" s="6" t="s">
        <v>135</v>
      </c>
      <c r="Z20" s="6" t="s">
        <v>136</v>
      </c>
    </row>
    <row r="21" spans="1:26" ht="27">
      <c r="A21" s="6" t="s">
        <v>154</v>
      </c>
      <c r="B21" s="6" t="s">
        <v>80</v>
      </c>
      <c r="C21" s="6" t="s">
        <v>65</v>
      </c>
      <c r="D21" s="6" t="s">
        <v>65</v>
      </c>
      <c r="E21" s="6" t="s">
        <v>131</v>
      </c>
      <c r="F21" s="6" t="s">
        <v>65</v>
      </c>
      <c r="G21" s="7" t="s">
        <v>65</v>
      </c>
      <c r="H21" s="6" t="s">
        <v>65</v>
      </c>
      <c r="I21" s="6" t="s">
        <v>65</v>
      </c>
      <c r="J21" s="6" t="s">
        <v>65</v>
      </c>
      <c r="K21" s="8">
        <v>0</v>
      </c>
      <c r="L21" s="6" t="s">
        <v>65</v>
      </c>
      <c r="M21" s="6" t="s">
        <v>132</v>
      </c>
      <c r="N21" s="6" t="s">
        <v>69</v>
      </c>
      <c r="O21" s="6" t="s">
        <v>65</v>
      </c>
      <c r="P21" s="6" t="s">
        <v>133</v>
      </c>
      <c r="Q21" s="6" t="s">
        <v>65</v>
      </c>
      <c r="R21" s="6" t="s">
        <v>54</v>
      </c>
      <c r="S21" s="6" t="s">
        <v>134</v>
      </c>
      <c r="T21" s="6" t="s">
        <v>65</v>
      </c>
      <c r="U21" s="6" t="s">
        <v>65</v>
      </c>
      <c r="V21" s="6" t="s">
        <v>65</v>
      </c>
      <c r="W21" s="6" t="s">
        <v>65</v>
      </c>
      <c r="X21" s="7" t="s">
        <v>65</v>
      </c>
      <c r="Y21" s="6" t="s">
        <v>135</v>
      </c>
      <c r="Z21" s="6" t="s">
        <v>136</v>
      </c>
    </row>
    <row r="22" spans="1:26" ht="27">
      <c r="A22" s="6" t="s">
        <v>155</v>
      </c>
      <c r="B22" s="6" t="s">
        <v>80</v>
      </c>
      <c r="C22" s="6" t="s">
        <v>65</v>
      </c>
      <c r="D22" s="6" t="s">
        <v>65</v>
      </c>
      <c r="E22" s="6" t="s">
        <v>131</v>
      </c>
      <c r="F22" s="6" t="s">
        <v>65</v>
      </c>
      <c r="G22" s="7" t="s">
        <v>65</v>
      </c>
      <c r="H22" s="6" t="s">
        <v>65</v>
      </c>
      <c r="I22" s="6" t="s">
        <v>65</v>
      </c>
      <c r="J22" s="6" t="s">
        <v>65</v>
      </c>
      <c r="K22" s="8">
        <v>0</v>
      </c>
      <c r="L22" s="6" t="s">
        <v>65</v>
      </c>
      <c r="M22" s="6" t="s">
        <v>132</v>
      </c>
      <c r="N22" s="6" t="s">
        <v>69</v>
      </c>
      <c r="O22" s="6" t="s">
        <v>65</v>
      </c>
      <c r="P22" s="6" t="s">
        <v>133</v>
      </c>
      <c r="Q22" s="6" t="s">
        <v>65</v>
      </c>
      <c r="R22" s="6" t="s">
        <v>54</v>
      </c>
      <c r="S22" s="6" t="s">
        <v>134</v>
      </c>
      <c r="T22" s="6" t="s">
        <v>65</v>
      </c>
      <c r="U22" s="6" t="s">
        <v>65</v>
      </c>
      <c r="V22" s="6" t="s">
        <v>65</v>
      </c>
      <c r="W22" s="6" t="s">
        <v>65</v>
      </c>
      <c r="X22" s="7" t="s">
        <v>65</v>
      </c>
      <c r="Y22" s="6" t="s">
        <v>135</v>
      </c>
      <c r="Z22" s="6" t="s">
        <v>136</v>
      </c>
    </row>
    <row r="23" spans="1:26" ht="27">
      <c r="A23" s="6" t="s">
        <v>156</v>
      </c>
      <c r="B23" s="6" t="s">
        <v>80</v>
      </c>
      <c r="C23" s="6" t="s">
        <v>65</v>
      </c>
      <c r="D23" s="6" t="s">
        <v>65</v>
      </c>
      <c r="E23" s="6" t="s">
        <v>131</v>
      </c>
      <c r="F23" s="6" t="s">
        <v>65</v>
      </c>
      <c r="G23" s="7" t="s">
        <v>65</v>
      </c>
      <c r="H23" s="6" t="s">
        <v>65</v>
      </c>
      <c r="I23" s="6" t="s">
        <v>65</v>
      </c>
      <c r="J23" s="6" t="s">
        <v>65</v>
      </c>
      <c r="K23" s="8">
        <v>0</v>
      </c>
      <c r="L23" s="6" t="s">
        <v>65</v>
      </c>
      <c r="M23" s="6" t="s">
        <v>132</v>
      </c>
      <c r="N23" s="6" t="s">
        <v>69</v>
      </c>
      <c r="O23" s="6" t="s">
        <v>65</v>
      </c>
      <c r="P23" s="6" t="s">
        <v>133</v>
      </c>
      <c r="Q23" s="6" t="s">
        <v>65</v>
      </c>
      <c r="R23" s="6" t="s">
        <v>54</v>
      </c>
      <c r="S23" s="6" t="s">
        <v>134</v>
      </c>
      <c r="T23" s="6" t="s">
        <v>65</v>
      </c>
      <c r="U23" s="6" t="s">
        <v>65</v>
      </c>
      <c r="V23" s="6" t="s">
        <v>65</v>
      </c>
      <c r="W23" s="6" t="s">
        <v>65</v>
      </c>
      <c r="X23" s="7" t="s">
        <v>65</v>
      </c>
      <c r="Y23" s="6" t="s">
        <v>135</v>
      </c>
      <c r="Z23" s="6" t="s">
        <v>136</v>
      </c>
    </row>
    <row r="24" spans="1:26" ht="27">
      <c r="A24" s="6" t="s">
        <v>157</v>
      </c>
      <c r="B24" s="6" t="s">
        <v>80</v>
      </c>
      <c r="C24" s="6" t="s">
        <v>65</v>
      </c>
      <c r="D24" s="6" t="s">
        <v>65</v>
      </c>
      <c r="E24" s="6" t="s">
        <v>131</v>
      </c>
      <c r="F24" s="6" t="s">
        <v>65</v>
      </c>
      <c r="G24" s="7" t="s">
        <v>65</v>
      </c>
      <c r="H24" s="6" t="s">
        <v>65</v>
      </c>
      <c r="I24" s="6" t="s">
        <v>65</v>
      </c>
      <c r="J24" s="6" t="s">
        <v>65</v>
      </c>
      <c r="K24" s="8">
        <v>0</v>
      </c>
      <c r="L24" s="6" t="s">
        <v>65</v>
      </c>
      <c r="M24" s="6" t="s">
        <v>132</v>
      </c>
      <c r="N24" s="6" t="s">
        <v>69</v>
      </c>
      <c r="O24" s="6" t="s">
        <v>65</v>
      </c>
      <c r="P24" s="6" t="s">
        <v>133</v>
      </c>
      <c r="Q24" s="6" t="s">
        <v>65</v>
      </c>
      <c r="R24" s="6" t="s">
        <v>54</v>
      </c>
      <c r="S24" s="6" t="s">
        <v>134</v>
      </c>
      <c r="T24" s="6" t="s">
        <v>65</v>
      </c>
      <c r="U24" s="6" t="s">
        <v>65</v>
      </c>
      <c r="V24" s="6" t="s">
        <v>65</v>
      </c>
      <c r="W24" s="6" t="s">
        <v>65</v>
      </c>
      <c r="X24" s="7" t="s">
        <v>65</v>
      </c>
      <c r="Y24" s="6" t="s">
        <v>135</v>
      </c>
      <c r="Z24" s="6" t="s">
        <v>136</v>
      </c>
    </row>
    <row r="25" spans="1:26" ht="27">
      <c r="A25" s="6" t="s">
        <v>158</v>
      </c>
      <c r="B25" s="6" t="s">
        <v>80</v>
      </c>
      <c r="C25" s="6" t="s">
        <v>65</v>
      </c>
      <c r="D25" s="6" t="s">
        <v>65</v>
      </c>
      <c r="E25" s="6" t="s">
        <v>131</v>
      </c>
      <c r="F25" s="6" t="s">
        <v>65</v>
      </c>
      <c r="G25" s="7" t="s">
        <v>65</v>
      </c>
      <c r="H25" s="6" t="s">
        <v>65</v>
      </c>
      <c r="I25" s="6" t="s">
        <v>65</v>
      </c>
      <c r="J25" s="6" t="s">
        <v>65</v>
      </c>
      <c r="K25" s="8">
        <v>0</v>
      </c>
      <c r="L25" s="6" t="s">
        <v>65</v>
      </c>
      <c r="M25" s="6" t="s">
        <v>132</v>
      </c>
      <c r="N25" s="6" t="s">
        <v>69</v>
      </c>
      <c r="O25" s="6" t="s">
        <v>65</v>
      </c>
      <c r="P25" s="6" t="s">
        <v>133</v>
      </c>
      <c r="Q25" s="6" t="s">
        <v>65</v>
      </c>
      <c r="R25" s="6" t="s">
        <v>54</v>
      </c>
      <c r="S25" s="6" t="s">
        <v>134</v>
      </c>
      <c r="T25" s="6" t="s">
        <v>65</v>
      </c>
      <c r="U25" s="6" t="s">
        <v>65</v>
      </c>
      <c r="V25" s="6" t="s">
        <v>65</v>
      </c>
      <c r="W25" s="6" t="s">
        <v>65</v>
      </c>
      <c r="X25" s="7" t="s">
        <v>65</v>
      </c>
      <c r="Y25" s="6" t="s">
        <v>135</v>
      </c>
      <c r="Z25" s="6" t="s">
        <v>136</v>
      </c>
    </row>
    <row r="26" spans="1:26" ht="27">
      <c r="A26" s="6" t="s">
        <v>159</v>
      </c>
      <c r="B26" s="6" t="s">
        <v>80</v>
      </c>
      <c r="C26" s="6" t="s">
        <v>65</v>
      </c>
      <c r="D26" s="6" t="s">
        <v>65</v>
      </c>
      <c r="E26" s="6" t="s">
        <v>131</v>
      </c>
      <c r="F26" s="6" t="s">
        <v>65</v>
      </c>
      <c r="G26" s="7" t="s">
        <v>65</v>
      </c>
      <c r="H26" s="6" t="s">
        <v>65</v>
      </c>
      <c r="I26" s="6" t="s">
        <v>65</v>
      </c>
      <c r="J26" s="6" t="s">
        <v>65</v>
      </c>
      <c r="K26" s="8">
        <v>0</v>
      </c>
      <c r="L26" s="6" t="s">
        <v>65</v>
      </c>
      <c r="M26" s="6" t="s">
        <v>132</v>
      </c>
      <c r="N26" s="6" t="s">
        <v>69</v>
      </c>
      <c r="O26" s="6" t="s">
        <v>65</v>
      </c>
      <c r="P26" s="6" t="s">
        <v>133</v>
      </c>
      <c r="Q26" s="6" t="s">
        <v>65</v>
      </c>
      <c r="R26" s="6" t="s">
        <v>54</v>
      </c>
      <c r="S26" s="6" t="s">
        <v>134</v>
      </c>
      <c r="T26" s="6" t="s">
        <v>65</v>
      </c>
      <c r="U26" s="6" t="s">
        <v>65</v>
      </c>
      <c r="V26" s="6" t="s">
        <v>65</v>
      </c>
      <c r="W26" s="6" t="s">
        <v>65</v>
      </c>
      <c r="X26" s="7" t="s">
        <v>65</v>
      </c>
      <c r="Y26" s="6" t="s">
        <v>135</v>
      </c>
      <c r="Z26" s="6" t="s">
        <v>136</v>
      </c>
    </row>
    <row r="27" spans="1:26" ht="27">
      <c r="A27" s="6" t="s">
        <v>160</v>
      </c>
      <c r="B27" s="6" t="s">
        <v>80</v>
      </c>
      <c r="C27" s="6" t="s">
        <v>65</v>
      </c>
      <c r="D27" s="6" t="s">
        <v>65</v>
      </c>
      <c r="E27" s="6" t="s">
        <v>131</v>
      </c>
      <c r="F27" s="6" t="s">
        <v>65</v>
      </c>
      <c r="G27" s="7" t="s">
        <v>65</v>
      </c>
      <c r="H27" s="6" t="s">
        <v>65</v>
      </c>
      <c r="I27" s="6" t="s">
        <v>65</v>
      </c>
      <c r="J27" s="6" t="s">
        <v>65</v>
      </c>
      <c r="K27" s="8">
        <v>0</v>
      </c>
      <c r="L27" s="6" t="s">
        <v>65</v>
      </c>
      <c r="M27" s="6" t="s">
        <v>132</v>
      </c>
      <c r="N27" s="6" t="s">
        <v>69</v>
      </c>
      <c r="O27" s="6" t="s">
        <v>65</v>
      </c>
      <c r="P27" s="6" t="s">
        <v>133</v>
      </c>
      <c r="Q27" s="6" t="s">
        <v>65</v>
      </c>
      <c r="R27" s="6" t="s">
        <v>54</v>
      </c>
      <c r="S27" s="6" t="s">
        <v>134</v>
      </c>
      <c r="T27" s="6" t="s">
        <v>65</v>
      </c>
      <c r="U27" s="6" t="s">
        <v>65</v>
      </c>
      <c r="V27" s="6" t="s">
        <v>65</v>
      </c>
      <c r="W27" s="6" t="s">
        <v>65</v>
      </c>
      <c r="X27" s="7" t="s">
        <v>65</v>
      </c>
      <c r="Y27" s="6" t="s">
        <v>135</v>
      </c>
      <c r="Z27" s="6" t="s">
        <v>136</v>
      </c>
    </row>
    <row r="28" spans="1:26" ht="27">
      <c r="A28" s="6" t="s">
        <v>161</v>
      </c>
      <c r="B28" s="6" t="s">
        <v>80</v>
      </c>
      <c r="C28" s="6" t="s">
        <v>65</v>
      </c>
      <c r="D28" s="6" t="s">
        <v>65</v>
      </c>
      <c r="E28" s="6" t="s">
        <v>131</v>
      </c>
      <c r="F28" s="6" t="s">
        <v>65</v>
      </c>
      <c r="G28" s="7" t="s">
        <v>65</v>
      </c>
      <c r="H28" s="6" t="s">
        <v>65</v>
      </c>
      <c r="I28" s="6" t="s">
        <v>65</v>
      </c>
      <c r="J28" s="6" t="s">
        <v>65</v>
      </c>
      <c r="K28" s="8">
        <v>0</v>
      </c>
      <c r="L28" s="6" t="s">
        <v>65</v>
      </c>
      <c r="M28" s="6" t="s">
        <v>132</v>
      </c>
      <c r="N28" s="6" t="s">
        <v>69</v>
      </c>
      <c r="O28" s="6" t="s">
        <v>65</v>
      </c>
      <c r="P28" s="6" t="s">
        <v>133</v>
      </c>
      <c r="Q28" s="6" t="s">
        <v>65</v>
      </c>
      <c r="R28" s="6" t="s">
        <v>54</v>
      </c>
      <c r="S28" s="6" t="s">
        <v>134</v>
      </c>
      <c r="T28" s="6" t="s">
        <v>65</v>
      </c>
      <c r="U28" s="6" t="s">
        <v>65</v>
      </c>
      <c r="V28" s="6" t="s">
        <v>65</v>
      </c>
      <c r="W28" s="6" t="s">
        <v>65</v>
      </c>
      <c r="X28" s="7" t="s">
        <v>65</v>
      </c>
      <c r="Y28" s="6" t="s">
        <v>135</v>
      </c>
      <c r="Z28" s="6" t="s">
        <v>136</v>
      </c>
    </row>
    <row r="29" spans="1:26" ht="27">
      <c r="A29" s="6" t="s">
        <v>162</v>
      </c>
      <c r="B29" s="6" t="s">
        <v>80</v>
      </c>
      <c r="C29" s="6" t="s">
        <v>65</v>
      </c>
      <c r="D29" s="6" t="s">
        <v>65</v>
      </c>
      <c r="E29" s="6" t="s">
        <v>131</v>
      </c>
      <c r="F29" s="6" t="s">
        <v>65</v>
      </c>
      <c r="G29" s="7" t="s">
        <v>65</v>
      </c>
      <c r="H29" s="6" t="s">
        <v>65</v>
      </c>
      <c r="I29" s="6" t="s">
        <v>65</v>
      </c>
      <c r="J29" s="6" t="s">
        <v>65</v>
      </c>
      <c r="K29" s="8">
        <v>0</v>
      </c>
      <c r="L29" s="6" t="s">
        <v>65</v>
      </c>
      <c r="M29" s="6" t="s">
        <v>132</v>
      </c>
      <c r="N29" s="6" t="s">
        <v>69</v>
      </c>
      <c r="O29" s="6" t="s">
        <v>65</v>
      </c>
      <c r="P29" s="6" t="s">
        <v>133</v>
      </c>
      <c r="Q29" s="6" t="s">
        <v>65</v>
      </c>
      <c r="R29" s="6" t="s">
        <v>54</v>
      </c>
      <c r="S29" s="6" t="s">
        <v>134</v>
      </c>
      <c r="T29" s="6" t="s">
        <v>65</v>
      </c>
      <c r="U29" s="6" t="s">
        <v>65</v>
      </c>
      <c r="V29" s="6" t="s">
        <v>65</v>
      </c>
      <c r="W29" s="6" t="s">
        <v>65</v>
      </c>
      <c r="X29" s="7" t="s">
        <v>65</v>
      </c>
      <c r="Y29" s="6" t="s">
        <v>135</v>
      </c>
      <c r="Z29" s="6" t="s">
        <v>136</v>
      </c>
    </row>
    <row r="30" spans="1:26" ht="27">
      <c r="A30" s="6" t="s">
        <v>163</v>
      </c>
      <c r="B30" s="6" t="s">
        <v>80</v>
      </c>
      <c r="C30" s="6" t="s">
        <v>65</v>
      </c>
      <c r="D30" s="6" t="s">
        <v>65</v>
      </c>
      <c r="E30" s="6" t="s">
        <v>131</v>
      </c>
      <c r="F30" s="6" t="s">
        <v>65</v>
      </c>
      <c r="G30" s="7" t="s">
        <v>65</v>
      </c>
      <c r="H30" s="6" t="s">
        <v>65</v>
      </c>
      <c r="I30" s="6" t="s">
        <v>65</v>
      </c>
      <c r="J30" s="6" t="s">
        <v>65</v>
      </c>
      <c r="K30" s="8">
        <v>0</v>
      </c>
      <c r="L30" s="6" t="s">
        <v>65</v>
      </c>
      <c r="M30" s="6" t="s">
        <v>132</v>
      </c>
      <c r="N30" s="6" t="s">
        <v>69</v>
      </c>
      <c r="O30" s="6" t="s">
        <v>65</v>
      </c>
      <c r="P30" s="6" t="s">
        <v>133</v>
      </c>
      <c r="Q30" s="6" t="s">
        <v>65</v>
      </c>
      <c r="R30" s="6" t="s">
        <v>54</v>
      </c>
      <c r="S30" s="6" t="s">
        <v>134</v>
      </c>
      <c r="T30" s="6" t="s">
        <v>65</v>
      </c>
      <c r="U30" s="6" t="s">
        <v>65</v>
      </c>
      <c r="V30" s="6" t="s">
        <v>65</v>
      </c>
      <c r="W30" s="6" t="s">
        <v>65</v>
      </c>
      <c r="X30" s="7" t="s">
        <v>65</v>
      </c>
      <c r="Y30" s="6" t="s">
        <v>135</v>
      </c>
      <c r="Z30" s="6" t="s">
        <v>136</v>
      </c>
    </row>
    <row r="31" spans="1:26" ht="27">
      <c r="A31" s="6" t="s">
        <v>164</v>
      </c>
      <c r="B31" s="6" t="s">
        <v>80</v>
      </c>
      <c r="C31" s="6" t="s">
        <v>65</v>
      </c>
      <c r="D31" s="6" t="s">
        <v>65</v>
      </c>
      <c r="E31" s="6" t="s">
        <v>131</v>
      </c>
      <c r="F31" s="6" t="s">
        <v>65</v>
      </c>
      <c r="G31" s="7" t="s">
        <v>65</v>
      </c>
      <c r="H31" s="6" t="s">
        <v>65</v>
      </c>
      <c r="I31" s="6" t="s">
        <v>65</v>
      </c>
      <c r="J31" s="6" t="s">
        <v>65</v>
      </c>
      <c r="K31" s="8">
        <v>0</v>
      </c>
      <c r="L31" s="6" t="s">
        <v>65</v>
      </c>
      <c r="M31" s="6" t="s">
        <v>132</v>
      </c>
      <c r="N31" s="6" t="s">
        <v>69</v>
      </c>
      <c r="O31" s="6" t="s">
        <v>65</v>
      </c>
      <c r="P31" s="6" t="s">
        <v>133</v>
      </c>
      <c r="Q31" s="6" t="s">
        <v>65</v>
      </c>
      <c r="R31" s="6" t="s">
        <v>54</v>
      </c>
      <c r="S31" s="6" t="s">
        <v>134</v>
      </c>
      <c r="T31" s="6" t="s">
        <v>65</v>
      </c>
      <c r="U31" s="6" t="s">
        <v>65</v>
      </c>
      <c r="V31" s="6" t="s">
        <v>65</v>
      </c>
      <c r="W31" s="6" t="s">
        <v>65</v>
      </c>
      <c r="X31" s="7" t="s">
        <v>65</v>
      </c>
      <c r="Y31" s="6" t="s">
        <v>135</v>
      </c>
      <c r="Z31" s="6" t="s">
        <v>136</v>
      </c>
    </row>
    <row r="32" spans="1:26" ht="27">
      <c r="A32" s="6" t="s">
        <v>165</v>
      </c>
      <c r="B32" s="6" t="s">
        <v>80</v>
      </c>
      <c r="C32" s="6" t="s">
        <v>65</v>
      </c>
      <c r="D32" s="6" t="s">
        <v>65</v>
      </c>
      <c r="E32" s="6" t="s">
        <v>131</v>
      </c>
      <c r="F32" s="6" t="s">
        <v>65</v>
      </c>
      <c r="G32" s="7" t="s">
        <v>65</v>
      </c>
      <c r="H32" s="6" t="s">
        <v>65</v>
      </c>
      <c r="I32" s="6" t="s">
        <v>65</v>
      </c>
      <c r="J32" s="6" t="s">
        <v>65</v>
      </c>
      <c r="K32" s="8">
        <v>0</v>
      </c>
      <c r="L32" s="6" t="s">
        <v>65</v>
      </c>
      <c r="M32" s="6" t="s">
        <v>132</v>
      </c>
      <c r="N32" s="6" t="s">
        <v>69</v>
      </c>
      <c r="O32" s="6" t="s">
        <v>65</v>
      </c>
      <c r="P32" s="6" t="s">
        <v>133</v>
      </c>
      <c r="Q32" s="6" t="s">
        <v>65</v>
      </c>
      <c r="R32" s="6" t="s">
        <v>54</v>
      </c>
      <c r="S32" s="6" t="s">
        <v>134</v>
      </c>
      <c r="T32" s="6" t="s">
        <v>65</v>
      </c>
      <c r="U32" s="6" t="s">
        <v>65</v>
      </c>
      <c r="V32" s="6" t="s">
        <v>65</v>
      </c>
      <c r="W32" s="6" t="s">
        <v>65</v>
      </c>
      <c r="X32" s="7" t="s">
        <v>65</v>
      </c>
      <c r="Y32" s="6" t="s">
        <v>135</v>
      </c>
      <c r="Z32" s="6" t="s">
        <v>136</v>
      </c>
    </row>
    <row r="33" spans="1:26" ht="27">
      <c r="A33" s="6" t="s">
        <v>166</v>
      </c>
      <c r="B33" s="6" t="s">
        <v>80</v>
      </c>
      <c r="C33" s="6" t="s">
        <v>65</v>
      </c>
      <c r="D33" s="6" t="s">
        <v>65</v>
      </c>
      <c r="E33" s="6" t="s">
        <v>131</v>
      </c>
      <c r="F33" s="6" t="s">
        <v>65</v>
      </c>
      <c r="G33" s="7" t="s">
        <v>65</v>
      </c>
      <c r="H33" s="6" t="s">
        <v>65</v>
      </c>
      <c r="I33" s="6" t="s">
        <v>65</v>
      </c>
      <c r="J33" s="6" t="s">
        <v>65</v>
      </c>
      <c r="K33" s="8">
        <v>0</v>
      </c>
      <c r="L33" s="6" t="s">
        <v>65</v>
      </c>
      <c r="M33" s="6" t="s">
        <v>132</v>
      </c>
      <c r="N33" s="6" t="s">
        <v>69</v>
      </c>
      <c r="O33" s="6" t="s">
        <v>65</v>
      </c>
      <c r="P33" s="6" t="s">
        <v>133</v>
      </c>
      <c r="Q33" s="6" t="s">
        <v>65</v>
      </c>
      <c r="R33" s="6" t="s">
        <v>54</v>
      </c>
      <c r="S33" s="6" t="s">
        <v>134</v>
      </c>
      <c r="T33" s="6" t="s">
        <v>65</v>
      </c>
      <c r="U33" s="6" t="s">
        <v>65</v>
      </c>
      <c r="V33" s="6" t="s">
        <v>65</v>
      </c>
      <c r="W33" s="6" t="s">
        <v>65</v>
      </c>
      <c r="X33" s="7" t="s">
        <v>65</v>
      </c>
      <c r="Y33" s="6" t="s">
        <v>135</v>
      </c>
      <c r="Z33" s="6" t="s">
        <v>136</v>
      </c>
    </row>
    <row r="34" spans="1:26" ht="27">
      <c r="A34" s="6" t="s">
        <v>167</v>
      </c>
      <c r="B34" s="6" t="s">
        <v>80</v>
      </c>
      <c r="C34" s="6" t="s">
        <v>65</v>
      </c>
      <c r="D34" s="6" t="s">
        <v>65</v>
      </c>
      <c r="E34" s="6" t="s">
        <v>131</v>
      </c>
      <c r="F34" s="6" t="s">
        <v>65</v>
      </c>
      <c r="G34" s="7" t="s">
        <v>65</v>
      </c>
      <c r="H34" s="6" t="s">
        <v>65</v>
      </c>
      <c r="I34" s="6" t="s">
        <v>65</v>
      </c>
      <c r="J34" s="6" t="s">
        <v>65</v>
      </c>
      <c r="K34" s="8">
        <v>0</v>
      </c>
      <c r="L34" s="6" t="s">
        <v>65</v>
      </c>
      <c r="M34" s="6" t="s">
        <v>132</v>
      </c>
      <c r="N34" s="6" t="s">
        <v>69</v>
      </c>
      <c r="O34" s="6" t="s">
        <v>65</v>
      </c>
      <c r="P34" s="6" t="s">
        <v>133</v>
      </c>
      <c r="Q34" s="6" t="s">
        <v>65</v>
      </c>
      <c r="R34" s="6" t="s">
        <v>54</v>
      </c>
      <c r="S34" s="6" t="s">
        <v>134</v>
      </c>
      <c r="T34" s="6" t="s">
        <v>65</v>
      </c>
      <c r="U34" s="6" t="s">
        <v>65</v>
      </c>
      <c r="V34" s="6" t="s">
        <v>65</v>
      </c>
      <c r="W34" s="6" t="s">
        <v>65</v>
      </c>
      <c r="X34" s="7" t="s">
        <v>65</v>
      </c>
      <c r="Y34" s="6" t="s">
        <v>135</v>
      </c>
      <c r="Z34" s="6" t="s">
        <v>136</v>
      </c>
    </row>
    <row r="35" spans="1:26" ht="27">
      <c r="A35" s="6" t="s">
        <v>168</v>
      </c>
      <c r="B35" s="6" t="s">
        <v>80</v>
      </c>
      <c r="C35" s="6" t="s">
        <v>65</v>
      </c>
      <c r="D35" s="6" t="s">
        <v>65</v>
      </c>
      <c r="E35" s="6" t="s">
        <v>131</v>
      </c>
      <c r="F35" s="6" t="s">
        <v>65</v>
      </c>
      <c r="G35" s="7" t="s">
        <v>65</v>
      </c>
      <c r="H35" s="6" t="s">
        <v>65</v>
      </c>
      <c r="I35" s="6" t="s">
        <v>65</v>
      </c>
      <c r="J35" s="6" t="s">
        <v>65</v>
      </c>
      <c r="K35" s="8">
        <v>0</v>
      </c>
      <c r="L35" s="6" t="s">
        <v>65</v>
      </c>
      <c r="M35" s="6" t="s">
        <v>132</v>
      </c>
      <c r="N35" s="6" t="s">
        <v>69</v>
      </c>
      <c r="O35" s="6" t="s">
        <v>65</v>
      </c>
      <c r="P35" s="6" t="s">
        <v>133</v>
      </c>
      <c r="Q35" s="6" t="s">
        <v>65</v>
      </c>
      <c r="R35" s="6" t="s">
        <v>54</v>
      </c>
      <c r="S35" s="6" t="s">
        <v>134</v>
      </c>
      <c r="T35" s="6" t="s">
        <v>65</v>
      </c>
      <c r="U35" s="6" t="s">
        <v>65</v>
      </c>
      <c r="V35" s="6" t="s">
        <v>65</v>
      </c>
      <c r="W35" s="6" t="s">
        <v>65</v>
      </c>
      <c r="X35" s="7" t="s">
        <v>65</v>
      </c>
      <c r="Y35" s="6" t="s">
        <v>135</v>
      </c>
      <c r="Z35" s="6" t="s">
        <v>136</v>
      </c>
    </row>
    <row r="36" spans="1:26" ht="27">
      <c r="A36" s="6" t="s">
        <v>169</v>
      </c>
      <c r="B36" s="6" t="s">
        <v>80</v>
      </c>
      <c r="C36" s="6" t="s">
        <v>65</v>
      </c>
      <c r="D36" s="6" t="s">
        <v>65</v>
      </c>
      <c r="E36" s="6" t="s">
        <v>131</v>
      </c>
      <c r="F36" s="6" t="s">
        <v>65</v>
      </c>
      <c r="G36" s="7" t="s">
        <v>65</v>
      </c>
      <c r="H36" s="6" t="s">
        <v>65</v>
      </c>
      <c r="I36" s="6" t="s">
        <v>65</v>
      </c>
      <c r="J36" s="6" t="s">
        <v>65</v>
      </c>
      <c r="K36" s="8">
        <v>0</v>
      </c>
      <c r="L36" s="6" t="s">
        <v>65</v>
      </c>
      <c r="M36" s="6" t="s">
        <v>132</v>
      </c>
      <c r="N36" s="6" t="s">
        <v>69</v>
      </c>
      <c r="O36" s="6" t="s">
        <v>65</v>
      </c>
      <c r="P36" s="6" t="s">
        <v>133</v>
      </c>
      <c r="Q36" s="6" t="s">
        <v>65</v>
      </c>
      <c r="R36" s="6" t="s">
        <v>54</v>
      </c>
      <c r="S36" s="6" t="s">
        <v>134</v>
      </c>
      <c r="T36" s="6" t="s">
        <v>65</v>
      </c>
      <c r="U36" s="6" t="s">
        <v>65</v>
      </c>
      <c r="V36" s="6" t="s">
        <v>65</v>
      </c>
      <c r="W36" s="6" t="s">
        <v>65</v>
      </c>
      <c r="X36" s="7" t="s">
        <v>65</v>
      </c>
      <c r="Y36" s="6" t="s">
        <v>135</v>
      </c>
      <c r="Z36" s="6" t="s">
        <v>136</v>
      </c>
    </row>
    <row r="37" spans="1:26" ht="27">
      <c r="A37" s="6" t="s">
        <v>170</v>
      </c>
      <c r="B37" s="6" t="s">
        <v>80</v>
      </c>
      <c r="C37" s="6" t="s">
        <v>65</v>
      </c>
      <c r="D37" s="6" t="s">
        <v>65</v>
      </c>
      <c r="E37" s="6" t="s">
        <v>131</v>
      </c>
      <c r="F37" s="6" t="s">
        <v>65</v>
      </c>
      <c r="G37" s="7" t="s">
        <v>65</v>
      </c>
      <c r="H37" s="6" t="s">
        <v>65</v>
      </c>
      <c r="I37" s="6" t="s">
        <v>65</v>
      </c>
      <c r="J37" s="6" t="s">
        <v>65</v>
      </c>
      <c r="K37" s="8">
        <v>0</v>
      </c>
      <c r="L37" s="6" t="s">
        <v>65</v>
      </c>
      <c r="M37" s="6" t="s">
        <v>132</v>
      </c>
      <c r="N37" s="6" t="s">
        <v>69</v>
      </c>
      <c r="O37" s="6" t="s">
        <v>65</v>
      </c>
      <c r="P37" s="6" t="s">
        <v>133</v>
      </c>
      <c r="Q37" s="6" t="s">
        <v>65</v>
      </c>
      <c r="R37" s="6" t="s">
        <v>54</v>
      </c>
      <c r="S37" s="6" t="s">
        <v>134</v>
      </c>
      <c r="T37" s="6" t="s">
        <v>65</v>
      </c>
      <c r="U37" s="6" t="s">
        <v>65</v>
      </c>
      <c r="V37" s="6" t="s">
        <v>65</v>
      </c>
      <c r="W37" s="6" t="s">
        <v>65</v>
      </c>
      <c r="X37" s="7" t="s">
        <v>65</v>
      </c>
      <c r="Y37" s="6" t="s">
        <v>135</v>
      </c>
      <c r="Z37" s="6" t="s">
        <v>136</v>
      </c>
    </row>
    <row r="38" spans="1:26" ht="27">
      <c r="A38" s="6" t="s">
        <v>171</v>
      </c>
      <c r="B38" s="6" t="s">
        <v>80</v>
      </c>
      <c r="C38" s="6" t="s">
        <v>65</v>
      </c>
      <c r="D38" s="6" t="s">
        <v>65</v>
      </c>
      <c r="E38" s="6" t="s">
        <v>131</v>
      </c>
      <c r="F38" s="6" t="s">
        <v>65</v>
      </c>
      <c r="G38" s="7" t="s">
        <v>65</v>
      </c>
      <c r="H38" s="6" t="s">
        <v>65</v>
      </c>
      <c r="I38" s="6" t="s">
        <v>65</v>
      </c>
      <c r="J38" s="6" t="s">
        <v>65</v>
      </c>
      <c r="K38" s="8">
        <v>0</v>
      </c>
      <c r="L38" s="6" t="s">
        <v>65</v>
      </c>
      <c r="M38" s="6" t="s">
        <v>132</v>
      </c>
      <c r="N38" s="6" t="s">
        <v>69</v>
      </c>
      <c r="O38" s="6" t="s">
        <v>65</v>
      </c>
      <c r="P38" s="6" t="s">
        <v>133</v>
      </c>
      <c r="Q38" s="6" t="s">
        <v>65</v>
      </c>
      <c r="R38" s="6" t="s">
        <v>54</v>
      </c>
      <c r="S38" s="6" t="s">
        <v>134</v>
      </c>
      <c r="T38" s="6" t="s">
        <v>65</v>
      </c>
      <c r="U38" s="6" t="s">
        <v>65</v>
      </c>
      <c r="V38" s="6" t="s">
        <v>65</v>
      </c>
      <c r="W38" s="6" t="s">
        <v>65</v>
      </c>
      <c r="X38" s="7" t="s">
        <v>65</v>
      </c>
      <c r="Y38" s="6" t="s">
        <v>135</v>
      </c>
      <c r="Z38" s="6" t="s">
        <v>136</v>
      </c>
    </row>
    <row r="39" spans="1:26" ht="27">
      <c r="A39" s="6" t="s">
        <v>172</v>
      </c>
      <c r="B39" s="6" t="s">
        <v>80</v>
      </c>
      <c r="C39" s="6" t="s">
        <v>65</v>
      </c>
      <c r="D39" s="6" t="s">
        <v>65</v>
      </c>
      <c r="E39" s="6" t="s">
        <v>131</v>
      </c>
      <c r="F39" s="6" t="s">
        <v>65</v>
      </c>
      <c r="G39" s="7" t="s">
        <v>65</v>
      </c>
      <c r="H39" s="6" t="s">
        <v>65</v>
      </c>
      <c r="I39" s="6" t="s">
        <v>65</v>
      </c>
      <c r="J39" s="6" t="s">
        <v>65</v>
      </c>
      <c r="K39" s="8">
        <v>0</v>
      </c>
      <c r="L39" s="6" t="s">
        <v>65</v>
      </c>
      <c r="M39" s="6" t="s">
        <v>132</v>
      </c>
      <c r="N39" s="6" t="s">
        <v>69</v>
      </c>
      <c r="O39" s="6" t="s">
        <v>65</v>
      </c>
      <c r="P39" s="6" t="s">
        <v>133</v>
      </c>
      <c r="Q39" s="6" t="s">
        <v>65</v>
      </c>
      <c r="R39" s="6" t="s">
        <v>54</v>
      </c>
      <c r="S39" s="6" t="s">
        <v>134</v>
      </c>
      <c r="T39" s="6" t="s">
        <v>65</v>
      </c>
      <c r="U39" s="6" t="s">
        <v>65</v>
      </c>
      <c r="V39" s="6" t="s">
        <v>65</v>
      </c>
      <c r="W39" s="6" t="s">
        <v>65</v>
      </c>
      <c r="X39" s="7" t="s">
        <v>65</v>
      </c>
      <c r="Y39" s="6" t="s">
        <v>135</v>
      </c>
      <c r="Z39" s="6" t="s">
        <v>136</v>
      </c>
    </row>
    <row r="40" spans="1:26" ht="27">
      <c r="A40" s="6" t="s">
        <v>173</v>
      </c>
      <c r="B40" s="6" t="s">
        <v>80</v>
      </c>
      <c r="C40" s="6" t="s">
        <v>65</v>
      </c>
      <c r="D40" s="6" t="s">
        <v>65</v>
      </c>
      <c r="E40" s="6" t="s">
        <v>131</v>
      </c>
      <c r="F40" s="6" t="s">
        <v>65</v>
      </c>
      <c r="G40" s="7" t="s">
        <v>65</v>
      </c>
      <c r="H40" s="6" t="s">
        <v>65</v>
      </c>
      <c r="I40" s="6" t="s">
        <v>65</v>
      </c>
      <c r="J40" s="6" t="s">
        <v>65</v>
      </c>
      <c r="K40" s="8">
        <v>0</v>
      </c>
      <c r="L40" s="6" t="s">
        <v>65</v>
      </c>
      <c r="M40" s="6" t="s">
        <v>132</v>
      </c>
      <c r="N40" s="6" t="s">
        <v>69</v>
      </c>
      <c r="O40" s="6" t="s">
        <v>65</v>
      </c>
      <c r="P40" s="6" t="s">
        <v>133</v>
      </c>
      <c r="Q40" s="6" t="s">
        <v>65</v>
      </c>
      <c r="R40" s="6" t="s">
        <v>54</v>
      </c>
      <c r="S40" s="6" t="s">
        <v>134</v>
      </c>
      <c r="T40" s="6" t="s">
        <v>65</v>
      </c>
      <c r="U40" s="6" t="s">
        <v>65</v>
      </c>
      <c r="V40" s="6" t="s">
        <v>65</v>
      </c>
      <c r="W40" s="6" t="s">
        <v>65</v>
      </c>
      <c r="X40" s="7" t="s">
        <v>65</v>
      </c>
      <c r="Y40" s="6" t="s">
        <v>135</v>
      </c>
      <c r="Z40" s="6" t="s">
        <v>136</v>
      </c>
    </row>
    <row r="41" spans="1:26" ht="27">
      <c r="A41" s="6" t="s">
        <v>174</v>
      </c>
      <c r="B41" s="6" t="s">
        <v>80</v>
      </c>
      <c r="C41" s="6" t="s">
        <v>65</v>
      </c>
      <c r="D41" s="6" t="s">
        <v>65</v>
      </c>
      <c r="E41" s="6" t="s">
        <v>131</v>
      </c>
      <c r="F41" s="6" t="s">
        <v>65</v>
      </c>
      <c r="G41" s="7" t="s">
        <v>65</v>
      </c>
      <c r="H41" s="6" t="s">
        <v>65</v>
      </c>
      <c r="I41" s="6" t="s">
        <v>65</v>
      </c>
      <c r="J41" s="6" t="s">
        <v>65</v>
      </c>
      <c r="K41" s="8">
        <v>0</v>
      </c>
      <c r="L41" s="6" t="s">
        <v>65</v>
      </c>
      <c r="M41" s="6" t="s">
        <v>132</v>
      </c>
      <c r="N41" s="6" t="s">
        <v>69</v>
      </c>
      <c r="O41" s="6" t="s">
        <v>65</v>
      </c>
      <c r="P41" s="6" t="s">
        <v>133</v>
      </c>
      <c r="Q41" s="6" t="s">
        <v>65</v>
      </c>
      <c r="R41" s="6" t="s">
        <v>54</v>
      </c>
      <c r="S41" s="6" t="s">
        <v>134</v>
      </c>
      <c r="T41" s="6" t="s">
        <v>65</v>
      </c>
      <c r="U41" s="6" t="s">
        <v>65</v>
      </c>
      <c r="V41" s="6" t="s">
        <v>65</v>
      </c>
      <c r="W41" s="6" t="s">
        <v>65</v>
      </c>
      <c r="X41" s="7" t="s">
        <v>65</v>
      </c>
      <c r="Y41" s="6" t="s">
        <v>135</v>
      </c>
      <c r="Z41" s="6" t="s">
        <v>136</v>
      </c>
    </row>
    <row r="42" spans="1:26" ht="27">
      <c r="A42" s="6" t="s">
        <v>175</v>
      </c>
      <c r="B42" s="6" t="s">
        <v>80</v>
      </c>
      <c r="C42" s="6" t="s">
        <v>65</v>
      </c>
      <c r="D42" s="6" t="s">
        <v>65</v>
      </c>
      <c r="E42" s="6" t="s">
        <v>131</v>
      </c>
      <c r="F42" s="6" t="s">
        <v>65</v>
      </c>
      <c r="G42" s="7" t="s">
        <v>65</v>
      </c>
      <c r="H42" s="6" t="s">
        <v>65</v>
      </c>
      <c r="I42" s="6" t="s">
        <v>65</v>
      </c>
      <c r="J42" s="6" t="s">
        <v>65</v>
      </c>
      <c r="K42" s="8">
        <v>0</v>
      </c>
      <c r="L42" s="6" t="s">
        <v>65</v>
      </c>
      <c r="M42" s="6" t="s">
        <v>132</v>
      </c>
      <c r="N42" s="6" t="s">
        <v>69</v>
      </c>
      <c r="O42" s="6" t="s">
        <v>65</v>
      </c>
      <c r="P42" s="6" t="s">
        <v>133</v>
      </c>
      <c r="Q42" s="6" t="s">
        <v>65</v>
      </c>
      <c r="R42" s="6" t="s">
        <v>54</v>
      </c>
      <c r="S42" s="6" t="s">
        <v>134</v>
      </c>
      <c r="T42" s="6" t="s">
        <v>65</v>
      </c>
      <c r="U42" s="6" t="s">
        <v>65</v>
      </c>
      <c r="V42" s="6" t="s">
        <v>65</v>
      </c>
      <c r="W42" s="6" t="s">
        <v>65</v>
      </c>
      <c r="X42" s="7" t="s">
        <v>65</v>
      </c>
      <c r="Y42" s="6" t="s">
        <v>135</v>
      </c>
      <c r="Z42" s="6" t="s">
        <v>136</v>
      </c>
    </row>
    <row r="43" spans="1:26" ht="27">
      <c r="A43" s="6" t="s">
        <v>176</v>
      </c>
      <c r="B43" s="6" t="s">
        <v>80</v>
      </c>
      <c r="C43" s="6" t="s">
        <v>65</v>
      </c>
      <c r="D43" s="6" t="s">
        <v>65</v>
      </c>
      <c r="E43" s="6" t="s">
        <v>131</v>
      </c>
      <c r="F43" s="6" t="s">
        <v>65</v>
      </c>
      <c r="G43" s="7" t="s">
        <v>65</v>
      </c>
      <c r="H43" s="6" t="s">
        <v>65</v>
      </c>
      <c r="I43" s="6" t="s">
        <v>65</v>
      </c>
      <c r="J43" s="6" t="s">
        <v>65</v>
      </c>
      <c r="K43" s="8">
        <v>0</v>
      </c>
      <c r="L43" s="6" t="s">
        <v>65</v>
      </c>
      <c r="M43" s="6" t="s">
        <v>132</v>
      </c>
      <c r="N43" s="6" t="s">
        <v>69</v>
      </c>
      <c r="O43" s="6" t="s">
        <v>65</v>
      </c>
      <c r="P43" s="6" t="s">
        <v>133</v>
      </c>
      <c r="Q43" s="6" t="s">
        <v>65</v>
      </c>
      <c r="R43" s="6" t="s">
        <v>54</v>
      </c>
      <c r="S43" s="6" t="s">
        <v>134</v>
      </c>
      <c r="T43" s="6" t="s">
        <v>65</v>
      </c>
      <c r="U43" s="6" t="s">
        <v>65</v>
      </c>
      <c r="V43" s="6" t="s">
        <v>65</v>
      </c>
      <c r="W43" s="6" t="s">
        <v>65</v>
      </c>
      <c r="X43" s="7" t="s">
        <v>65</v>
      </c>
      <c r="Y43" s="6" t="s">
        <v>135</v>
      </c>
      <c r="Z43" s="6" t="s">
        <v>136</v>
      </c>
    </row>
    <row r="44" spans="1:26" ht="27">
      <c r="A44" s="6" t="s">
        <v>177</v>
      </c>
      <c r="B44" s="6" t="s">
        <v>80</v>
      </c>
      <c r="C44" s="6" t="s">
        <v>65</v>
      </c>
      <c r="D44" s="6" t="s">
        <v>65</v>
      </c>
      <c r="E44" s="6" t="s">
        <v>131</v>
      </c>
      <c r="F44" s="6" t="s">
        <v>65</v>
      </c>
      <c r="G44" s="7" t="s">
        <v>65</v>
      </c>
      <c r="H44" s="6" t="s">
        <v>65</v>
      </c>
      <c r="I44" s="6" t="s">
        <v>65</v>
      </c>
      <c r="J44" s="6" t="s">
        <v>65</v>
      </c>
      <c r="K44" s="8">
        <v>0</v>
      </c>
      <c r="L44" s="6" t="s">
        <v>65</v>
      </c>
      <c r="M44" s="6" t="s">
        <v>132</v>
      </c>
      <c r="N44" s="6" t="s">
        <v>69</v>
      </c>
      <c r="O44" s="6" t="s">
        <v>65</v>
      </c>
      <c r="P44" s="6" t="s">
        <v>133</v>
      </c>
      <c r="Q44" s="6" t="s">
        <v>65</v>
      </c>
      <c r="R44" s="6" t="s">
        <v>54</v>
      </c>
      <c r="S44" s="6" t="s">
        <v>134</v>
      </c>
      <c r="T44" s="6" t="s">
        <v>65</v>
      </c>
      <c r="U44" s="6" t="s">
        <v>65</v>
      </c>
      <c r="V44" s="6" t="s">
        <v>65</v>
      </c>
      <c r="W44" s="6" t="s">
        <v>65</v>
      </c>
      <c r="X44" s="7" t="s">
        <v>65</v>
      </c>
      <c r="Y44" s="6" t="s">
        <v>135</v>
      </c>
      <c r="Z44" s="6" t="s">
        <v>136</v>
      </c>
    </row>
    <row r="45" spans="1:26" ht="27">
      <c r="A45" s="6" t="s">
        <v>178</v>
      </c>
      <c r="B45" s="6" t="s">
        <v>80</v>
      </c>
      <c r="C45" s="6" t="s">
        <v>65</v>
      </c>
      <c r="D45" s="6" t="s">
        <v>65</v>
      </c>
      <c r="E45" s="6" t="s">
        <v>131</v>
      </c>
      <c r="F45" s="6" t="s">
        <v>65</v>
      </c>
      <c r="G45" s="7" t="s">
        <v>65</v>
      </c>
      <c r="H45" s="6" t="s">
        <v>65</v>
      </c>
      <c r="I45" s="6" t="s">
        <v>65</v>
      </c>
      <c r="J45" s="6" t="s">
        <v>65</v>
      </c>
      <c r="K45" s="8">
        <v>0</v>
      </c>
      <c r="L45" s="6" t="s">
        <v>65</v>
      </c>
      <c r="M45" s="6" t="s">
        <v>132</v>
      </c>
      <c r="N45" s="6" t="s">
        <v>69</v>
      </c>
      <c r="O45" s="6" t="s">
        <v>65</v>
      </c>
      <c r="P45" s="6" t="s">
        <v>133</v>
      </c>
      <c r="Q45" s="6" t="s">
        <v>65</v>
      </c>
      <c r="R45" s="6" t="s">
        <v>54</v>
      </c>
      <c r="S45" s="6" t="s">
        <v>134</v>
      </c>
      <c r="T45" s="6" t="s">
        <v>65</v>
      </c>
      <c r="U45" s="6" t="s">
        <v>65</v>
      </c>
      <c r="V45" s="6" t="s">
        <v>65</v>
      </c>
      <c r="W45" s="6" t="s">
        <v>65</v>
      </c>
      <c r="X45" s="7" t="s">
        <v>65</v>
      </c>
      <c r="Y45" s="6" t="s">
        <v>135</v>
      </c>
      <c r="Z45" s="6" t="s">
        <v>136</v>
      </c>
    </row>
    <row r="46" spans="1:26" ht="27">
      <c r="A46" s="6" t="s">
        <v>179</v>
      </c>
      <c r="B46" s="6" t="s">
        <v>80</v>
      </c>
      <c r="C46" s="6" t="s">
        <v>65</v>
      </c>
      <c r="D46" s="6" t="s">
        <v>65</v>
      </c>
      <c r="E46" s="6" t="s">
        <v>131</v>
      </c>
      <c r="F46" s="6" t="s">
        <v>65</v>
      </c>
      <c r="G46" s="7" t="s">
        <v>65</v>
      </c>
      <c r="H46" s="6" t="s">
        <v>65</v>
      </c>
      <c r="I46" s="6" t="s">
        <v>65</v>
      </c>
      <c r="J46" s="6" t="s">
        <v>65</v>
      </c>
      <c r="K46" s="8">
        <v>0</v>
      </c>
      <c r="L46" s="6" t="s">
        <v>65</v>
      </c>
      <c r="M46" s="6" t="s">
        <v>132</v>
      </c>
      <c r="N46" s="6" t="s">
        <v>69</v>
      </c>
      <c r="O46" s="6" t="s">
        <v>65</v>
      </c>
      <c r="P46" s="6" t="s">
        <v>133</v>
      </c>
      <c r="Q46" s="6" t="s">
        <v>65</v>
      </c>
      <c r="R46" s="6" t="s">
        <v>54</v>
      </c>
      <c r="S46" s="6" t="s">
        <v>134</v>
      </c>
      <c r="T46" s="6" t="s">
        <v>65</v>
      </c>
      <c r="U46" s="6" t="s">
        <v>65</v>
      </c>
      <c r="V46" s="6" t="s">
        <v>65</v>
      </c>
      <c r="W46" s="6" t="s">
        <v>65</v>
      </c>
      <c r="X46" s="7" t="s">
        <v>65</v>
      </c>
      <c r="Y46" s="6" t="s">
        <v>135</v>
      </c>
      <c r="Z46" s="6" t="s">
        <v>136</v>
      </c>
    </row>
    <row r="47" spans="1:26" ht="27">
      <c r="A47" s="6" t="s">
        <v>180</v>
      </c>
      <c r="B47" s="6" t="s">
        <v>80</v>
      </c>
      <c r="C47" s="6" t="s">
        <v>65</v>
      </c>
      <c r="D47" s="6" t="s">
        <v>65</v>
      </c>
      <c r="E47" s="6" t="s">
        <v>131</v>
      </c>
      <c r="F47" s="6" t="s">
        <v>65</v>
      </c>
      <c r="G47" s="7" t="s">
        <v>65</v>
      </c>
      <c r="H47" s="6" t="s">
        <v>65</v>
      </c>
      <c r="I47" s="6" t="s">
        <v>65</v>
      </c>
      <c r="J47" s="6" t="s">
        <v>65</v>
      </c>
      <c r="K47" s="8">
        <v>0</v>
      </c>
      <c r="L47" s="6" t="s">
        <v>65</v>
      </c>
      <c r="M47" s="6" t="s">
        <v>132</v>
      </c>
      <c r="N47" s="6" t="s">
        <v>69</v>
      </c>
      <c r="O47" s="6" t="s">
        <v>65</v>
      </c>
      <c r="P47" s="6" t="s">
        <v>133</v>
      </c>
      <c r="Q47" s="6" t="s">
        <v>65</v>
      </c>
      <c r="R47" s="6" t="s">
        <v>54</v>
      </c>
      <c r="S47" s="6" t="s">
        <v>134</v>
      </c>
      <c r="T47" s="6" t="s">
        <v>65</v>
      </c>
      <c r="U47" s="6" t="s">
        <v>65</v>
      </c>
      <c r="V47" s="6" t="s">
        <v>65</v>
      </c>
      <c r="W47" s="6" t="s">
        <v>65</v>
      </c>
      <c r="X47" s="7" t="s">
        <v>65</v>
      </c>
      <c r="Y47" s="6" t="s">
        <v>135</v>
      </c>
      <c r="Z47" s="6" t="s">
        <v>136</v>
      </c>
    </row>
    <row r="48" spans="1:26" ht="27">
      <c r="A48" s="6" t="s">
        <v>181</v>
      </c>
      <c r="B48" s="6" t="s">
        <v>80</v>
      </c>
      <c r="C48" s="6" t="s">
        <v>65</v>
      </c>
      <c r="D48" s="6" t="s">
        <v>65</v>
      </c>
      <c r="E48" s="6" t="s">
        <v>131</v>
      </c>
      <c r="F48" s="6" t="s">
        <v>65</v>
      </c>
      <c r="G48" s="7" t="s">
        <v>65</v>
      </c>
      <c r="H48" s="6" t="s">
        <v>65</v>
      </c>
      <c r="I48" s="6" t="s">
        <v>65</v>
      </c>
      <c r="J48" s="6" t="s">
        <v>65</v>
      </c>
      <c r="K48" s="8">
        <v>0</v>
      </c>
      <c r="L48" s="6" t="s">
        <v>65</v>
      </c>
      <c r="M48" s="6" t="s">
        <v>132</v>
      </c>
      <c r="N48" s="6" t="s">
        <v>69</v>
      </c>
      <c r="O48" s="6" t="s">
        <v>65</v>
      </c>
      <c r="P48" s="6" t="s">
        <v>133</v>
      </c>
      <c r="Q48" s="6" t="s">
        <v>65</v>
      </c>
      <c r="R48" s="6" t="s">
        <v>54</v>
      </c>
      <c r="S48" s="6" t="s">
        <v>134</v>
      </c>
      <c r="T48" s="6" t="s">
        <v>65</v>
      </c>
      <c r="U48" s="6" t="s">
        <v>65</v>
      </c>
      <c r="V48" s="6" t="s">
        <v>65</v>
      </c>
      <c r="W48" s="6" t="s">
        <v>65</v>
      </c>
      <c r="X48" s="7" t="s">
        <v>65</v>
      </c>
      <c r="Y48" s="6" t="s">
        <v>135</v>
      </c>
      <c r="Z48" s="6" t="s">
        <v>136</v>
      </c>
    </row>
    <row r="49" spans="1:26" ht="27">
      <c r="A49" s="6" t="s">
        <v>182</v>
      </c>
      <c r="B49" s="6" t="s">
        <v>80</v>
      </c>
      <c r="C49" s="6" t="s">
        <v>65</v>
      </c>
      <c r="D49" s="6" t="s">
        <v>65</v>
      </c>
      <c r="E49" s="6" t="s">
        <v>131</v>
      </c>
      <c r="F49" s="6" t="s">
        <v>65</v>
      </c>
      <c r="G49" s="7" t="s">
        <v>65</v>
      </c>
      <c r="H49" s="6" t="s">
        <v>65</v>
      </c>
      <c r="I49" s="6" t="s">
        <v>65</v>
      </c>
      <c r="J49" s="6" t="s">
        <v>65</v>
      </c>
      <c r="K49" s="8">
        <v>0</v>
      </c>
      <c r="L49" s="6" t="s">
        <v>65</v>
      </c>
      <c r="M49" s="6" t="s">
        <v>132</v>
      </c>
      <c r="N49" s="6" t="s">
        <v>69</v>
      </c>
      <c r="O49" s="6" t="s">
        <v>65</v>
      </c>
      <c r="P49" s="6" t="s">
        <v>133</v>
      </c>
      <c r="Q49" s="6" t="s">
        <v>65</v>
      </c>
      <c r="R49" s="6" t="s">
        <v>54</v>
      </c>
      <c r="S49" s="6" t="s">
        <v>134</v>
      </c>
      <c r="T49" s="6" t="s">
        <v>65</v>
      </c>
      <c r="U49" s="6" t="s">
        <v>65</v>
      </c>
      <c r="V49" s="6" t="s">
        <v>65</v>
      </c>
      <c r="W49" s="6" t="s">
        <v>65</v>
      </c>
      <c r="X49" s="7" t="s">
        <v>65</v>
      </c>
      <c r="Y49" s="6" t="s">
        <v>135</v>
      </c>
      <c r="Z49" s="6" t="s">
        <v>136</v>
      </c>
    </row>
    <row r="50" spans="1:26" ht="27">
      <c r="A50" s="6" t="s">
        <v>183</v>
      </c>
      <c r="B50" s="6" t="s">
        <v>80</v>
      </c>
      <c r="C50" s="6" t="s">
        <v>65</v>
      </c>
      <c r="D50" s="6" t="s">
        <v>65</v>
      </c>
      <c r="E50" s="6" t="s">
        <v>131</v>
      </c>
      <c r="F50" s="6" t="s">
        <v>65</v>
      </c>
      <c r="G50" s="7" t="s">
        <v>65</v>
      </c>
      <c r="H50" s="6" t="s">
        <v>65</v>
      </c>
      <c r="I50" s="6" t="s">
        <v>65</v>
      </c>
      <c r="J50" s="6" t="s">
        <v>65</v>
      </c>
      <c r="K50" s="8">
        <v>0</v>
      </c>
      <c r="L50" s="6" t="s">
        <v>65</v>
      </c>
      <c r="M50" s="6" t="s">
        <v>132</v>
      </c>
      <c r="N50" s="6" t="s">
        <v>69</v>
      </c>
      <c r="O50" s="6" t="s">
        <v>65</v>
      </c>
      <c r="P50" s="6" t="s">
        <v>133</v>
      </c>
      <c r="Q50" s="6" t="s">
        <v>65</v>
      </c>
      <c r="R50" s="6" t="s">
        <v>54</v>
      </c>
      <c r="S50" s="6" t="s">
        <v>134</v>
      </c>
      <c r="T50" s="6" t="s">
        <v>65</v>
      </c>
      <c r="U50" s="6" t="s">
        <v>65</v>
      </c>
      <c r="V50" s="6" t="s">
        <v>65</v>
      </c>
      <c r="W50" s="6" t="s">
        <v>65</v>
      </c>
      <c r="X50" s="7" t="s">
        <v>65</v>
      </c>
      <c r="Y50" s="6" t="s">
        <v>135</v>
      </c>
      <c r="Z50" s="6" t="s">
        <v>136</v>
      </c>
    </row>
    <row r="51" spans="1:26" ht="27">
      <c r="A51" s="6" t="s">
        <v>184</v>
      </c>
      <c r="B51" s="6" t="s">
        <v>80</v>
      </c>
      <c r="C51" s="6" t="s">
        <v>65</v>
      </c>
      <c r="D51" s="6" t="s">
        <v>65</v>
      </c>
      <c r="E51" s="6" t="s">
        <v>131</v>
      </c>
      <c r="F51" s="6" t="s">
        <v>65</v>
      </c>
      <c r="G51" s="7" t="s">
        <v>65</v>
      </c>
      <c r="H51" s="6" t="s">
        <v>65</v>
      </c>
      <c r="I51" s="6" t="s">
        <v>65</v>
      </c>
      <c r="J51" s="6" t="s">
        <v>65</v>
      </c>
      <c r="K51" s="8">
        <v>0</v>
      </c>
      <c r="L51" s="6" t="s">
        <v>65</v>
      </c>
      <c r="M51" s="6" t="s">
        <v>132</v>
      </c>
      <c r="N51" s="6" t="s">
        <v>69</v>
      </c>
      <c r="O51" s="6" t="s">
        <v>65</v>
      </c>
      <c r="P51" s="6" t="s">
        <v>133</v>
      </c>
      <c r="Q51" s="6" t="s">
        <v>65</v>
      </c>
      <c r="R51" s="6" t="s">
        <v>54</v>
      </c>
      <c r="S51" s="6" t="s">
        <v>134</v>
      </c>
      <c r="T51" s="6" t="s">
        <v>65</v>
      </c>
      <c r="U51" s="6" t="s">
        <v>65</v>
      </c>
      <c r="V51" s="6" t="s">
        <v>65</v>
      </c>
      <c r="W51" s="6" t="s">
        <v>65</v>
      </c>
      <c r="X51" s="7" t="s">
        <v>65</v>
      </c>
      <c r="Y51" s="6" t="s">
        <v>135</v>
      </c>
      <c r="Z51" s="6" t="s">
        <v>136</v>
      </c>
    </row>
    <row r="52" spans="1:26" ht="27">
      <c r="A52" s="6" t="s">
        <v>185</v>
      </c>
      <c r="B52" s="6" t="s">
        <v>80</v>
      </c>
      <c r="C52" s="6" t="s">
        <v>65</v>
      </c>
      <c r="D52" s="6" t="s">
        <v>65</v>
      </c>
      <c r="E52" s="6" t="s">
        <v>131</v>
      </c>
      <c r="F52" s="6" t="s">
        <v>65</v>
      </c>
      <c r="G52" s="7" t="s">
        <v>65</v>
      </c>
      <c r="H52" s="6" t="s">
        <v>65</v>
      </c>
      <c r="I52" s="6" t="s">
        <v>65</v>
      </c>
      <c r="J52" s="6" t="s">
        <v>65</v>
      </c>
      <c r="K52" s="8">
        <v>0</v>
      </c>
      <c r="L52" s="6" t="s">
        <v>65</v>
      </c>
      <c r="M52" s="6" t="s">
        <v>132</v>
      </c>
      <c r="N52" s="6" t="s">
        <v>69</v>
      </c>
      <c r="O52" s="6" t="s">
        <v>65</v>
      </c>
      <c r="P52" s="6" t="s">
        <v>133</v>
      </c>
      <c r="Q52" s="6" t="s">
        <v>65</v>
      </c>
      <c r="R52" s="6" t="s">
        <v>54</v>
      </c>
      <c r="S52" s="6" t="s">
        <v>134</v>
      </c>
      <c r="T52" s="6" t="s">
        <v>65</v>
      </c>
      <c r="U52" s="6" t="s">
        <v>65</v>
      </c>
      <c r="V52" s="6" t="s">
        <v>65</v>
      </c>
      <c r="W52" s="6" t="s">
        <v>65</v>
      </c>
      <c r="X52" s="7" t="s">
        <v>65</v>
      </c>
      <c r="Y52" s="6" t="s">
        <v>135</v>
      </c>
      <c r="Z52" s="6" t="s">
        <v>136</v>
      </c>
    </row>
    <row r="53" spans="1:26" ht="27">
      <c r="A53" s="6" t="s">
        <v>186</v>
      </c>
      <c r="B53" s="6" t="s">
        <v>80</v>
      </c>
      <c r="C53" s="6" t="s">
        <v>65</v>
      </c>
      <c r="D53" s="6" t="s">
        <v>65</v>
      </c>
      <c r="E53" s="6" t="s">
        <v>131</v>
      </c>
      <c r="F53" s="6" t="s">
        <v>65</v>
      </c>
      <c r="G53" s="7" t="s">
        <v>65</v>
      </c>
      <c r="H53" s="6" t="s">
        <v>65</v>
      </c>
      <c r="I53" s="6" t="s">
        <v>65</v>
      </c>
      <c r="J53" s="6" t="s">
        <v>65</v>
      </c>
      <c r="K53" s="8">
        <v>0</v>
      </c>
      <c r="L53" s="6" t="s">
        <v>65</v>
      </c>
      <c r="M53" s="6" t="s">
        <v>132</v>
      </c>
      <c r="N53" s="6" t="s">
        <v>69</v>
      </c>
      <c r="O53" s="6" t="s">
        <v>65</v>
      </c>
      <c r="P53" s="6" t="s">
        <v>133</v>
      </c>
      <c r="Q53" s="6" t="s">
        <v>65</v>
      </c>
      <c r="R53" s="6" t="s">
        <v>54</v>
      </c>
      <c r="S53" s="6" t="s">
        <v>134</v>
      </c>
      <c r="T53" s="6" t="s">
        <v>65</v>
      </c>
      <c r="U53" s="6" t="s">
        <v>65</v>
      </c>
      <c r="V53" s="6" t="s">
        <v>65</v>
      </c>
      <c r="W53" s="6" t="s">
        <v>65</v>
      </c>
      <c r="X53" s="7" t="s">
        <v>65</v>
      </c>
      <c r="Y53" s="6" t="s">
        <v>135</v>
      </c>
      <c r="Z53" s="6" t="s">
        <v>136</v>
      </c>
    </row>
    <row r="54" spans="1:26" ht="27">
      <c r="A54" s="6" t="s">
        <v>187</v>
      </c>
      <c r="B54" s="6" t="s">
        <v>80</v>
      </c>
      <c r="C54" s="6" t="s">
        <v>65</v>
      </c>
      <c r="D54" s="6" t="s">
        <v>65</v>
      </c>
      <c r="E54" s="6" t="s">
        <v>131</v>
      </c>
      <c r="F54" s="6" t="s">
        <v>65</v>
      </c>
      <c r="G54" s="7" t="s">
        <v>65</v>
      </c>
      <c r="H54" s="6" t="s">
        <v>65</v>
      </c>
      <c r="I54" s="6" t="s">
        <v>65</v>
      </c>
      <c r="J54" s="6" t="s">
        <v>65</v>
      </c>
      <c r="K54" s="8">
        <v>0</v>
      </c>
      <c r="L54" s="6" t="s">
        <v>65</v>
      </c>
      <c r="M54" s="6" t="s">
        <v>132</v>
      </c>
      <c r="N54" s="6" t="s">
        <v>69</v>
      </c>
      <c r="O54" s="6" t="s">
        <v>65</v>
      </c>
      <c r="P54" s="6" t="s">
        <v>133</v>
      </c>
      <c r="Q54" s="6" t="s">
        <v>65</v>
      </c>
      <c r="R54" s="6" t="s">
        <v>54</v>
      </c>
      <c r="S54" s="6" t="s">
        <v>134</v>
      </c>
      <c r="T54" s="6" t="s">
        <v>65</v>
      </c>
      <c r="U54" s="6" t="s">
        <v>65</v>
      </c>
      <c r="V54" s="6" t="s">
        <v>65</v>
      </c>
      <c r="W54" s="6" t="s">
        <v>65</v>
      </c>
      <c r="X54" s="7" t="s">
        <v>65</v>
      </c>
      <c r="Y54" s="6" t="s">
        <v>135</v>
      </c>
      <c r="Z54" s="6" t="s">
        <v>136</v>
      </c>
    </row>
    <row r="55" spans="1:26" ht="27">
      <c r="A55" s="6" t="s">
        <v>188</v>
      </c>
      <c r="B55" s="6" t="s">
        <v>80</v>
      </c>
      <c r="C55" s="6" t="s">
        <v>65</v>
      </c>
      <c r="D55" s="6" t="s">
        <v>65</v>
      </c>
      <c r="E55" s="6" t="s">
        <v>131</v>
      </c>
      <c r="F55" s="6" t="s">
        <v>65</v>
      </c>
      <c r="G55" s="7" t="s">
        <v>65</v>
      </c>
      <c r="H55" s="6" t="s">
        <v>65</v>
      </c>
      <c r="I55" s="6" t="s">
        <v>65</v>
      </c>
      <c r="J55" s="6" t="s">
        <v>65</v>
      </c>
      <c r="K55" s="8">
        <v>0</v>
      </c>
      <c r="L55" s="6" t="s">
        <v>65</v>
      </c>
      <c r="M55" s="6" t="s">
        <v>132</v>
      </c>
      <c r="N55" s="6" t="s">
        <v>69</v>
      </c>
      <c r="O55" s="6" t="s">
        <v>65</v>
      </c>
      <c r="P55" s="6" t="s">
        <v>133</v>
      </c>
      <c r="Q55" s="6" t="s">
        <v>65</v>
      </c>
      <c r="R55" s="6" t="s">
        <v>54</v>
      </c>
      <c r="S55" s="6" t="s">
        <v>134</v>
      </c>
      <c r="T55" s="6" t="s">
        <v>65</v>
      </c>
      <c r="U55" s="6" t="s">
        <v>65</v>
      </c>
      <c r="V55" s="6" t="s">
        <v>65</v>
      </c>
      <c r="W55" s="6" t="s">
        <v>65</v>
      </c>
      <c r="X55" s="7" t="s">
        <v>65</v>
      </c>
      <c r="Y55" s="6" t="s">
        <v>135</v>
      </c>
      <c r="Z55" s="6" t="s">
        <v>136</v>
      </c>
    </row>
    <row r="56" spans="1:26" ht="27">
      <c r="A56" s="6" t="s">
        <v>189</v>
      </c>
      <c r="B56" s="6" t="s">
        <v>80</v>
      </c>
      <c r="C56" s="6" t="s">
        <v>65</v>
      </c>
      <c r="D56" s="6" t="s">
        <v>65</v>
      </c>
      <c r="E56" s="6" t="s">
        <v>131</v>
      </c>
      <c r="F56" s="6" t="s">
        <v>65</v>
      </c>
      <c r="G56" s="7" t="s">
        <v>65</v>
      </c>
      <c r="H56" s="6" t="s">
        <v>65</v>
      </c>
      <c r="I56" s="6" t="s">
        <v>65</v>
      </c>
      <c r="J56" s="6" t="s">
        <v>65</v>
      </c>
      <c r="K56" s="8">
        <v>0</v>
      </c>
      <c r="L56" s="6" t="s">
        <v>65</v>
      </c>
      <c r="M56" s="6" t="s">
        <v>132</v>
      </c>
      <c r="N56" s="6" t="s">
        <v>69</v>
      </c>
      <c r="O56" s="6" t="s">
        <v>65</v>
      </c>
      <c r="P56" s="6" t="s">
        <v>133</v>
      </c>
      <c r="Q56" s="6" t="s">
        <v>65</v>
      </c>
      <c r="R56" s="6" t="s">
        <v>54</v>
      </c>
      <c r="S56" s="6" t="s">
        <v>134</v>
      </c>
      <c r="T56" s="6" t="s">
        <v>65</v>
      </c>
      <c r="U56" s="6" t="s">
        <v>65</v>
      </c>
      <c r="V56" s="6" t="s">
        <v>65</v>
      </c>
      <c r="W56" s="6" t="s">
        <v>65</v>
      </c>
      <c r="X56" s="7" t="s">
        <v>65</v>
      </c>
      <c r="Y56" s="6" t="s">
        <v>135</v>
      </c>
      <c r="Z56" s="6" t="s">
        <v>136</v>
      </c>
    </row>
    <row r="57" spans="1:26" ht="27">
      <c r="A57" s="6" t="s">
        <v>190</v>
      </c>
      <c r="B57" s="6" t="s">
        <v>80</v>
      </c>
      <c r="C57" s="6" t="s">
        <v>65</v>
      </c>
      <c r="D57" s="6" t="s">
        <v>65</v>
      </c>
      <c r="E57" s="6" t="s">
        <v>131</v>
      </c>
      <c r="F57" s="6" t="s">
        <v>65</v>
      </c>
      <c r="G57" s="7" t="s">
        <v>65</v>
      </c>
      <c r="H57" s="6" t="s">
        <v>65</v>
      </c>
      <c r="I57" s="6" t="s">
        <v>65</v>
      </c>
      <c r="J57" s="6" t="s">
        <v>65</v>
      </c>
      <c r="K57" s="8">
        <v>0</v>
      </c>
      <c r="L57" s="6" t="s">
        <v>65</v>
      </c>
      <c r="M57" s="6" t="s">
        <v>132</v>
      </c>
      <c r="N57" s="6" t="s">
        <v>69</v>
      </c>
      <c r="O57" s="6" t="s">
        <v>65</v>
      </c>
      <c r="P57" s="6" t="s">
        <v>133</v>
      </c>
      <c r="Q57" s="6" t="s">
        <v>65</v>
      </c>
      <c r="R57" s="6" t="s">
        <v>54</v>
      </c>
      <c r="S57" s="6" t="s">
        <v>134</v>
      </c>
      <c r="T57" s="6" t="s">
        <v>65</v>
      </c>
      <c r="U57" s="6" t="s">
        <v>65</v>
      </c>
      <c r="V57" s="6" t="s">
        <v>65</v>
      </c>
      <c r="W57" s="6" t="s">
        <v>65</v>
      </c>
      <c r="X57" s="7" t="s">
        <v>65</v>
      </c>
      <c r="Y57" s="6" t="s">
        <v>135</v>
      </c>
      <c r="Z57" s="6" t="s">
        <v>136</v>
      </c>
    </row>
    <row r="58" spans="1:26" ht="27">
      <c r="A58" s="6" t="s">
        <v>191</v>
      </c>
      <c r="B58" s="6" t="s">
        <v>80</v>
      </c>
      <c r="C58" s="6" t="s">
        <v>65</v>
      </c>
      <c r="D58" s="6" t="s">
        <v>65</v>
      </c>
      <c r="E58" s="6" t="s">
        <v>131</v>
      </c>
      <c r="F58" s="6" t="s">
        <v>65</v>
      </c>
      <c r="G58" s="7" t="s">
        <v>65</v>
      </c>
      <c r="H58" s="6" t="s">
        <v>65</v>
      </c>
      <c r="I58" s="6" t="s">
        <v>65</v>
      </c>
      <c r="J58" s="6" t="s">
        <v>65</v>
      </c>
      <c r="K58" s="8">
        <v>0</v>
      </c>
      <c r="L58" s="6" t="s">
        <v>65</v>
      </c>
      <c r="M58" s="6" t="s">
        <v>132</v>
      </c>
      <c r="N58" s="6" t="s">
        <v>69</v>
      </c>
      <c r="O58" s="6" t="s">
        <v>65</v>
      </c>
      <c r="P58" s="6" t="s">
        <v>133</v>
      </c>
      <c r="Q58" s="6" t="s">
        <v>65</v>
      </c>
      <c r="R58" s="6" t="s">
        <v>54</v>
      </c>
      <c r="S58" s="6" t="s">
        <v>134</v>
      </c>
      <c r="T58" s="6" t="s">
        <v>65</v>
      </c>
      <c r="U58" s="6" t="s">
        <v>65</v>
      </c>
      <c r="V58" s="6" t="s">
        <v>65</v>
      </c>
      <c r="W58" s="6" t="s">
        <v>65</v>
      </c>
      <c r="X58" s="7" t="s">
        <v>65</v>
      </c>
      <c r="Y58" s="6" t="s">
        <v>135</v>
      </c>
      <c r="Z58" s="6" t="s">
        <v>136</v>
      </c>
    </row>
    <row r="59" spans="1:26" ht="27">
      <c r="A59" s="6" t="s">
        <v>192</v>
      </c>
      <c r="B59" s="6" t="s">
        <v>80</v>
      </c>
      <c r="C59" s="6" t="s">
        <v>65</v>
      </c>
      <c r="D59" s="6" t="s">
        <v>65</v>
      </c>
      <c r="E59" s="6" t="s">
        <v>131</v>
      </c>
      <c r="F59" s="6" t="s">
        <v>65</v>
      </c>
      <c r="G59" s="7" t="s">
        <v>65</v>
      </c>
      <c r="H59" s="6" t="s">
        <v>65</v>
      </c>
      <c r="I59" s="6" t="s">
        <v>65</v>
      </c>
      <c r="J59" s="6" t="s">
        <v>65</v>
      </c>
      <c r="K59" s="8">
        <v>0</v>
      </c>
      <c r="L59" s="6" t="s">
        <v>65</v>
      </c>
      <c r="M59" s="6" t="s">
        <v>132</v>
      </c>
      <c r="N59" s="6" t="s">
        <v>69</v>
      </c>
      <c r="O59" s="6" t="s">
        <v>65</v>
      </c>
      <c r="P59" s="6" t="s">
        <v>133</v>
      </c>
      <c r="Q59" s="6" t="s">
        <v>65</v>
      </c>
      <c r="R59" s="6" t="s">
        <v>54</v>
      </c>
      <c r="S59" s="6" t="s">
        <v>134</v>
      </c>
      <c r="T59" s="6" t="s">
        <v>65</v>
      </c>
      <c r="U59" s="6" t="s">
        <v>65</v>
      </c>
      <c r="V59" s="6" t="s">
        <v>65</v>
      </c>
      <c r="W59" s="6" t="s">
        <v>65</v>
      </c>
      <c r="X59" s="7" t="s">
        <v>65</v>
      </c>
      <c r="Y59" s="6" t="s">
        <v>135</v>
      </c>
      <c r="Z59" s="6" t="s">
        <v>136</v>
      </c>
    </row>
    <row r="60" spans="1:26" ht="27">
      <c r="A60" s="6" t="s">
        <v>193</v>
      </c>
      <c r="B60" s="6" t="s">
        <v>80</v>
      </c>
      <c r="C60" s="6" t="s">
        <v>65</v>
      </c>
      <c r="D60" s="6" t="s">
        <v>65</v>
      </c>
      <c r="E60" s="6" t="s">
        <v>131</v>
      </c>
      <c r="F60" s="6" t="s">
        <v>65</v>
      </c>
      <c r="G60" s="7" t="s">
        <v>65</v>
      </c>
      <c r="H60" s="6" t="s">
        <v>65</v>
      </c>
      <c r="I60" s="6" t="s">
        <v>65</v>
      </c>
      <c r="J60" s="6" t="s">
        <v>65</v>
      </c>
      <c r="K60" s="8">
        <v>0</v>
      </c>
      <c r="L60" s="6" t="s">
        <v>65</v>
      </c>
      <c r="M60" s="6" t="s">
        <v>132</v>
      </c>
      <c r="N60" s="6" t="s">
        <v>69</v>
      </c>
      <c r="O60" s="6" t="s">
        <v>65</v>
      </c>
      <c r="P60" s="6" t="s">
        <v>133</v>
      </c>
      <c r="Q60" s="6" t="s">
        <v>65</v>
      </c>
      <c r="R60" s="6" t="s">
        <v>54</v>
      </c>
      <c r="S60" s="6" t="s">
        <v>134</v>
      </c>
      <c r="T60" s="6" t="s">
        <v>65</v>
      </c>
      <c r="U60" s="6" t="s">
        <v>65</v>
      </c>
      <c r="V60" s="6" t="s">
        <v>65</v>
      </c>
      <c r="W60" s="6" t="s">
        <v>65</v>
      </c>
      <c r="X60" s="7" t="s">
        <v>65</v>
      </c>
      <c r="Y60" s="6" t="s">
        <v>135</v>
      </c>
      <c r="Z60" s="6" t="s">
        <v>136</v>
      </c>
    </row>
    <row r="61" spans="1:26" ht="27">
      <c r="A61" s="6" t="s">
        <v>194</v>
      </c>
      <c r="B61" s="6" t="s">
        <v>80</v>
      </c>
      <c r="C61" s="6" t="s">
        <v>65</v>
      </c>
      <c r="D61" s="6" t="s">
        <v>65</v>
      </c>
      <c r="E61" s="6" t="s">
        <v>131</v>
      </c>
      <c r="F61" s="6" t="s">
        <v>65</v>
      </c>
      <c r="G61" s="7" t="s">
        <v>65</v>
      </c>
      <c r="H61" s="6" t="s">
        <v>65</v>
      </c>
      <c r="I61" s="6" t="s">
        <v>65</v>
      </c>
      <c r="J61" s="6" t="s">
        <v>65</v>
      </c>
      <c r="K61" s="8">
        <v>0</v>
      </c>
      <c r="L61" s="6" t="s">
        <v>65</v>
      </c>
      <c r="M61" s="6" t="s">
        <v>132</v>
      </c>
      <c r="N61" s="6" t="s">
        <v>69</v>
      </c>
      <c r="O61" s="6" t="s">
        <v>65</v>
      </c>
      <c r="P61" s="6" t="s">
        <v>133</v>
      </c>
      <c r="Q61" s="6" t="s">
        <v>65</v>
      </c>
      <c r="R61" s="6" t="s">
        <v>54</v>
      </c>
      <c r="S61" s="6" t="s">
        <v>134</v>
      </c>
      <c r="T61" s="6" t="s">
        <v>65</v>
      </c>
      <c r="U61" s="6" t="s">
        <v>65</v>
      </c>
      <c r="V61" s="6" t="s">
        <v>65</v>
      </c>
      <c r="W61" s="6" t="s">
        <v>65</v>
      </c>
      <c r="X61" s="7" t="s">
        <v>65</v>
      </c>
      <c r="Y61" s="6" t="s">
        <v>135</v>
      </c>
      <c r="Z61" s="6" t="s">
        <v>136</v>
      </c>
    </row>
    <row r="62" spans="1:26" ht="27">
      <c r="A62" s="6" t="s">
        <v>195</v>
      </c>
      <c r="B62" s="6" t="s">
        <v>80</v>
      </c>
      <c r="C62" s="6" t="s">
        <v>65</v>
      </c>
      <c r="D62" s="6" t="s">
        <v>65</v>
      </c>
      <c r="E62" s="6" t="s">
        <v>131</v>
      </c>
      <c r="F62" s="6" t="s">
        <v>65</v>
      </c>
      <c r="G62" s="7" t="s">
        <v>65</v>
      </c>
      <c r="H62" s="6" t="s">
        <v>65</v>
      </c>
      <c r="I62" s="6" t="s">
        <v>65</v>
      </c>
      <c r="J62" s="6" t="s">
        <v>65</v>
      </c>
      <c r="K62" s="8">
        <v>0</v>
      </c>
      <c r="L62" s="6" t="s">
        <v>65</v>
      </c>
      <c r="M62" s="6" t="s">
        <v>132</v>
      </c>
      <c r="N62" s="6" t="s">
        <v>69</v>
      </c>
      <c r="O62" s="6" t="s">
        <v>65</v>
      </c>
      <c r="P62" s="6" t="s">
        <v>133</v>
      </c>
      <c r="Q62" s="6" t="s">
        <v>65</v>
      </c>
      <c r="R62" s="6" t="s">
        <v>54</v>
      </c>
      <c r="S62" s="6" t="s">
        <v>134</v>
      </c>
      <c r="T62" s="6" t="s">
        <v>65</v>
      </c>
      <c r="U62" s="6" t="s">
        <v>65</v>
      </c>
      <c r="V62" s="6" t="s">
        <v>65</v>
      </c>
      <c r="W62" s="6" t="s">
        <v>65</v>
      </c>
      <c r="X62" s="7" t="s">
        <v>65</v>
      </c>
      <c r="Y62" s="6" t="s">
        <v>135</v>
      </c>
      <c r="Z62" s="6" t="s">
        <v>136</v>
      </c>
    </row>
    <row r="63" spans="1:26" ht="27">
      <c r="A63" s="6" t="s">
        <v>196</v>
      </c>
      <c r="B63" s="6" t="s">
        <v>80</v>
      </c>
      <c r="C63" s="6" t="s">
        <v>65</v>
      </c>
      <c r="D63" s="6" t="s">
        <v>65</v>
      </c>
      <c r="E63" s="6" t="s">
        <v>131</v>
      </c>
      <c r="F63" s="6" t="s">
        <v>65</v>
      </c>
      <c r="G63" s="7" t="s">
        <v>65</v>
      </c>
      <c r="H63" s="6" t="s">
        <v>65</v>
      </c>
      <c r="I63" s="6" t="s">
        <v>65</v>
      </c>
      <c r="J63" s="6" t="s">
        <v>65</v>
      </c>
      <c r="K63" s="8">
        <v>0</v>
      </c>
      <c r="L63" s="6" t="s">
        <v>65</v>
      </c>
      <c r="M63" s="6" t="s">
        <v>132</v>
      </c>
      <c r="N63" s="6" t="s">
        <v>69</v>
      </c>
      <c r="O63" s="6" t="s">
        <v>65</v>
      </c>
      <c r="P63" s="6" t="s">
        <v>133</v>
      </c>
      <c r="Q63" s="6" t="s">
        <v>65</v>
      </c>
      <c r="R63" s="6" t="s">
        <v>54</v>
      </c>
      <c r="S63" s="6" t="s">
        <v>134</v>
      </c>
      <c r="T63" s="6" t="s">
        <v>65</v>
      </c>
      <c r="U63" s="6" t="s">
        <v>65</v>
      </c>
      <c r="V63" s="6" t="s">
        <v>65</v>
      </c>
      <c r="W63" s="6" t="s">
        <v>65</v>
      </c>
      <c r="X63" s="7" t="s">
        <v>65</v>
      </c>
      <c r="Y63" s="6" t="s">
        <v>135</v>
      </c>
      <c r="Z63" s="6" t="s">
        <v>136</v>
      </c>
    </row>
    <row r="64" spans="1:26" ht="27">
      <c r="A64" s="6" t="s">
        <v>197</v>
      </c>
      <c r="B64" s="6" t="s">
        <v>80</v>
      </c>
      <c r="C64" s="6" t="s">
        <v>65</v>
      </c>
      <c r="D64" s="6" t="s">
        <v>65</v>
      </c>
      <c r="E64" s="6" t="s">
        <v>131</v>
      </c>
      <c r="F64" s="6" t="s">
        <v>65</v>
      </c>
      <c r="G64" s="7" t="s">
        <v>65</v>
      </c>
      <c r="H64" s="6" t="s">
        <v>65</v>
      </c>
      <c r="I64" s="6" t="s">
        <v>65</v>
      </c>
      <c r="J64" s="6" t="s">
        <v>65</v>
      </c>
      <c r="K64" s="8">
        <v>0</v>
      </c>
      <c r="L64" s="6" t="s">
        <v>65</v>
      </c>
      <c r="M64" s="6" t="s">
        <v>132</v>
      </c>
      <c r="N64" s="6" t="s">
        <v>69</v>
      </c>
      <c r="O64" s="6" t="s">
        <v>65</v>
      </c>
      <c r="P64" s="6" t="s">
        <v>133</v>
      </c>
      <c r="Q64" s="6" t="s">
        <v>65</v>
      </c>
      <c r="R64" s="6" t="s">
        <v>54</v>
      </c>
      <c r="S64" s="6" t="s">
        <v>134</v>
      </c>
      <c r="T64" s="6" t="s">
        <v>65</v>
      </c>
      <c r="U64" s="6" t="s">
        <v>65</v>
      </c>
      <c r="V64" s="6" t="s">
        <v>65</v>
      </c>
      <c r="W64" s="6" t="s">
        <v>65</v>
      </c>
      <c r="X64" s="7" t="s">
        <v>65</v>
      </c>
      <c r="Y64" s="6" t="s">
        <v>135</v>
      </c>
      <c r="Z64" s="6" t="s">
        <v>136</v>
      </c>
    </row>
    <row r="65" spans="1:26" ht="27">
      <c r="A65" s="6" t="s">
        <v>198</v>
      </c>
      <c r="B65" s="6" t="s">
        <v>80</v>
      </c>
      <c r="C65" s="6" t="s">
        <v>65</v>
      </c>
      <c r="D65" s="6" t="s">
        <v>65</v>
      </c>
      <c r="E65" s="6" t="s">
        <v>131</v>
      </c>
      <c r="F65" s="6" t="s">
        <v>65</v>
      </c>
      <c r="G65" s="7" t="s">
        <v>65</v>
      </c>
      <c r="H65" s="6" t="s">
        <v>65</v>
      </c>
      <c r="I65" s="6" t="s">
        <v>65</v>
      </c>
      <c r="J65" s="6" t="s">
        <v>65</v>
      </c>
      <c r="K65" s="8">
        <v>0</v>
      </c>
      <c r="L65" s="6" t="s">
        <v>65</v>
      </c>
      <c r="M65" s="6" t="s">
        <v>132</v>
      </c>
      <c r="N65" s="6" t="s">
        <v>69</v>
      </c>
      <c r="O65" s="6" t="s">
        <v>65</v>
      </c>
      <c r="P65" s="6" t="s">
        <v>133</v>
      </c>
      <c r="Q65" s="6" t="s">
        <v>65</v>
      </c>
      <c r="R65" s="6" t="s">
        <v>54</v>
      </c>
      <c r="S65" s="6" t="s">
        <v>134</v>
      </c>
      <c r="T65" s="6" t="s">
        <v>65</v>
      </c>
      <c r="U65" s="6" t="s">
        <v>65</v>
      </c>
      <c r="V65" s="6" t="s">
        <v>65</v>
      </c>
      <c r="W65" s="6" t="s">
        <v>65</v>
      </c>
      <c r="X65" s="7" t="s">
        <v>65</v>
      </c>
      <c r="Y65" s="6" t="s">
        <v>135</v>
      </c>
      <c r="Z65" s="6" t="s">
        <v>136</v>
      </c>
    </row>
    <row r="66" spans="1:26" ht="27">
      <c r="A66" s="6" t="s">
        <v>199</v>
      </c>
      <c r="B66" s="6" t="s">
        <v>80</v>
      </c>
      <c r="C66" s="6" t="s">
        <v>65</v>
      </c>
      <c r="D66" s="6" t="s">
        <v>65</v>
      </c>
      <c r="E66" s="6" t="s">
        <v>131</v>
      </c>
      <c r="F66" s="6" t="s">
        <v>65</v>
      </c>
      <c r="G66" s="7" t="s">
        <v>65</v>
      </c>
      <c r="H66" s="6" t="s">
        <v>65</v>
      </c>
      <c r="I66" s="6" t="s">
        <v>65</v>
      </c>
      <c r="J66" s="6" t="s">
        <v>65</v>
      </c>
      <c r="K66" s="8">
        <v>0</v>
      </c>
      <c r="L66" s="6" t="s">
        <v>65</v>
      </c>
      <c r="M66" s="6" t="s">
        <v>132</v>
      </c>
      <c r="N66" s="6" t="s">
        <v>69</v>
      </c>
      <c r="O66" s="6" t="s">
        <v>65</v>
      </c>
      <c r="P66" s="6" t="s">
        <v>133</v>
      </c>
      <c r="Q66" s="6" t="s">
        <v>65</v>
      </c>
      <c r="R66" s="6" t="s">
        <v>54</v>
      </c>
      <c r="S66" s="6" t="s">
        <v>134</v>
      </c>
      <c r="T66" s="6" t="s">
        <v>65</v>
      </c>
      <c r="U66" s="6" t="s">
        <v>65</v>
      </c>
      <c r="V66" s="6" t="s">
        <v>65</v>
      </c>
      <c r="W66" s="6" t="s">
        <v>65</v>
      </c>
      <c r="X66" s="7" t="s">
        <v>65</v>
      </c>
      <c r="Y66" s="6" t="s">
        <v>135</v>
      </c>
      <c r="Z66" s="6" t="s">
        <v>136</v>
      </c>
    </row>
    <row r="67" spans="1:26" ht="27">
      <c r="A67" s="6" t="s">
        <v>200</v>
      </c>
      <c r="B67" s="6" t="s">
        <v>80</v>
      </c>
      <c r="C67" s="6" t="s">
        <v>65</v>
      </c>
      <c r="D67" s="6" t="s">
        <v>65</v>
      </c>
      <c r="E67" s="6" t="s">
        <v>131</v>
      </c>
      <c r="F67" s="6" t="s">
        <v>65</v>
      </c>
      <c r="G67" s="7" t="s">
        <v>65</v>
      </c>
      <c r="H67" s="6" t="s">
        <v>65</v>
      </c>
      <c r="I67" s="6" t="s">
        <v>65</v>
      </c>
      <c r="J67" s="6" t="s">
        <v>65</v>
      </c>
      <c r="K67" s="8">
        <v>0</v>
      </c>
      <c r="L67" s="6" t="s">
        <v>65</v>
      </c>
      <c r="M67" s="6" t="s">
        <v>132</v>
      </c>
      <c r="N67" s="6" t="s">
        <v>69</v>
      </c>
      <c r="O67" s="6" t="s">
        <v>65</v>
      </c>
      <c r="P67" s="6" t="s">
        <v>133</v>
      </c>
      <c r="Q67" s="6" t="s">
        <v>65</v>
      </c>
      <c r="R67" s="6" t="s">
        <v>54</v>
      </c>
      <c r="S67" s="6" t="s">
        <v>134</v>
      </c>
      <c r="T67" s="6" t="s">
        <v>65</v>
      </c>
      <c r="U67" s="6" t="s">
        <v>65</v>
      </c>
      <c r="V67" s="6" t="s">
        <v>65</v>
      </c>
      <c r="W67" s="6" t="s">
        <v>65</v>
      </c>
      <c r="X67" s="7" t="s">
        <v>65</v>
      </c>
      <c r="Y67" s="6" t="s">
        <v>135</v>
      </c>
      <c r="Z67" s="6" t="s">
        <v>136</v>
      </c>
    </row>
    <row r="68" spans="1:26" ht="27">
      <c r="A68" s="6" t="s">
        <v>201</v>
      </c>
      <c r="B68" s="6" t="s">
        <v>80</v>
      </c>
      <c r="C68" s="6" t="s">
        <v>65</v>
      </c>
      <c r="D68" s="6" t="s">
        <v>65</v>
      </c>
      <c r="E68" s="6" t="s">
        <v>131</v>
      </c>
      <c r="F68" s="6" t="s">
        <v>65</v>
      </c>
      <c r="G68" s="7" t="s">
        <v>65</v>
      </c>
      <c r="H68" s="6" t="s">
        <v>65</v>
      </c>
      <c r="I68" s="6" t="s">
        <v>65</v>
      </c>
      <c r="J68" s="6" t="s">
        <v>65</v>
      </c>
      <c r="K68" s="8">
        <v>0</v>
      </c>
      <c r="L68" s="6" t="s">
        <v>65</v>
      </c>
      <c r="M68" s="6" t="s">
        <v>132</v>
      </c>
      <c r="N68" s="6" t="s">
        <v>69</v>
      </c>
      <c r="O68" s="6" t="s">
        <v>65</v>
      </c>
      <c r="P68" s="6" t="s">
        <v>133</v>
      </c>
      <c r="Q68" s="6" t="s">
        <v>65</v>
      </c>
      <c r="R68" s="6" t="s">
        <v>54</v>
      </c>
      <c r="S68" s="6" t="s">
        <v>134</v>
      </c>
      <c r="T68" s="6" t="s">
        <v>65</v>
      </c>
      <c r="U68" s="6" t="s">
        <v>65</v>
      </c>
      <c r="V68" s="6" t="s">
        <v>65</v>
      </c>
      <c r="W68" s="6" t="s">
        <v>65</v>
      </c>
      <c r="X68" s="7" t="s">
        <v>65</v>
      </c>
      <c r="Y68" s="6" t="s">
        <v>135</v>
      </c>
      <c r="Z68" s="6" t="s">
        <v>136</v>
      </c>
    </row>
    <row r="69" spans="1:26" ht="27">
      <c r="A69" s="6" t="s">
        <v>202</v>
      </c>
      <c r="B69" s="6" t="s">
        <v>80</v>
      </c>
      <c r="C69" s="6" t="s">
        <v>65</v>
      </c>
      <c r="D69" s="6" t="s">
        <v>65</v>
      </c>
      <c r="E69" s="6" t="s">
        <v>131</v>
      </c>
      <c r="F69" s="6" t="s">
        <v>65</v>
      </c>
      <c r="G69" s="7" t="s">
        <v>65</v>
      </c>
      <c r="H69" s="6" t="s">
        <v>65</v>
      </c>
      <c r="I69" s="6" t="s">
        <v>65</v>
      </c>
      <c r="J69" s="6" t="s">
        <v>65</v>
      </c>
      <c r="K69" s="8">
        <v>0</v>
      </c>
      <c r="L69" s="6" t="s">
        <v>65</v>
      </c>
      <c r="M69" s="6" t="s">
        <v>132</v>
      </c>
      <c r="N69" s="6" t="s">
        <v>69</v>
      </c>
      <c r="O69" s="6" t="s">
        <v>65</v>
      </c>
      <c r="P69" s="6" t="s">
        <v>133</v>
      </c>
      <c r="Q69" s="6" t="s">
        <v>65</v>
      </c>
      <c r="R69" s="6" t="s">
        <v>54</v>
      </c>
      <c r="S69" s="6" t="s">
        <v>134</v>
      </c>
      <c r="T69" s="6" t="s">
        <v>65</v>
      </c>
      <c r="U69" s="6" t="s">
        <v>65</v>
      </c>
      <c r="V69" s="6" t="s">
        <v>65</v>
      </c>
      <c r="W69" s="6" t="s">
        <v>65</v>
      </c>
      <c r="X69" s="7" t="s">
        <v>65</v>
      </c>
      <c r="Y69" s="6" t="s">
        <v>135</v>
      </c>
      <c r="Z69" s="6" t="s">
        <v>136</v>
      </c>
    </row>
    <row r="70" spans="1:26" ht="27">
      <c r="A70" s="6" t="s">
        <v>203</v>
      </c>
      <c r="B70" s="6" t="s">
        <v>80</v>
      </c>
      <c r="C70" s="6" t="s">
        <v>65</v>
      </c>
      <c r="D70" s="6" t="s">
        <v>65</v>
      </c>
      <c r="E70" s="6" t="s">
        <v>131</v>
      </c>
      <c r="F70" s="6" t="s">
        <v>65</v>
      </c>
      <c r="G70" s="7" t="s">
        <v>65</v>
      </c>
      <c r="H70" s="6" t="s">
        <v>65</v>
      </c>
      <c r="I70" s="6" t="s">
        <v>65</v>
      </c>
      <c r="J70" s="6" t="s">
        <v>65</v>
      </c>
      <c r="K70" s="8">
        <v>0</v>
      </c>
      <c r="L70" s="6" t="s">
        <v>65</v>
      </c>
      <c r="M70" s="6" t="s">
        <v>132</v>
      </c>
      <c r="N70" s="6" t="s">
        <v>69</v>
      </c>
      <c r="O70" s="6" t="s">
        <v>65</v>
      </c>
      <c r="P70" s="6" t="s">
        <v>133</v>
      </c>
      <c r="Q70" s="6" t="s">
        <v>65</v>
      </c>
      <c r="R70" s="6" t="s">
        <v>54</v>
      </c>
      <c r="S70" s="6" t="s">
        <v>134</v>
      </c>
      <c r="T70" s="6" t="s">
        <v>65</v>
      </c>
      <c r="U70" s="6" t="s">
        <v>65</v>
      </c>
      <c r="V70" s="6" t="s">
        <v>65</v>
      </c>
      <c r="W70" s="6" t="s">
        <v>65</v>
      </c>
      <c r="X70" s="7" t="s">
        <v>65</v>
      </c>
      <c r="Y70" s="6" t="s">
        <v>135</v>
      </c>
      <c r="Z70" s="6" t="s">
        <v>136</v>
      </c>
    </row>
    <row r="71" spans="1:26" ht="27">
      <c r="A71" s="6" t="s">
        <v>204</v>
      </c>
      <c r="B71" s="6" t="s">
        <v>80</v>
      </c>
      <c r="C71" s="6" t="s">
        <v>65</v>
      </c>
      <c r="D71" s="6" t="s">
        <v>65</v>
      </c>
      <c r="E71" s="6" t="s">
        <v>131</v>
      </c>
      <c r="F71" s="6" t="s">
        <v>65</v>
      </c>
      <c r="G71" s="7" t="s">
        <v>65</v>
      </c>
      <c r="H71" s="6" t="s">
        <v>65</v>
      </c>
      <c r="I71" s="6" t="s">
        <v>65</v>
      </c>
      <c r="J71" s="6" t="s">
        <v>65</v>
      </c>
      <c r="K71" s="8">
        <v>0</v>
      </c>
      <c r="L71" s="6" t="s">
        <v>65</v>
      </c>
      <c r="M71" s="6" t="s">
        <v>132</v>
      </c>
      <c r="N71" s="6" t="s">
        <v>69</v>
      </c>
      <c r="O71" s="6" t="s">
        <v>65</v>
      </c>
      <c r="P71" s="6" t="s">
        <v>133</v>
      </c>
      <c r="Q71" s="6" t="s">
        <v>65</v>
      </c>
      <c r="R71" s="6" t="s">
        <v>54</v>
      </c>
      <c r="S71" s="6" t="s">
        <v>134</v>
      </c>
      <c r="T71" s="6" t="s">
        <v>65</v>
      </c>
      <c r="U71" s="6" t="s">
        <v>65</v>
      </c>
      <c r="V71" s="6" t="s">
        <v>65</v>
      </c>
      <c r="W71" s="6" t="s">
        <v>65</v>
      </c>
      <c r="X71" s="7" t="s">
        <v>65</v>
      </c>
      <c r="Y71" s="6" t="s">
        <v>135</v>
      </c>
      <c r="Z71" s="6" t="s">
        <v>136</v>
      </c>
    </row>
    <row r="72" spans="1:26" ht="27">
      <c r="A72" s="6" t="s">
        <v>205</v>
      </c>
      <c r="B72" s="6" t="s">
        <v>80</v>
      </c>
      <c r="C72" s="6" t="s">
        <v>65</v>
      </c>
      <c r="D72" s="6" t="s">
        <v>65</v>
      </c>
      <c r="E72" s="6" t="s">
        <v>131</v>
      </c>
      <c r="F72" s="6" t="s">
        <v>65</v>
      </c>
      <c r="G72" s="7" t="s">
        <v>65</v>
      </c>
      <c r="H72" s="6" t="s">
        <v>65</v>
      </c>
      <c r="I72" s="6" t="s">
        <v>65</v>
      </c>
      <c r="J72" s="6" t="s">
        <v>65</v>
      </c>
      <c r="K72" s="8">
        <v>0</v>
      </c>
      <c r="L72" s="6" t="s">
        <v>65</v>
      </c>
      <c r="M72" s="6" t="s">
        <v>132</v>
      </c>
      <c r="N72" s="6" t="s">
        <v>69</v>
      </c>
      <c r="O72" s="6" t="s">
        <v>65</v>
      </c>
      <c r="P72" s="6" t="s">
        <v>133</v>
      </c>
      <c r="Q72" s="6" t="s">
        <v>65</v>
      </c>
      <c r="R72" s="6" t="s">
        <v>54</v>
      </c>
      <c r="S72" s="6" t="s">
        <v>134</v>
      </c>
      <c r="T72" s="6" t="s">
        <v>65</v>
      </c>
      <c r="U72" s="6" t="s">
        <v>65</v>
      </c>
      <c r="V72" s="6" t="s">
        <v>65</v>
      </c>
      <c r="W72" s="6" t="s">
        <v>65</v>
      </c>
      <c r="X72" s="7" t="s">
        <v>65</v>
      </c>
      <c r="Y72" s="6" t="s">
        <v>135</v>
      </c>
      <c r="Z72" s="6" t="s">
        <v>136</v>
      </c>
    </row>
    <row r="73" spans="1:26" ht="27">
      <c r="A73" s="6" t="s">
        <v>206</v>
      </c>
      <c r="B73" s="6" t="s">
        <v>80</v>
      </c>
      <c r="C73" s="6" t="s">
        <v>65</v>
      </c>
      <c r="D73" s="6" t="s">
        <v>65</v>
      </c>
      <c r="E73" s="6" t="s">
        <v>131</v>
      </c>
      <c r="F73" s="6" t="s">
        <v>65</v>
      </c>
      <c r="G73" s="7" t="s">
        <v>65</v>
      </c>
      <c r="H73" s="6" t="s">
        <v>65</v>
      </c>
      <c r="I73" s="6" t="s">
        <v>65</v>
      </c>
      <c r="J73" s="6" t="s">
        <v>65</v>
      </c>
      <c r="K73" s="8">
        <v>0</v>
      </c>
      <c r="L73" s="6" t="s">
        <v>65</v>
      </c>
      <c r="M73" s="6" t="s">
        <v>132</v>
      </c>
      <c r="N73" s="6" t="s">
        <v>69</v>
      </c>
      <c r="O73" s="6" t="s">
        <v>65</v>
      </c>
      <c r="P73" s="6" t="s">
        <v>133</v>
      </c>
      <c r="Q73" s="6" t="s">
        <v>65</v>
      </c>
      <c r="R73" s="6" t="s">
        <v>54</v>
      </c>
      <c r="S73" s="6" t="s">
        <v>134</v>
      </c>
      <c r="T73" s="6" t="s">
        <v>65</v>
      </c>
      <c r="U73" s="6" t="s">
        <v>65</v>
      </c>
      <c r="V73" s="6" t="s">
        <v>65</v>
      </c>
      <c r="W73" s="6" t="s">
        <v>65</v>
      </c>
      <c r="X73" s="7" t="s">
        <v>65</v>
      </c>
      <c r="Y73" s="6" t="s">
        <v>135</v>
      </c>
      <c r="Z73" s="6" t="s">
        <v>136</v>
      </c>
    </row>
    <row r="74" spans="1:26" ht="27">
      <c r="A74" s="6" t="s">
        <v>207</v>
      </c>
      <c r="B74" s="6" t="s">
        <v>80</v>
      </c>
      <c r="C74" s="6" t="s">
        <v>65</v>
      </c>
      <c r="D74" s="6" t="s">
        <v>65</v>
      </c>
      <c r="E74" s="6" t="s">
        <v>131</v>
      </c>
      <c r="F74" s="6" t="s">
        <v>65</v>
      </c>
      <c r="G74" s="7" t="s">
        <v>65</v>
      </c>
      <c r="H74" s="6" t="s">
        <v>65</v>
      </c>
      <c r="I74" s="6" t="s">
        <v>65</v>
      </c>
      <c r="J74" s="6" t="s">
        <v>65</v>
      </c>
      <c r="K74" s="8">
        <v>0</v>
      </c>
      <c r="L74" s="6" t="s">
        <v>65</v>
      </c>
      <c r="M74" s="6" t="s">
        <v>132</v>
      </c>
      <c r="N74" s="6" t="s">
        <v>69</v>
      </c>
      <c r="O74" s="6" t="s">
        <v>65</v>
      </c>
      <c r="P74" s="6" t="s">
        <v>133</v>
      </c>
      <c r="Q74" s="6" t="s">
        <v>65</v>
      </c>
      <c r="R74" s="6" t="s">
        <v>54</v>
      </c>
      <c r="S74" s="6" t="s">
        <v>134</v>
      </c>
      <c r="T74" s="6" t="s">
        <v>65</v>
      </c>
      <c r="U74" s="6" t="s">
        <v>65</v>
      </c>
      <c r="V74" s="6" t="s">
        <v>65</v>
      </c>
      <c r="W74" s="6" t="s">
        <v>65</v>
      </c>
      <c r="X74" s="7" t="s">
        <v>65</v>
      </c>
      <c r="Y74" s="6" t="s">
        <v>135</v>
      </c>
      <c r="Z74" s="6" t="s">
        <v>136</v>
      </c>
    </row>
    <row r="75" spans="1:26" ht="27">
      <c r="A75" s="6" t="s">
        <v>208</v>
      </c>
      <c r="B75" s="6" t="s">
        <v>80</v>
      </c>
      <c r="C75" s="6" t="s">
        <v>65</v>
      </c>
      <c r="D75" s="6" t="s">
        <v>65</v>
      </c>
      <c r="E75" s="6" t="s">
        <v>131</v>
      </c>
      <c r="F75" s="6" t="s">
        <v>65</v>
      </c>
      <c r="G75" s="7" t="s">
        <v>65</v>
      </c>
      <c r="H75" s="6" t="s">
        <v>65</v>
      </c>
      <c r="I75" s="6" t="s">
        <v>65</v>
      </c>
      <c r="J75" s="6" t="s">
        <v>65</v>
      </c>
      <c r="K75" s="8">
        <v>0</v>
      </c>
      <c r="L75" s="6" t="s">
        <v>65</v>
      </c>
      <c r="M75" s="6" t="s">
        <v>132</v>
      </c>
      <c r="N75" s="6" t="s">
        <v>69</v>
      </c>
      <c r="O75" s="6" t="s">
        <v>65</v>
      </c>
      <c r="P75" s="6" t="s">
        <v>133</v>
      </c>
      <c r="Q75" s="6" t="s">
        <v>65</v>
      </c>
      <c r="R75" s="6" t="s">
        <v>54</v>
      </c>
      <c r="S75" s="6" t="s">
        <v>134</v>
      </c>
      <c r="T75" s="6" t="s">
        <v>65</v>
      </c>
      <c r="U75" s="6" t="s">
        <v>65</v>
      </c>
      <c r="V75" s="6" t="s">
        <v>65</v>
      </c>
      <c r="W75" s="6" t="s">
        <v>65</v>
      </c>
      <c r="X75" s="7" t="s">
        <v>65</v>
      </c>
      <c r="Y75" s="6" t="s">
        <v>135</v>
      </c>
      <c r="Z75" s="6" t="s">
        <v>136</v>
      </c>
    </row>
    <row r="76" spans="1:26" ht="27">
      <c r="A76" s="6" t="s">
        <v>209</v>
      </c>
      <c r="B76" s="6" t="s">
        <v>80</v>
      </c>
      <c r="C76" s="6" t="s">
        <v>65</v>
      </c>
      <c r="D76" s="6" t="s">
        <v>65</v>
      </c>
      <c r="E76" s="6" t="s">
        <v>131</v>
      </c>
      <c r="F76" s="6" t="s">
        <v>65</v>
      </c>
      <c r="G76" s="7" t="s">
        <v>65</v>
      </c>
      <c r="H76" s="6" t="s">
        <v>65</v>
      </c>
      <c r="I76" s="6" t="s">
        <v>65</v>
      </c>
      <c r="J76" s="6" t="s">
        <v>65</v>
      </c>
      <c r="K76" s="8">
        <v>0</v>
      </c>
      <c r="L76" s="6" t="s">
        <v>65</v>
      </c>
      <c r="M76" s="6" t="s">
        <v>132</v>
      </c>
      <c r="N76" s="6" t="s">
        <v>69</v>
      </c>
      <c r="O76" s="6" t="s">
        <v>65</v>
      </c>
      <c r="P76" s="6" t="s">
        <v>133</v>
      </c>
      <c r="Q76" s="6" t="s">
        <v>65</v>
      </c>
      <c r="R76" s="6" t="s">
        <v>54</v>
      </c>
      <c r="S76" s="6" t="s">
        <v>134</v>
      </c>
      <c r="T76" s="6" t="s">
        <v>65</v>
      </c>
      <c r="U76" s="6" t="s">
        <v>65</v>
      </c>
      <c r="V76" s="6" t="s">
        <v>65</v>
      </c>
      <c r="W76" s="6" t="s">
        <v>65</v>
      </c>
      <c r="X76" s="7" t="s">
        <v>65</v>
      </c>
      <c r="Y76" s="6" t="s">
        <v>135</v>
      </c>
      <c r="Z76" s="6" t="s">
        <v>136</v>
      </c>
    </row>
    <row r="77" spans="1:26" ht="27">
      <c r="A77" s="6" t="s">
        <v>210</v>
      </c>
      <c r="B77" s="6" t="s">
        <v>80</v>
      </c>
      <c r="C77" s="6" t="s">
        <v>65</v>
      </c>
      <c r="D77" s="6" t="s">
        <v>65</v>
      </c>
      <c r="E77" s="6" t="s">
        <v>131</v>
      </c>
      <c r="F77" s="6" t="s">
        <v>65</v>
      </c>
      <c r="G77" s="7" t="s">
        <v>65</v>
      </c>
      <c r="H77" s="6" t="s">
        <v>65</v>
      </c>
      <c r="I77" s="6" t="s">
        <v>65</v>
      </c>
      <c r="J77" s="6" t="s">
        <v>65</v>
      </c>
      <c r="K77" s="8">
        <v>0</v>
      </c>
      <c r="L77" s="6" t="s">
        <v>65</v>
      </c>
      <c r="M77" s="6" t="s">
        <v>132</v>
      </c>
      <c r="N77" s="6" t="s">
        <v>69</v>
      </c>
      <c r="O77" s="6" t="s">
        <v>65</v>
      </c>
      <c r="P77" s="6" t="s">
        <v>133</v>
      </c>
      <c r="Q77" s="6" t="s">
        <v>65</v>
      </c>
      <c r="R77" s="6" t="s">
        <v>54</v>
      </c>
      <c r="S77" s="6" t="s">
        <v>134</v>
      </c>
      <c r="T77" s="6" t="s">
        <v>65</v>
      </c>
      <c r="U77" s="6" t="s">
        <v>65</v>
      </c>
      <c r="V77" s="6" t="s">
        <v>65</v>
      </c>
      <c r="W77" s="6" t="s">
        <v>65</v>
      </c>
      <c r="X77" s="7" t="s">
        <v>65</v>
      </c>
      <c r="Y77" s="6" t="s">
        <v>135</v>
      </c>
      <c r="Z77" s="6" t="s">
        <v>136</v>
      </c>
    </row>
    <row r="78" spans="1:26" ht="27">
      <c r="A78" s="6" t="s">
        <v>211</v>
      </c>
      <c r="B78" s="6" t="s">
        <v>80</v>
      </c>
      <c r="C78" s="6" t="s">
        <v>65</v>
      </c>
      <c r="D78" s="6" t="s">
        <v>65</v>
      </c>
      <c r="E78" s="6" t="s">
        <v>131</v>
      </c>
      <c r="F78" s="6" t="s">
        <v>65</v>
      </c>
      <c r="G78" s="7" t="s">
        <v>65</v>
      </c>
      <c r="H78" s="6" t="s">
        <v>65</v>
      </c>
      <c r="I78" s="6" t="s">
        <v>65</v>
      </c>
      <c r="J78" s="6" t="s">
        <v>65</v>
      </c>
      <c r="K78" s="8">
        <v>0</v>
      </c>
      <c r="L78" s="6" t="s">
        <v>65</v>
      </c>
      <c r="M78" s="6" t="s">
        <v>132</v>
      </c>
      <c r="N78" s="6" t="s">
        <v>69</v>
      </c>
      <c r="O78" s="6" t="s">
        <v>65</v>
      </c>
      <c r="P78" s="6" t="s">
        <v>133</v>
      </c>
      <c r="Q78" s="6" t="s">
        <v>65</v>
      </c>
      <c r="R78" s="6" t="s">
        <v>54</v>
      </c>
      <c r="S78" s="6" t="s">
        <v>134</v>
      </c>
      <c r="T78" s="6" t="s">
        <v>65</v>
      </c>
      <c r="U78" s="6" t="s">
        <v>65</v>
      </c>
      <c r="V78" s="6" t="s">
        <v>65</v>
      </c>
      <c r="W78" s="6" t="s">
        <v>65</v>
      </c>
      <c r="X78" s="7" t="s">
        <v>65</v>
      </c>
      <c r="Y78" s="6" t="s">
        <v>135</v>
      </c>
      <c r="Z78" s="6" t="s">
        <v>136</v>
      </c>
    </row>
    <row r="79" spans="1:26" ht="27">
      <c r="A79" s="6" t="s">
        <v>212</v>
      </c>
      <c r="B79" s="6" t="s">
        <v>80</v>
      </c>
      <c r="C79" s="6" t="s">
        <v>65</v>
      </c>
      <c r="D79" s="6" t="s">
        <v>65</v>
      </c>
      <c r="E79" s="6" t="s">
        <v>131</v>
      </c>
      <c r="F79" s="6" t="s">
        <v>65</v>
      </c>
      <c r="G79" s="7" t="s">
        <v>65</v>
      </c>
      <c r="H79" s="6" t="s">
        <v>65</v>
      </c>
      <c r="I79" s="6" t="s">
        <v>65</v>
      </c>
      <c r="J79" s="6" t="s">
        <v>65</v>
      </c>
      <c r="K79" s="8">
        <v>0</v>
      </c>
      <c r="L79" s="6" t="s">
        <v>65</v>
      </c>
      <c r="M79" s="6" t="s">
        <v>132</v>
      </c>
      <c r="N79" s="6" t="s">
        <v>69</v>
      </c>
      <c r="O79" s="6" t="s">
        <v>65</v>
      </c>
      <c r="P79" s="6" t="s">
        <v>133</v>
      </c>
      <c r="Q79" s="6" t="s">
        <v>65</v>
      </c>
      <c r="R79" s="6" t="s">
        <v>54</v>
      </c>
      <c r="S79" s="6" t="s">
        <v>134</v>
      </c>
      <c r="T79" s="6" t="s">
        <v>65</v>
      </c>
      <c r="U79" s="6" t="s">
        <v>65</v>
      </c>
      <c r="V79" s="6" t="s">
        <v>65</v>
      </c>
      <c r="W79" s="6" t="s">
        <v>65</v>
      </c>
      <c r="X79" s="7" t="s">
        <v>65</v>
      </c>
      <c r="Y79" s="6" t="s">
        <v>135</v>
      </c>
      <c r="Z79" s="6" t="s">
        <v>136</v>
      </c>
    </row>
    <row r="80" spans="1:26" ht="27">
      <c r="A80" s="6" t="s">
        <v>213</v>
      </c>
      <c r="B80" s="6" t="s">
        <v>80</v>
      </c>
      <c r="C80" s="6" t="s">
        <v>65</v>
      </c>
      <c r="D80" s="6" t="s">
        <v>65</v>
      </c>
      <c r="E80" s="6" t="s">
        <v>131</v>
      </c>
      <c r="F80" s="6" t="s">
        <v>65</v>
      </c>
      <c r="G80" s="7" t="s">
        <v>65</v>
      </c>
      <c r="H80" s="6" t="s">
        <v>65</v>
      </c>
      <c r="I80" s="6" t="s">
        <v>65</v>
      </c>
      <c r="J80" s="6" t="s">
        <v>65</v>
      </c>
      <c r="K80" s="8">
        <v>0</v>
      </c>
      <c r="L80" s="6" t="s">
        <v>65</v>
      </c>
      <c r="M80" s="6" t="s">
        <v>132</v>
      </c>
      <c r="N80" s="6" t="s">
        <v>69</v>
      </c>
      <c r="O80" s="6" t="s">
        <v>65</v>
      </c>
      <c r="P80" s="6" t="s">
        <v>133</v>
      </c>
      <c r="Q80" s="6" t="s">
        <v>65</v>
      </c>
      <c r="R80" s="6" t="s">
        <v>54</v>
      </c>
      <c r="S80" s="6" t="s">
        <v>134</v>
      </c>
      <c r="T80" s="6" t="s">
        <v>65</v>
      </c>
      <c r="U80" s="6" t="s">
        <v>65</v>
      </c>
      <c r="V80" s="6" t="s">
        <v>65</v>
      </c>
      <c r="W80" s="6" t="s">
        <v>65</v>
      </c>
      <c r="X80" s="7" t="s">
        <v>65</v>
      </c>
      <c r="Y80" s="6" t="s">
        <v>135</v>
      </c>
      <c r="Z80" s="6" t="s">
        <v>136</v>
      </c>
    </row>
    <row r="81" spans="1:26" ht="27">
      <c r="A81" s="6" t="s">
        <v>214</v>
      </c>
      <c r="B81" s="6" t="s">
        <v>80</v>
      </c>
      <c r="C81" s="6" t="s">
        <v>65</v>
      </c>
      <c r="D81" s="6" t="s">
        <v>65</v>
      </c>
      <c r="E81" s="6" t="s">
        <v>131</v>
      </c>
      <c r="F81" s="6" t="s">
        <v>65</v>
      </c>
      <c r="G81" s="7" t="s">
        <v>65</v>
      </c>
      <c r="H81" s="6" t="s">
        <v>65</v>
      </c>
      <c r="I81" s="6" t="s">
        <v>65</v>
      </c>
      <c r="J81" s="6" t="s">
        <v>65</v>
      </c>
      <c r="K81" s="8">
        <v>0</v>
      </c>
      <c r="L81" s="6" t="s">
        <v>65</v>
      </c>
      <c r="M81" s="6" t="s">
        <v>132</v>
      </c>
      <c r="N81" s="6" t="s">
        <v>69</v>
      </c>
      <c r="O81" s="6" t="s">
        <v>65</v>
      </c>
      <c r="P81" s="6" t="s">
        <v>133</v>
      </c>
      <c r="Q81" s="6" t="s">
        <v>65</v>
      </c>
      <c r="R81" s="6" t="s">
        <v>54</v>
      </c>
      <c r="S81" s="6" t="s">
        <v>134</v>
      </c>
      <c r="T81" s="6" t="s">
        <v>65</v>
      </c>
      <c r="U81" s="6" t="s">
        <v>65</v>
      </c>
      <c r="V81" s="6" t="s">
        <v>65</v>
      </c>
      <c r="W81" s="6" t="s">
        <v>65</v>
      </c>
      <c r="X81" s="7" t="s">
        <v>65</v>
      </c>
      <c r="Y81" s="6" t="s">
        <v>135</v>
      </c>
      <c r="Z81" s="6" t="s">
        <v>136</v>
      </c>
    </row>
    <row r="82" spans="1:26" ht="27">
      <c r="A82" s="6" t="s">
        <v>215</v>
      </c>
      <c r="B82" s="6" t="s">
        <v>80</v>
      </c>
      <c r="C82" s="6" t="s">
        <v>65</v>
      </c>
      <c r="D82" s="6" t="s">
        <v>65</v>
      </c>
      <c r="E82" s="6" t="s">
        <v>131</v>
      </c>
      <c r="F82" s="6" t="s">
        <v>65</v>
      </c>
      <c r="G82" s="7" t="s">
        <v>65</v>
      </c>
      <c r="H82" s="6" t="s">
        <v>65</v>
      </c>
      <c r="I82" s="6" t="s">
        <v>65</v>
      </c>
      <c r="J82" s="6" t="s">
        <v>65</v>
      </c>
      <c r="K82" s="8">
        <v>0</v>
      </c>
      <c r="L82" s="6" t="s">
        <v>65</v>
      </c>
      <c r="M82" s="6" t="s">
        <v>132</v>
      </c>
      <c r="N82" s="6" t="s">
        <v>69</v>
      </c>
      <c r="O82" s="6" t="s">
        <v>65</v>
      </c>
      <c r="P82" s="6" t="s">
        <v>133</v>
      </c>
      <c r="Q82" s="6" t="s">
        <v>65</v>
      </c>
      <c r="R82" s="6" t="s">
        <v>54</v>
      </c>
      <c r="S82" s="6" t="s">
        <v>134</v>
      </c>
      <c r="T82" s="6" t="s">
        <v>65</v>
      </c>
      <c r="U82" s="6" t="s">
        <v>65</v>
      </c>
      <c r="V82" s="6" t="s">
        <v>65</v>
      </c>
      <c r="W82" s="6" t="s">
        <v>65</v>
      </c>
      <c r="X82" s="7" t="s">
        <v>65</v>
      </c>
      <c r="Y82" s="6" t="s">
        <v>135</v>
      </c>
      <c r="Z82" s="6" t="s">
        <v>136</v>
      </c>
    </row>
    <row r="83" spans="1:26" ht="27">
      <c r="A83" s="6" t="s">
        <v>216</v>
      </c>
      <c r="B83" s="6" t="s">
        <v>80</v>
      </c>
      <c r="C83" s="6" t="s">
        <v>65</v>
      </c>
      <c r="D83" s="6" t="s">
        <v>65</v>
      </c>
      <c r="E83" s="6" t="s">
        <v>131</v>
      </c>
      <c r="F83" s="6" t="s">
        <v>65</v>
      </c>
      <c r="G83" s="7" t="s">
        <v>65</v>
      </c>
      <c r="H83" s="6" t="s">
        <v>65</v>
      </c>
      <c r="I83" s="6" t="s">
        <v>65</v>
      </c>
      <c r="J83" s="6" t="s">
        <v>65</v>
      </c>
      <c r="K83" s="8">
        <v>0</v>
      </c>
      <c r="L83" s="6" t="s">
        <v>65</v>
      </c>
      <c r="M83" s="6" t="s">
        <v>132</v>
      </c>
      <c r="N83" s="6" t="s">
        <v>69</v>
      </c>
      <c r="O83" s="6" t="s">
        <v>65</v>
      </c>
      <c r="P83" s="6" t="s">
        <v>133</v>
      </c>
      <c r="Q83" s="6" t="s">
        <v>65</v>
      </c>
      <c r="R83" s="6" t="s">
        <v>54</v>
      </c>
      <c r="S83" s="6" t="s">
        <v>134</v>
      </c>
      <c r="T83" s="6" t="s">
        <v>65</v>
      </c>
      <c r="U83" s="6" t="s">
        <v>65</v>
      </c>
      <c r="V83" s="6" t="s">
        <v>65</v>
      </c>
      <c r="W83" s="6" t="s">
        <v>65</v>
      </c>
      <c r="X83" s="7" t="s">
        <v>65</v>
      </c>
      <c r="Y83" s="6" t="s">
        <v>135</v>
      </c>
      <c r="Z83" s="6" t="s">
        <v>136</v>
      </c>
    </row>
    <row r="84" spans="1:26" ht="27">
      <c r="A84" s="6" t="s">
        <v>217</v>
      </c>
      <c r="B84" s="6" t="s">
        <v>80</v>
      </c>
      <c r="C84" s="6" t="s">
        <v>65</v>
      </c>
      <c r="D84" s="6" t="s">
        <v>65</v>
      </c>
      <c r="E84" s="6" t="s">
        <v>131</v>
      </c>
      <c r="F84" s="6" t="s">
        <v>65</v>
      </c>
      <c r="G84" s="7" t="s">
        <v>65</v>
      </c>
      <c r="H84" s="6" t="s">
        <v>65</v>
      </c>
      <c r="I84" s="6" t="s">
        <v>65</v>
      </c>
      <c r="J84" s="6" t="s">
        <v>65</v>
      </c>
      <c r="K84" s="8">
        <v>0</v>
      </c>
      <c r="L84" s="6" t="s">
        <v>65</v>
      </c>
      <c r="M84" s="6" t="s">
        <v>132</v>
      </c>
      <c r="N84" s="6" t="s">
        <v>69</v>
      </c>
      <c r="O84" s="6" t="s">
        <v>65</v>
      </c>
      <c r="P84" s="6" t="s">
        <v>133</v>
      </c>
      <c r="Q84" s="6" t="s">
        <v>65</v>
      </c>
      <c r="R84" s="6" t="s">
        <v>54</v>
      </c>
      <c r="S84" s="6" t="s">
        <v>134</v>
      </c>
      <c r="T84" s="6" t="s">
        <v>65</v>
      </c>
      <c r="U84" s="6" t="s">
        <v>65</v>
      </c>
      <c r="V84" s="6" t="s">
        <v>65</v>
      </c>
      <c r="W84" s="6" t="s">
        <v>65</v>
      </c>
      <c r="X84" s="7" t="s">
        <v>65</v>
      </c>
      <c r="Y84" s="6" t="s">
        <v>135</v>
      </c>
      <c r="Z84" s="6" t="s">
        <v>136</v>
      </c>
    </row>
    <row r="85" spans="1:26" ht="27">
      <c r="A85" s="6" t="s">
        <v>218</v>
      </c>
      <c r="B85" s="6" t="s">
        <v>80</v>
      </c>
      <c r="C85" s="6" t="s">
        <v>65</v>
      </c>
      <c r="D85" s="6" t="s">
        <v>65</v>
      </c>
      <c r="E85" s="6" t="s">
        <v>131</v>
      </c>
      <c r="F85" s="6" t="s">
        <v>65</v>
      </c>
      <c r="G85" s="7" t="s">
        <v>65</v>
      </c>
      <c r="H85" s="6" t="s">
        <v>65</v>
      </c>
      <c r="I85" s="6" t="s">
        <v>65</v>
      </c>
      <c r="J85" s="6" t="s">
        <v>65</v>
      </c>
      <c r="K85" s="8">
        <v>0</v>
      </c>
      <c r="L85" s="6" t="s">
        <v>65</v>
      </c>
      <c r="M85" s="6" t="s">
        <v>132</v>
      </c>
      <c r="N85" s="6" t="s">
        <v>69</v>
      </c>
      <c r="O85" s="6" t="s">
        <v>65</v>
      </c>
      <c r="P85" s="6" t="s">
        <v>133</v>
      </c>
      <c r="Q85" s="6" t="s">
        <v>65</v>
      </c>
      <c r="R85" s="6" t="s">
        <v>54</v>
      </c>
      <c r="S85" s="6" t="s">
        <v>134</v>
      </c>
      <c r="T85" s="6" t="s">
        <v>65</v>
      </c>
      <c r="U85" s="6" t="s">
        <v>65</v>
      </c>
      <c r="V85" s="6" t="s">
        <v>65</v>
      </c>
      <c r="W85" s="6" t="s">
        <v>65</v>
      </c>
      <c r="X85" s="7" t="s">
        <v>65</v>
      </c>
      <c r="Y85" s="6" t="s">
        <v>135</v>
      </c>
      <c r="Z85" s="6" t="s">
        <v>136</v>
      </c>
    </row>
    <row r="86" spans="1:26" ht="27">
      <c r="A86" s="6" t="s">
        <v>219</v>
      </c>
      <c r="B86" s="6" t="s">
        <v>80</v>
      </c>
      <c r="C86" s="6" t="s">
        <v>65</v>
      </c>
      <c r="D86" s="6" t="s">
        <v>65</v>
      </c>
      <c r="E86" s="6" t="s">
        <v>131</v>
      </c>
      <c r="F86" s="6" t="s">
        <v>65</v>
      </c>
      <c r="G86" s="7" t="s">
        <v>65</v>
      </c>
      <c r="H86" s="6" t="s">
        <v>65</v>
      </c>
      <c r="I86" s="6" t="s">
        <v>65</v>
      </c>
      <c r="J86" s="6" t="s">
        <v>65</v>
      </c>
      <c r="K86" s="8">
        <v>0</v>
      </c>
      <c r="L86" s="6" t="s">
        <v>65</v>
      </c>
      <c r="M86" s="6" t="s">
        <v>132</v>
      </c>
      <c r="N86" s="6" t="s">
        <v>69</v>
      </c>
      <c r="O86" s="6" t="s">
        <v>65</v>
      </c>
      <c r="P86" s="6" t="s">
        <v>133</v>
      </c>
      <c r="Q86" s="6" t="s">
        <v>65</v>
      </c>
      <c r="R86" s="6" t="s">
        <v>54</v>
      </c>
      <c r="S86" s="6" t="s">
        <v>134</v>
      </c>
      <c r="T86" s="6" t="s">
        <v>65</v>
      </c>
      <c r="U86" s="6" t="s">
        <v>65</v>
      </c>
      <c r="V86" s="6" t="s">
        <v>65</v>
      </c>
      <c r="W86" s="6" t="s">
        <v>65</v>
      </c>
      <c r="X86" s="7" t="s">
        <v>65</v>
      </c>
      <c r="Y86" s="6" t="s">
        <v>135</v>
      </c>
      <c r="Z86" s="6" t="s">
        <v>136</v>
      </c>
    </row>
    <row r="87" spans="1:26" ht="27">
      <c r="A87" s="6" t="s">
        <v>220</v>
      </c>
      <c r="B87" s="6" t="s">
        <v>80</v>
      </c>
      <c r="C87" s="6" t="s">
        <v>65</v>
      </c>
      <c r="D87" s="6" t="s">
        <v>65</v>
      </c>
      <c r="E87" s="6" t="s">
        <v>131</v>
      </c>
      <c r="F87" s="6" t="s">
        <v>65</v>
      </c>
      <c r="G87" s="7" t="s">
        <v>65</v>
      </c>
      <c r="H87" s="6" t="s">
        <v>65</v>
      </c>
      <c r="I87" s="6" t="s">
        <v>65</v>
      </c>
      <c r="J87" s="6" t="s">
        <v>65</v>
      </c>
      <c r="K87" s="8">
        <v>0</v>
      </c>
      <c r="L87" s="6" t="s">
        <v>65</v>
      </c>
      <c r="M87" s="6" t="s">
        <v>132</v>
      </c>
      <c r="N87" s="6" t="s">
        <v>69</v>
      </c>
      <c r="O87" s="6" t="s">
        <v>65</v>
      </c>
      <c r="P87" s="6" t="s">
        <v>133</v>
      </c>
      <c r="Q87" s="6" t="s">
        <v>65</v>
      </c>
      <c r="R87" s="6" t="s">
        <v>54</v>
      </c>
      <c r="S87" s="6" t="s">
        <v>134</v>
      </c>
      <c r="T87" s="6" t="s">
        <v>65</v>
      </c>
      <c r="U87" s="6" t="s">
        <v>65</v>
      </c>
      <c r="V87" s="6" t="s">
        <v>65</v>
      </c>
      <c r="W87" s="6" t="s">
        <v>65</v>
      </c>
      <c r="X87" s="7" t="s">
        <v>65</v>
      </c>
      <c r="Y87" s="6" t="s">
        <v>135</v>
      </c>
      <c r="Z87" s="6" t="s">
        <v>136</v>
      </c>
    </row>
    <row r="88" spans="1:26" ht="27">
      <c r="A88" s="6" t="s">
        <v>221</v>
      </c>
      <c r="B88" s="6" t="s">
        <v>80</v>
      </c>
      <c r="C88" s="6" t="s">
        <v>65</v>
      </c>
      <c r="D88" s="6" t="s">
        <v>65</v>
      </c>
      <c r="E88" s="6" t="s">
        <v>131</v>
      </c>
      <c r="F88" s="6" t="s">
        <v>65</v>
      </c>
      <c r="G88" s="7" t="s">
        <v>65</v>
      </c>
      <c r="H88" s="6" t="s">
        <v>65</v>
      </c>
      <c r="I88" s="6" t="s">
        <v>65</v>
      </c>
      <c r="J88" s="6" t="s">
        <v>65</v>
      </c>
      <c r="K88" s="8">
        <v>0</v>
      </c>
      <c r="L88" s="6" t="s">
        <v>65</v>
      </c>
      <c r="M88" s="6" t="s">
        <v>132</v>
      </c>
      <c r="N88" s="6" t="s">
        <v>69</v>
      </c>
      <c r="O88" s="6" t="s">
        <v>65</v>
      </c>
      <c r="P88" s="6" t="s">
        <v>133</v>
      </c>
      <c r="Q88" s="6" t="s">
        <v>65</v>
      </c>
      <c r="R88" s="6" t="s">
        <v>54</v>
      </c>
      <c r="S88" s="6" t="s">
        <v>134</v>
      </c>
      <c r="T88" s="6" t="s">
        <v>65</v>
      </c>
      <c r="U88" s="6" t="s">
        <v>65</v>
      </c>
      <c r="V88" s="6" t="s">
        <v>65</v>
      </c>
      <c r="W88" s="6" t="s">
        <v>65</v>
      </c>
      <c r="X88" s="7" t="s">
        <v>65</v>
      </c>
      <c r="Y88" s="6" t="s">
        <v>135</v>
      </c>
      <c r="Z88" s="6" t="s">
        <v>136</v>
      </c>
    </row>
    <row r="89" spans="1:26" ht="27">
      <c r="A89" s="6" t="s">
        <v>222</v>
      </c>
      <c r="B89" s="6" t="s">
        <v>80</v>
      </c>
      <c r="C89" s="6" t="s">
        <v>65</v>
      </c>
      <c r="D89" s="6" t="s">
        <v>65</v>
      </c>
      <c r="E89" s="6" t="s">
        <v>131</v>
      </c>
      <c r="F89" s="6" t="s">
        <v>65</v>
      </c>
      <c r="G89" s="7" t="s">
        <v>65</v>
      </c>
      <c r="H89" s="6" t="s">
        <v>65</v>
      </c>
      <c r="I89" s="6" t="s">
        <v>65</v>
      </c>
      <c r="J89" s="6" t="s">
        <v>65</v>
      </c>
      <c r="K89" s="8">
        <v>0</v>
      </c>
      <c r="L89" s="6" t="s">
        <v>65</v>
      </c>
      <c r="M89" s="6" t="s">
        <v>132</v>
      </c>
      <c r="N89" s="6" t="s">
        <v>69</v>
      </c>
      <c r="O89" s="6" t="s">
        <v>65</v>
      </c>
      <c r="P89" s="6" t="s">
        <v>133</v>
      </c>
      <c r="Q89" s="6" t="s">
        <v>65</v>
      </c>
      <c r="R89" s="6" t="s">
        <v>54</v>
      </c>
      <c r="S89" s="6" t="s">
        <v>134</v>
      </c>
      <c r="T89" s="6" t="s">
        <v>65</v>
      </c>
      <c r="U89" s="6" t="s">
        <v>65</v>
      </c>
      <c r="V89" s="6" t="s">
        <v>65</v>
      </c>
      <c r="W89" s="6" t="s">
        <v>65</v>
      </c>
      <c r="X89" s="7" t="s">
        <v>65</v>
      </c>
      <c r="Y89" s="6" t="s">
        <v>135</v>
      </c>
      <c r="Z89" s="6" t="s">
        <v>136</v>
      </c>
    </row>
    <row r="90" spans="1:26" ht="27">
      <c r="A90" s="6" t="s">
        <v>223</v>
      </c>
      <c r="B90" s="6" t="s">
        <v>80</v>
      </c>
      <c r="C90" s="6" t="s">
        <v>65</v>
      </c>
      <c r="D90" s="6" t="s">
        <v>65</v>
      </c>
      <c r="E90" s="6" t="s">
        <v>131</v>
      </c>
      <c r="F90" s="6" t="s">
        <v>65</v>
      </c>
      <c r="G90" s="7" t="s">
        <v>65</v>
      </c>
      <c r="H90" s="6" t="s">
        <v>65</v>
      </c>
      <c r="I90" s="6" t="s">
        <v>65</v>
      </c>
      <c r="J90" s="6" t="s">
        <v>65</v>
      </c>
      <c r="K90" s="8">
        <v>0</v>
      </c>
      <c r="L90" s="6" t="s">
        <v>65</v>
      </c>
      <c r="M90" s="6" t="s">
        <v>132</v>
      </c>
      <c r="N90" s="6" t="s">
        <v>69</v>
      </c>
      <c r="O90" s="6" t="s">
        <v>65</v>
      </c>
      <c r="P90" s="6" t="s">
        <v>133</v>
      </c>
      <c r="Q90" s="6" t="s">
        <v>65</v>
      </c>
      <c r="R90" s="6" t="s">
        <v>54</v>
      </c>
      <c r="S90" s="6" t="s">
        <v>134</v>
      </c>
      <c r="T90" s="6" t="s">
        <v>65</v>
      </c>
      <c r="U90" s="6" t="s">
        <v>65</v>
      </c>
      <c r="V90" s="6" t="s">
        <v>65</v>
      </c>
      <c r="W90" s="6" t="s">
        <v>65</v>
      </c>
      <c r="X90" s="7" t="s">
        <v>65</v>
      </c>
      <c r="Y90" s="6" t="s">
        <v>135</v>
      </c>
      <c r="Z90" s="6" t="s">
        <v>136</v>
      </c>
    </row>
    <row r="91" spans="1:26" ht="27">
      <c r="A91" s="6" t="s">
        <v>224</v>
      </c>
      <c r="B91" s="6" t="s">
        <v>80</v>
      </c>
      <c r="C91" s="6" t="s">
        <v>65</v>
      </c>
      <c r="D91" s="6" t="s">
        <v>65</v>
      </c>
      <c r="E91" s="6" t="s">
        <v>131</v>
      </c>
      <c r="F91" s="6" t="s">
        <v>65</v>
      </c>
      <c r="G91" s="7" t="s">
        <v>65</v>
      </c>
      <c r="H91" s="6" t="s">
        <v>65</v>
      </c>
      <c r="I91" s="6" t="s">
        <v>65</v>
      </c>
      <c r="J91" s="6" t="s">
        <v>65</v>
      </c>
      <c r="K91" s="8">
        <v>0</v>
      </c>
      <c r="L91" s="6" t="s">
        <v>65</v>
      </c>
      <c r="M91" s="6" t="s">
        <v>132</v>
      </c>
      <c r="N91" s="6" t="s">
        <v>69</v>
      </c>
      <c r="O91" s="6" t="s">
        <v>65</v>
      </c>
      <c r="P91" s="6" t="s">
        <v>133</v>
      </c>
      <c r="Q91" s="6" t="s">
        <v>65</v>
      </c>
      <c r="R91" s="6" t="s">
        <v>54</v>
      </c>
      <c r="S91" s="6" t="s">
        <v>134</v>
      </c>
      <c r="T91" s="6" t="s">
        <v>65</v>
      </c>
      <c r="U91" s="6" t="s">
        <v>65</v>
      </c>
      <c r="V91" s="6" t="s">
        <v>65</v>
      </c>
      <c r="W91" s="6" t="s">
        <v>65</v>
      </c>
      <c r="X91" s="7" t="s">
        <v>65</v>
      </c>
      <c r="Y91" s="6" t="s">
        <v>135</v>
      </c>
      <c r="Z91" s="6" t="s">
        <v>136</v>
      </c>
    </row>
    <row r="92" spans="1:26" ht="27">
      <c r="A92" s="6" t="s">
        <v>225</v>
      </c>
      <c r="B92" s="6" t="s">
        <v>80</v>
      </c>
      <c r="C92" s="6" t="s">
        <v>65</v>
      </c>
      <c r="D92" s="6" t="s">
        <v>65</v>
      </c>
      <c r="E92" s="6" t="s">
        <v>131</v>
      </c>
      <c r="F92" s="6" t="s">
        <v>65</v>
      </c>
      <c r="G92" s="7" t="s">
        <v>65</v>
      </c>
      <c r="H92" s="6" t="s">
        <v>65</v>
      </c>
      <c r="I92" s="6" t="s">
        <v>65</v>
      </c>
      <c r="J92" s="6" t="s">
        <v>65</v>
      </c>
      <c r="K92" s="8">
        <v>0</v>
      </c>
      <c r="L92" s="6" t="s">
        <v>65</v>
      </c>
      <c r="M92" s="6" t="s">
        <v>132</v>
      </c>
      <c r="N92" s="6" t="s">
        <v>69</v>
      </c>
      <c r="O92" s="6" t="s">
        <v>65</v>
      </c>
      <c r="P92" s="6" t="s">
        <v>133</v>
      </c>
      <c r="Q92" s="6" t="s">
        <v>65</v>
      </c>
      <c r="R92" s="6" t="s">
        <v>54</v>
      </c>
      <c r="S92" s="6" t="s">
        <v>134</v>
      </c>
      <c r="T92" s="6" t="s">
        <v>65</v>
      </c>
      <c r="U92" s="6" t="s">
        <v>65</v>
      </c>
      <c r="V92" s="6" t="s">
        <v>65</v>
      </c>
      <c r="W92" s="6" t="s">
        <v>65</v>
      </c>
      <c r="X92" s="7" t="s">
        <v>65</v>
      </c>
      <c r="Y92" s="6" t="s">
        <v>135</v>
      </c>
      <c r="Z92" s="6" t="s">
        <v>136</v>
      </c>
    </row>
    <row r="93" spans="1:26" ht="27">
      <c r="A93" s="6" t="s">
        <v>226</v>
      </c>
      <c r="B93" s="6" t="s">
        <v>80</v>
      </c>
      <c r="C93" s="6" t="s">
        <v>65</v>
      </c>
      <c r="D93" s="6" t="s">
        <v>65</v>
      </c>
      <c r="E93" s="6" t="s">
        <v>131</v>
      </c>
      <c r="F93" s="6" t="s">
        <v>65</v>
      </c>
      <c r="G93" s="7" t="s">
        <v>65</v>
      </c>
      <c r="H93" s="6" t="s">
        <v>65</v>
      </c>
      <c r="I93" s="6" t="s">
        <v>65</v>
      </c>
      <c r="J93" s="6" t="s">
        <v>65</v>
      </c>
      <c r="K93" s="8">
        <v>0</v>
      </c>
      <c r="L93" s="6" t="s">
        <v>65</v>
      </c>
      <c r="M93" s="6" t="s">
        <v>132</v>
      </c>
      <c r="N93" s="6" t="s">
        <v>69</v>
      </c>
      <c r="O93" s="6" t="s">
        <v>65</v>
      </c>
      <c r="P93" s="6" t="s">
        <v>133</v>
      </c>
      <c r="Q93" s="6" t="s">
        <v>65</v>
      </c>
      <c r="R93" s="6" t="s">
        <v>54</v>
      </c>
      <c r="S93" s="6" t="s">
        <v>134</v>
      </c>
      <c r="T93" s="6" t="s">
        <v>65</v>
      </c>
      <c r="U93" s="6" t="s">
        <v>65</v>
      </c>
      <c r="V93" s="6" t="s">
        <v>65</v>
      </c>
      <c r="W93" s="6" t="s">
        <v>65</v>
      </c>
      <c r="X93" s="7" t="s">
        <v>65</v>
      </c>
      <c r="Y93" s="6" t="s">
        <v>135</v>
      </c>
      <c r="Z93" s="6" t="s">
        <v>136</v>
      </c>
    </row>
    <row r="94" spans="1:26" ht="27">
      <c r="A94" s="6" t="s">
        <v>227</v>
      </c>
      <c r="B94" s="6" t="s">
        <v>80</v>
      </c>
      <c r="C94" s="6" t="s">
        <v>65</v>
      </c>
      <c r="D94" s="6" t="s">
        <v>65</v>
      </c>
      <c r="E94" s="6" t="s">
        <v>131</v>
      </c>
      <c r="F94" s="6" t="s">
        <v>65</v>
      </c>
      <c r="G94" s="7" t="s">
        <v>65</v>
      </c>
      <c r="H94" s="6" t="s">
        <v>65</v>
      </c>
      <c r="I94" s="6" t="s">
        <v>65</v>
      </c>
      <c r="J94" s="6" t="s">
        <v>65</v>
      </c>
      <c r="K94" s="8">
        <v>0</v>
      </c>
      <c r="L94" s="6" t="s">
        <v>65</v>
      </c>
      <c r="M94" s="6" t="s">
        <v>132</v>
      </c>
      <c r="N94" s="6" t="s">
        <v>69</v>
      </c>
      <c r="O94" s="6" t="s">
        <v>65</v>
      </c>
      <c r="P94" s="6" t="s">
        <v>133</v>
      </c>
      <c r="Q94" s="6" t="s">
        <v>65</v>
      </c>
      <c r="R94" s="6" t="s">
        <v>54</v>
      </c>
      <c r="S94" s="6" t="s">
        <v>134</v>
      </c>
      <c r="T94" s="6" t="s">
        <v>65</v>
      </c>
      <c r="U94" s="6" t="s">
        <v>65</v>
      </c>
      <c r="V94" s="6" t="s">
        <v>65</v>
      </c>
      <c r="W94" s="6" t="s">
        <v>65</v>
      </c>
      <c r="X94" s="7" t="s">
        <v>65</v>
      </c>
      <c r="Y94" s="6" t="s">
        <v>135</v>
      </c>
      <c r="Z94" s="6" t="s">
        <v>136</v>
      </c>
    </row>
    <row r="95" spans="1:26" ht="27">
      <c r="A95" s="6" t="s">
        <v>228</v>
      </c>
      <c r="B95" s="6" t="s">
        <v>80</v>
      </c>
      <c r="C95" s="6" t="s">
        <v>65</v>
      </c>
      <c r="D95" s="6" t="s">
        <v>65</v>
      </c>
      <c r="E95" s="6" t="s">
        <v>131</v>
      </c>
      <c r="F95" s="6" t="s">
        <v>65</v>
      </c>
      <c r="G95" s="7" t="s">
        <v>65</v>
      </c>
      <c r="H95" s="6" t="s">
        <v>65</v>
      </c>
      <c r="I95" s="6" t="s">
        <v>65</v>
      </c>
      <c r="J95" s="6" t="s">
        <v>65</v>
      </c>
      <c r="K95" s="8">
        <v>0</v>
      </c>
      <c r="L95" s="6" t="s">
        <v>65</v>
      </c>
      <c r="M95" s="6" t="s">
        <v>132</v>
      </c>
      <c r="N95" s="6" t="s">
        <v>69</v>
      </c>
      <c r="O95" s="6" t="s">
        <v>65</v>
      </c>
      <c r="P95" s="6" t="s">
        <v>133</v>
      </c>
      <c r="Q95" s="6" t="s">
        <v>65</v>
      </c>
      <c r="R95" s="6" t="s">
        <v>54</v>
      </c>
      <c r="S95" s="6" t="s">
        <v>134</v>
      </c>
      <c r="T95" s="6" t="s">
        <v>65</v>
      </c>
      <c r="U95" s="6" t="s">
        <v>65</v>
      </c>
      <c r="V95" s="6" t="s">
        <v>65</v>
      </c>
      <c r="W95" s="6" t="s">
        <v>65</v>
      </c>
      <c r="X95" s="7" t="s">
        <v>65</v>
      </c>
      <c r="Y95" s="6" t="s">
        <v>135</v>
      </c>
      <c r="Z95" s="6" t="s">
        <v>136</v>
      </c>
    </row>
    <row r="96" spans="1:26" ht="27">
      <c r="A96" s="6" t="s">
        <v>229</v>
      </c>
      <c r="B96" s="6" t="s">
        <v>80</v>
      </c>
      <c r="C96" s="6" t="s">
        <v>65</v>
      </c>
      <c r="D96" s="6" t="s">
        <v>65</v>
      </c>
      <c r="E96" s="6" t="s">
        <v>131</v>
      </c>
      <c r="F96" s="6" t="s">
        <v>65</v>
      </c>
      <c r="G96" s="7" t="s">
        <v>65</v>
      </c>
      <c r="H96" s="6" t="s">
        <v>65</v>
      </c>
      <c r="I96" s="6" t="s">
        <v>65</v>
      </c>
      <c r="J96" s="6" t="s">
        <v>65</v>
      </c>
      <c r="K96" s="8">
        <v>0</v>
      </c>
      <c r="L96" s="6" t="s">
        <v>65</v>
      </c>
      <c r="M96" s="6" t="s">
        <v>132</v>
      </c>
      <c r="N96" s="6" t="s">
        <v>69</v>
      </c>
      <c r="O96" s="6" t="s">
        <v>65</v>
      </c>
      <c r="P96" s="6" t="s">
        <v>133</v>
      </c>
      <c r="Q96" s="6" t="s">
        <v>65</v>
      </c>
      <c r="R96" s="6" t="s">
        <v>54</v>
      </c>
      <c r="S96" s="6" t="s">
        <v>134</v>
      </c>
      <c r="T96" s="6" t="s">
        <v>65</v>
      </c>
      <c r="U96" s="6" t="s">
        <v>65</v>
      </c>
      <c r="V96" s="6" t="s">
        <v>65</v>
      </c>
      <c r="W96" s="6" t="s">
        <v>65</v>
      </c>
      <c r="X96" s="7" t="s">
        <v>65</v>
      </c>
      <c r="Y96" s="6" t="s">
        <v>135</v>
      </c>
      <c r="Z96" s="6" t="s">
        <v>136</v>
      </c>
    </row>
    <row r="97" spans="1:26" ht="27">
      <c r="A97" s="6" t="s">
        <v>230</v>
      </c>
      <c r="B97" s="6" t="s">
        <v>80</v>
      </c>
      <c r="C97" s="6" t="s">
        <v>65</v>
      </c>
      <c r="D97" s="6" t="s">
        <v>65</v>
      </c>
      <c r="E97" s="6" t="s">
        <v>131</v>
      </c>
      <c r="F97" s="6" t="s">
        <v>65</v>
      </c>
      <c r="G97" s="7" t="s">
        <v>65</v>
      </c>
      <c r="H97" s="6" t="s">
        <v>65</v>
      </c>
      <c r="I97" s="6" t="s">
        <v>65</v>
      </c>
      <c r="J97" s="6" t="s">
        <v>65</v>
      </c>
      <c r="K97" s="8">
        <v>0</v>
      </c>
      <c r="L97" s="6" t="s">
        <v>65</v>
      </c>
      <c r="M97" s="6" t="s">
        <v>132</v>
      </c>
      <c r="N97" s="6" t="s">
        <v>69</v>
      </c>
      <c r="O97" s="6" t="s">
        <v>65</v>
      </c>
      <c r="P97" s="6" t="s">
        <v>133</v>
      </c>
      <c r="Q97" s="6" t="s">
        <v>65</v>
      </c>
      <c r="R97" s="6" t="s">
        <v>54</v>
      </c>
      <c r="S97" s="6" t="s">
        <v>134</v>
      </c>
      <c r="T97" s="6" t="s">
        <v>65</v>
      </c>
      <c r="U97" s="6" t="s">
        <v>65</v>
      </c>
      <c r="V97" s="6" t="s">
        <v>65</v>
      </c>
      <c r="W97" s="6" t="s">
        <v>65</v>
      </c>
      <c r="X97" s="7" t="s">
        <v>65</v>
      </c>
      <c r="Y97" s="6" t="s">
        <v>135</v>
      </c>
      <c r="Z97" s="6" t="s">
        <v>136</v>
      </c>
    </row>
    <row r="98" spans="1:26" ht="27">
      <c r="A98" s="6" t="s">
        <v>231</v>
      </c>
      <c r="B98" s="6" t="s">
        <v>80</v>
      </c>
      <c r="C98" s="6" t="s">
        <v>65</v>
      </c>
      <c r="D98" s="6" t="s">
        <v>65</v>
      </c>
      <c r="E98" s="6" t="s">
        <v>131</v>
      </c>
      <c r="F98" s="6" t="s">
        <v>65</v>
      </c>
      <c r="G98" s="7" t="s">
        <v>65</v>
      </c>
      <c r="H98" s="6" t="s">
        <v>65</v>
      </c>
      <c r="I98" s="6" t="s">
        <v>65</v>
      </c>
      <c r="J98" s="6" t="s">
        <v>65</v>
      </c>
      <c r="K98" s="8">
        <v>0</v>
      </c>
      <c r="L98" s="6" t="s">
        <v>65</v>
      </c>
      <c r="M98" s="6" t="s">
        <v>132</v>
      </c>
      <c r="N98" s="6" t="s">
        <v>69</v>
      </c>
      <c r="O98" s="6" t="s">
        <v>65</v>
      </c>
      <c r="P98" s="6" t="s">
        <v>133</v>
      </c>
      <c r="Q98" s="6" t="s">
        <v>65</v>
      </c>
      <c r="R98" s="6" t="s">
        <v>54</v>
      </c>
      <c r="S98" s="6" t="s">
        <v>134</v>
      </c>
      <c r="T98" s="6" t="s">
        <v>65</v>
      </c>
      <c r="U98" s="6" t="s">
        <v>65</v>
      </c>
      <c r="V98" s="6" t="s">
        <v>65</v>
      </c>
      <c r="W98" s="6" t="s">
        <v>65</v>
      </c>
      <c r="X98" s="7" t="s">
        <v>65</v>
      </c>
      <c r="Y98" s="6" t="s">
        <v>135</v>
      </c>
      <c r="Z98" s="6" t="s">
        <v>136</v>
      </c>
    </row>
    <row r="99" spans="1:26" ht="27">
      <c r="A99" s="6" t="s">
        <v>232</v>
      </c>
      <c r="B99" s="6" t="s">
        <v>80</v>
      </c>
      <c r="C99" s="6" t="s">
        <v>65</v>
      </c>
      <c r="D99" s="6" t="s">
        <v>65</v>
      </c>
      <c r="E99" s="6" t="s">
        <v>131</v>
      </c>
      <c r="F99" s="6" t="s">
        <v>65</v>
      </c>
      <c r="G99" s="7" t="s">
        <v>65</v>
      </c>
      <c r="H99" s="6" t="s">
        <v>65</v>
      </c>
      <c r="I99" s="6" t="s">
        <v>65</v>
      </c>
      <c r="J99" s="6" t="s">
        <v>65</v>
      </c>
      <c r="K99" s="8">
        <v>0</v>
      </c>
      <c r="L99" s="6" t="s">
        <v>65</v>
      </c>
      <c r="M99" s="6" t="s">
        <v>132</v>
      </c>
      <c r="N99" s="6" t="s">
        <v>69</v>
      </c>
      <c r="O99" s="6" t="s">
        <v>65</v>
      </c>
      <c r="P99" s="6" t="s">
        <v>133</v>
      </c>
      <c r="Q99" s="6" t="s">
        <v>65</v>
      </c>
      <c r="R99" s="6" t="s">
        <v>54</v>
      </c>
      <c r="S99" s="6" t="s">
        <v>134</v>
      </c>
      <c r="T99" s="6" t="s">
        <v>65</v>
      </c>
      <c r="U99" s="6" t="s">
        <v>65</v>
      </c>
      <c r="V99" s="6" t="s">
        <v>65</v>
      </c>
      <c r="W99" s="6" t="s">
        <v>65</v>
      </c>
      <c r="X99" s="7" t="s">
        <v>65</v>
      </c>
      <c r="Y99" s="6" t="s">
        <v>135</v>
      </c>
      <c r="Z99" s="6" t="s">
        <v>136</v>
      </c>
    </row>
    <row r="100" spans="1:26" ht="27">
      <c r="A100" s="6" t="s">
        <v>233</v>
      </c>
      <c r="B100" s="6" t="s">
        <v>80</v>
      </c>
      <c r="C100" s="6" t="s">
        <v>65</v>
      </c>
      <c r="D100" s="6" t="s">
        <v>65</v>
      </c>
      <c r="E100" s="6" t="s">
        <v>131</v>
      </c>
      <c r="F100" s="6" t="s">
        <v>65</v>
      </c>
      <c r="G100" s="7" t="s">
        <v>65</v>
      </c>
      <c r="H100" s="6" t="s">
        <v>65</v>
      </c>
      <c r="I100" s="6" t="s">
        <v>65</v>
      </c>
      <c r="J100" s="6" t="s">
        <v>65</v>
      </c>
      <c r="K100" s="8">
        <v>0</v>
      </c>
      <c r="L100" s="6" t="s">
        <v>65</v>
      </c>
      <c r="M100" s="6" t="s">
        <v>132</v>
      </c>
      <c r="N100" s="6" t="s">
        <v>69</v>
      </c>
      <c r="O100" s="6" t="s">
        <v>65</v>
      </c>
      <c r="P100" s="6" t="s">
        <v>133</v>
      </c>
      <c r="Q100" s="6" t="s">
        <v>65</v>
      </c>
      <c r="R100" s="6" t="s">
        <v>54</v>
      </c>
      <c r="S100" s="6" t="s">
        <v>134</v>
      </c>
      <c r="T100" s="6" t="s">
        <v>65</v>
      </c>
      <c r="U100" s="6" t="s">
        <v>65</v>
      </c>
      <c r="V100" s="6" t="s">
        <v>65</v>
      </c>
      <c r="W100" s="6" t="s">
        <v>65</v>
      </c>
      <c r="X100" s="7" t="s">
        <v>65</v>
      </c>
      <c r="Y100" s="6" t="s">
        <v>135</v>
      </c>
      <c r="Z100" s="6" t="s">
        <v>136</v>
      </c>
    </row>
    <row r="101" spans="1:26" ht="27">
      <c r="A101" s="6" t="s">
        <v>234</v>
      </c>
      <c r="B101" s="6" t="s">
        <v>80</v>
      </c>
      <c r="C101" s="6" t="s">
        <v>65</v>
      </c>
      <c r="D101" s="6" t="s">
        <v>65</v>
      </c>
      <c r="E101" s="6" t="s">
        <v>131</v>
      </c>
      <c r="F101" s="6" t="s">
        <v>65</v>
      </c>
      <c r="G101" s="7" t="s">
        <v>65</v>
      </c>
      <c r="H101" s="6" t="s">
        <v>65</v>
      </c>
      <c r="I101" s="6" t="s">
        <v>65</v>
      </c>
      <c r="J101" s="6" t="s">
        <v>65</v>
      </c>
      <c r="K101" s="8">
        <v>0</v>
      </c>
      <c r="L101" s="6" t="s">
        <v>65</v>
      </c>
      <c r="M101" s="6" t="s">
        <v>132</v>
      </c>
      <c r="N101" s="6" t="s">
        <v>69</v>
      </c>
      <c r="O101" s="6" t="s">
        <v>65</v>
      </c>
      <c r="P101" s="6" t="s">
        <v>133</v>
      </c>
      <c r="Q101" s="6" t="s">
        <v>65</v>
      </c>
      <c r="R101" s="6" t="s">
        <v>54</v>
      </c>
      <c r="S101" s="6" t="s">
        <v>134</v>
      </c>
      <c r="T101" s="6" t="s">
        <v>65</v>
      </c>
      <c r="U101" s="6" t="s">
        <v>65</v>
      </c>
      <c r="V101" s="6" t="s">
        <v>65</v>
      </c>
      <c r="W101" s="6" t="s">
        <v>65</v>
      </c>
      <c r="X101" s="7" t="s">
        <v>65</v>
      </c>
      <c r="Y101" s="6" t="s">
        <v>135</v>
      </c>
      <c r="Z101" s="6" t="s">
        <v>136</v>
      </c>
    </row>
    <row r="102" spans="1:26" ht="27">
      <c r="A102" s="6" t="s">
        <v>235</v>
      </c>
      <c r="B102" s="6" t="s">
        <v>80</v>
      </c>
      <c r="C102" s="6" t="s">
        <v>65</v>
      </c>
      <c r="D102" s="6" t="s">
        <v>65</v>
      </c>
      <c r="E102" s="6" t="s">
        <v>131</v>
      </c>
      <c r="F102" s="6" t="s">
        <v>65</v>
      </c>
      <c r="G102" s="7" t="s">
        <v>65</v>
      </c>
      <c r="H102" s="6" t="s">
        <v>65</v>
      </c>
      <c r="I102" s="6" t="s">
        <v>65</v>
      </c>
      <c r="J102" s="6" t="s">
        <v>65</v>
      </c>
      <c r="K102" s="8">
        <v>0</v>
      </c>
      <c r="L102" s="6" t="s">
        <v>65</v>
      </c>
      <c r="M102" s="6" t="s">
        <v>132</v>
      </c>
      <c r="N102" s="6" t="s">
        <v>69</v>
      </c>
      <c r="O102" s="6" t="s">
        <v>65</v>
      </c>
      <c r="P102" s="6" t="s">
        <v>133</v>
      </c>
      <c r="Q102" s="6" t="s">
        <v>65</v>
      </c>
      <c r="R102" s="6" t="s">
        <v>54</v>
      </c>
      <c r="S102" s="6" t="s">
        <v>134</v>
      </c>
      <c r="T102" s="6" t="s">
        <v>65</v>
      </c>
      <c r="U102" s="6" t="s">
        <v>65</v>
      </c>
      <c r="V102" s="6" t="s">
        <v>65</v>
      </c>
      <c r="W102" s="6" t="s">
        <v>65</v>
      </c>
      <c r="X102" s="7" t="s">
        <v>65</v>
      </c>
      <c r="Y102" s="6" t="s">
        <v>135</v>
      </c>
      <c r="Z102" s="6" t="s">
        <v>136</v>
      </c>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sheetData>
  <mergeCells count="1">
    <mergeCell ref="A1:Z1"/>
  </mergeCells>
  <conditionalFormatting sqref="B3:C102">
    <cfRule type="expression" dxfId="9" priority="1">
      <formula>$B3="Confirmed deviation"</formula>
    </cfRule>
    <cfRule type="expression" dxfId="8" priority="2">
      <formula>$B3="Candidate issue"</formula>
    </cfRule>
    <cfRule type="expression" dxfId="7" priority="3">
      <formula>$B3="Not a deviation"</formula>
    </cfRule>
  </conditionalFormatting>
  <conditionalFormatting sqref="N3:N102">
    <cfRule type="expression" dxfId="6" priority="5">
      <formula>$N3="Completed"</formula>
    </cfRule>
  </conditionalFormatting>
  <conditionalFormatting sqref="R3:R102">
    <cfRule type="expression" dxfId="5" priority="4">
      <formula>$R3="Yes"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1">
        <x14:dataValidation type="list" xr:uid="{00000000-0002-0000-0200-000000000000}">
          <x14:formula1>
            <xm:f>Controlled_Vocab!$A$4:$A$7</xm:f>
          </x14:formula1>
          <xm:sqref>B3:B102</xm:sqref>
        </x14:dataValidation>
        <x14:dataValidation type="list" xr:uid="{00000000-0002-0000-0200-000001000000}">
          <x14:formula1>
            <xm:f>Controlled_Vocab!$B$4:$B$7</xm:f>
          </x14:formula1>
          <xm:sqref>C3:C102</xm:sqref>
        </x14:dataValidation>
        <x14:dataValidation type="list" xr:uid="{00000000-0002-0000-0200-000002000000}">
          <x14:formula1>
            <xm:f>Controlled_Vocab!$I$4:$I$18</xm:f>
          </x14:formula1>
          <xm:sqref>D3:D102</xm:sqref>
        </x14:dataValidation>
        <x14:dataValidation type="list" xr:uid="{00000000-0002-0000-0200-000003000000}">
          <x14:formula1>
            <xm:f>Controlled_Vocab!$C$4:$C$16</xm:f>
          </x14:formula1>
          <xm:sqref>H3:H102</xm:sqref>
        </x14:dataValidation>
        <x14:dataValidation type="list" xr:uid="{00000000-0002-0000-0200-000004000000}">
          <x14:formula1>
            <xm:f>Controlled_Vocab!$L$4:$L$11</xm:f>
          </x14:formula1>
          <xm:sqref>J3:J102</xm:sqref>
        </x14:dataValidation>
        <x14:dataValidation type="list" xr:uid="{00000000-0002-0000-0200-000005000000}">
          <x14:formula1>
            <xm:f>Controlled_Vocab!$D$4:$D$8</xm:f>
          </x14:formula1>
          <xm:sqref>N3:N102</xm:sqref>
        </x14:dataValidation>
        <x14:dataValidation type="list" xr:uid="{00000000-0002-0000-0200-000006000000}">
          <x14:formula1>
            <xm:f>Controlled_Vocab!$F$4:$F$6</xm:f>
          </x14:formula1>
          <xm:sqref>O3:O102</xm:sqref>
        </x14:dataValidation>
        <x14:dataValidation type="list" xr:uid="{00000000-0002-0000-0200-000007000000}">
          <x14:formula1>
            <xm:f>Controlled_Vocab!$G$4:$G$13</xm:f>
          </x14:formula1>
          <xm:sqref>Q3:Q102</xm:sqref>
        </x14:dataValidation>
        <x14:dataValidation type="list" xr:uid="{00000000-0002-0000-0200-000008000000}">
          <x14:formula1>
            <xm:f>Controlled_Vocab!$M$4:$M$6</xm:f>
          </x14:formula1>
          <xm:sqref>R3:R102</xm:sqref>
        </x14:dataValidation>
        <x14:dataValidation type="list" xr:uid="{00000000-0002-0000-0200-000009000000}">
          <x14:formula1>
            <xm:f>Controlled_Vocab!$E$4:$E$6</xm:f>
          </x14:formula1>
          <xm:sqref>T3:U102</xm:sqref>
        </x14:dataValidation>
        <x14:dataValidation type="list" xr:uid="{00000000-0002-0000-0200-00000A000000}">
          <x14:formula1>
            <xm:f>Controlled_Vocab!$H$4:$H$7</xm:f>
          </x14:formula1>
          <xm:sqref>W3:W102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Z118"/>
  <sheetViews>
    <sheetView workbookViewId="0">
      <selection activeCell="A2" sqref="A2:XFD2"/>
    </sheetView>
  </sheetViews>
  <sheetFormatPr defaultRowHeight="14.25"/>
  <cols>
    <col min="1" max="1" width="14" customWidth="1"/>
    <col min="2" max="2" width="16" customWidth="1"/>
    <col min="3" max="3" width="26" customWidth="1"/>
    <col min="4" max="5" width="72" customWidth="1"/>
    <col min="6" max="6" width="15" customWidth="1"/>
    <col min="7" max="7" width="22" customWidth="1"/>
    <col min="8" max="8" width="48" customWidth="1"/>
    <col min="9" max="9" width="18" customWidth="1"/>
    <col min="10" max="10" width="15" customWidth="1"/>
    <col min="11" max="13" width="18" customWidth="1"/>
    <col min="14" max="15" width="20" customWidth="1"/>
    <col min="16" max="17" width="18" customWidth="1"/>
    <col min="18" max="18" width="36" customWidth="1"/>
    <col min="19" max="20" width="58" customWidth="1"/>
  </cols>
  <sheetData>
    <row r="1" spans="1:26" ht="18.75">
      <c r="A1" s="11" t="s">
        <v>236</v>
      </c>
      <c r="B1" s="11"/>
      <c r="C1" s="11"/>
      <c r="D1" s="11"/>
      <c r="E1" s="11"/>
      <c r="F1" s="11"/>
      <c r="G1" s="11"/>
      <c r="H1" s="11"/>
      <c r="I1" s="11"/>
      <c r="J1" s="11"/>
      <c r="K1" s="11"/>
      <c r="L1" s="11"/>
      <c r="M1" s="11"/>
      <c r="N1" s="11"/>
      <c r="O1" s="11"/>
      <c r="P1" s="11"/>
      <c r="Q1" s="11"/>
      <c r="R1" s="11"/>
      <c r="S1" s="11"/>
      <c r="T1" s="11"/>
      <c r="U1" s="10"/>
      <c r="V1" s="10"/>
      <c r="W1" s="10"/>
      <c r="X1" s="10"/>
      <c r="Y1" s="10"/>
      <c r="Z1" s="10"/>
    </row>
    <row r="2" spans="1:26" ht="27">
      <c r="A2" s="2" t="s">
        <v>237</v>
      </c>
      <c r="B2" s="2" t="s">
        <v>238</v>
      </c>
      <c r="C2" s="2" t="s">
        <v>239</v>
      </c>
      <c r="D2" s="2" t="s">
        <v>240</v>
      </c>
      <c r="E2" s="2" t="s">
        <v>241</v>
      </c>
      <c r="F2" s="2" t="s">
        <v>242</v>
      </c>
      <c r="G2" s="2" t="s">
        <v>243</v>
      </c>
      <c r="H2" s="2" t="s">
        <v>244</v>
      </c>
      <c r="I2" s="2" t="s">
        <v>245</v>
      </c>
      <c r="J2" s="2" t="s">
        <v>246</v>
      </c>
      <c r="K2" s="2" t="s">
        <v>247</v>
      </c>
      <c r="L2" s="2" t="s">
        <v>248</v>
      </c>
      <c r="M2" s="2" t="s">
        <v>249</v>
      </c>
      <c r="N2" s="2" t="s">
        <v>250</v>
      </c>
      <c r="O2" s="2" t="s">
        <v>251</v>
      </c>
      <c r="P2" s="2" t="s">
        <v>252</v>
      </c>
      <c r="Q2" s="2" t="s">
        <v>253</v>
      </c>
      <c r="R2" s="2" t="s">
        <v>254</v>
      </c>
      <c r="S2" s="2" t="s">
        <v>255</v>
      </c>
      <c r="T2" s="2" t="s">
        <v>256</v>
      </c>
      <c r="U2" s="1"/>
      <c r="V2" s="1"/>
      <c r="W2" s="1"/>
      <c r="X2" s="1"/>
      <c r="Y2" s="1"/>
      <c r="Z2" s="1"/>
    </row>
    <row r="3" spans="1:26" ht="15">
      <c r="A3" s="6" t="s">
        <v>257</v>
      </c>
      <c r="B3" s="6" t="s">
        <v>65</v>
      </c>
      <c r="C3" s="6" t="s">
        <v>65</v>
      </c>
      <c r="D3" s="6" t="s">
        <v>258</v>
      </c>
      <c r="E3" s="6" t="s">
        <v>65</v>
      </c>
      <c r="F3" s="7" t="s">
        <v>65</v>
      </c>
      <c r="G3" s="6" t="s">
        <v>65</v>
      </c>
      <c r="H3" s="6" t="s">
        <v>259</v>
      </c>
      <c r="I3" s="6" t="s">
        <v>69</v>
      </c>
      <c r="J3" s="7" t="s">
        <v>65</v>
      </c>
      <c r="K3" s="6">
        <v>0</v>
      </c>
      <c r="L3" s="6">
        <v>0</v>
      </c>
      <c r="M3" s="6">
        <v>0</v>
      </c>
      <c r="N3" s="6">
        <v>0</v>
      </c>
      <c r="O3" s="6">
        <v>0</v>
      </c>
      <c r="P3" s="6">
        <v>0</v>
      </c>
      <c r="Q3" s="6">
        <v>0</v>
      </c>
      <c r="R3" s="6" t="s">
        <v>65</v>
      </c>
      <c r="S3" s="6" t="s">
        <v>132</v>
      </c>
      <c r="T3" s="6" t="s">
        <v>260</v>
      </c>
      <c r="U3" s="1"/>
      <c r="V3" s="1"/>
      <c r="W3" s="1"/>
      <c r="X3" s="1"/>
      <c r="Y3" s="1"/>
      <c r="Z3" s="1"/>
    </row>
    <row r="4" spans="1:26" ht="15">
      <c r="A4" s="6" t="s">
        <v>261</v>
      </c>
      <c r="B4" s="6" t="s">
        <v>65</v>
      </c>
      <c r="C4" s="6" t="s">
        <v>65</v>
      </c>
      <c r="D4" s="6" t="s">
        <v>258</v>
      </c>
      <c r="E4" s="6" t="s">
        <v>65</v>
      </c>
      <c r="F4" s="7" t="s">
        <v>65</v>
      </c>
      <c r="G4" s="6" t="s">
        <v>65</v>
      </c>
      <c r="H4" s="6" t="s">
        <v>259</v>
      </c>
      <c r="I4" s="6" t="s">
        <v>69</v>
      </c>
      <c r="J4" s="7" t="s">
        <v>65</v>
      </c>
      <c r="K4" s="6">
        <v>0</v>
      </c>
      <c r="L4" s="6">
        <v>0</v>
      </c>
      <c r="M4" s="6">
        <v>0</v>
      </c>
      <c r="N4" s="6">
        <v>0</v>
      </c>
      <c r="O4" s="6">
        <v>0</v>
      </c>
      <c r="P4" s="6">
        <v>0</v>
      </c>
      <c r="Q4" s="6">
        <v>0</v>
      </c>
      <c r="R4" s="6" t="s">
        <v>65</v>
      </c>
      <c r="S4" s="6" t="s">
        <v>132</v>
      </c>
      <c r="T4" s="6" t="s">
        <v>260</v>
      </c>
      <c r="U4" s="1"/>
      <c r="V4" s="1"/>
      <c r="W4" s="1"/>
      <c r="X4" s="1"/>
      <c r="Y4" s="1"/>
      <c r="Z4" s="1"/>
    </row>
    <row r="5" spans="1:26" ht="15">
      <c r="A5" s="6" t="s">
        <v>262</v>
      </c>
      <c r="B5" s="6" t="s">
        <v>65</v>
      </c>
      <c r="C5" s="6" t="s">
        <v>65</v>
      </c>
      <c r="D5" s="6" t="s">
        <v>258</v>
      </c>
      <c r="E5" s="6" t="s">
        <v>65</v>
      </c>
      <c r="F5" s="7" t="s">
        <v>65</v>
      </c>
      <c r="G5" s="6" t="s">
        <v>65</v>
      </c>
      <c r="H5" s="6" t="s">
        <v>259</v>
      </c>
      <c r="I5" s="6" t="s">
        <v>69</v>
      </c>
      <c r="J5" s="7" t="s">
        <v>65</v>
      </c>
      <c r="K5" s="6">
        <v>0</v>
      </c>
      <c r="L5" s="6">
        <v>0</v>
      </c>
      <c r="M5" s="6">
        <v>0</v>
      </c>
      <c r="N5" s="6">
        <v>0</v>
      </c>
      <c r="O5" s="6">
        <v>0</v>
      </c>
      <c r="P5" s="6">
        <v>0</v>
      </c>
      <c r="Q5" s="6">
        <v>0</v>
      </c>
      <c r="R5" s="6" t="s">
        <v>65</v>
      </c>
      <c r="S5" s="6" t="s">
        <v>132</v>
      </c>
      <c r="T5" s="6" t="s">
        <v>260</v>
      </c>
      <c r="U5" s="1"/>
      <c r="V5" s="1"/>
      <c r="W5" s="1"/>
      <c r="X5" s="1"/>
      <c r="Y5" s="1"/>
      <c r="Z5" s="1"/>
    </row>
    <row r="6" spans="1:26" ht="15">
      <c r="A6" s="6" t="s">
        <v>263</v>
      </c>
      <c r="B6" s="6" t="s">
        <v>65</v>
      </c>
      <c r="C6" s="6" t="s">
        <v>65</v>
      </c>
      <c r="D6" s="6" t="s">
        <v>258</v>
      </c>
      <c r="E6" s="6" t="s">
        <v>65</v>
      </c>
      <c r="F6" s="7" t="s">
        <v>65</v>
      </c>
      <c r="G6" s="6" t="s">
        <v>65</v>
      </c>
      <c r="H6" s="6" t="s">
        <v>259</v>
      </c>
      <c r="I6" s="6" t="s">
        <v>69</v>
      </c>
      <c r="J6" s="7" t="s">
        <v>65</v>
      </c>
      <c r="K6" s="6">
        <v>0</v>
      </c>
      <c r="L6" s="6">
        <v>0</v>
      </c>
      <c r="M6" s="6">
        <v>0</v>
      </c>
      <c r="N6" s="6">
        <v>0</v>
      </c>
      <c r="O6" s="6">
        <v>0</v>
      </c>
      <c r="P6" s="6">
        <v>0</v>
      </c>
      <c r="Q6" s="6">
        <v>0</v>
      </c>
      <c r="R6" s="6" t="s">
        <v>65</v>
      </c>
      <c r="S6" s="6" t="s">
        <v>132</v>
      </c>
      <c r="T6" s="6" t="s">
        <v>260</v>
      </c>
      <c r="U6" s="1"/>
      <c r="V6" s="1"/>
      <c r="W6" s="1"/>
      <c r="X6" s="1"/>
      <c r="Y6" s="1"/>
      <c r="Z6" s="1"/>
    </row>
    <row r="7" spans="1:26" ht="15">
      <c r="A7" s="6" t="s">
        <v>264</v>
      </c>
      <c r="B7" s="6" t="s">
        <v>65</v>
      </c>
      <c r="C7" s="6" t="s">
        <v>65</v>
      </c>
      <c r="D7" s="6" t="s">
        <v>258</v>
      </c>
      <c r="E7" s="6" t="s">
        <v>65</v>
      </c>
      <c r="F7" s="7" t="s">
        <v>65</v>
      </c>
      <c r="G7" s="6" t="s">
        <v>65</v>
      </c>
      <c r="H7" s="6" t="s">
        <v>259</v>
      </c>
      <c r="I7" s="6" t="s">
        <v>69</v>
      </c>
      <c r="J7" s="7" t="s">
        <v>65</v>
      </c>
      <c r="K7" s="6">
        <v>0</v>
      </c>
      <c r="L7" s="6">
        <v>0</v>
      </c>
      <c r="M7" s="6">
        <v>0</v>
      </c>
      <c r="N7" s="6">
        <v>0</v>
      </c>
      <c r="O7" s="6">
        <v>0</v>
      </c>
      <c r="P7" s="6">
        <v>0</v>
      </c>
      <c r="Q7" s="6">
        <v>0</v>
      </c>
      <c r="R7" s="6" t="s">
        <v>65</v>
      </c>
      <c r="S7" s="6" t="s">
        <v>132</v>
      </c>
      <c r="T7" s="6" t="s">
        <v>260</v>
      </c>
      <c r="U7" s="1"/>
      <c r="V7" s="1"/>
      <c r="W7" s="1"/>
      <c r="X7" s="1"/>
      <c r="Y7" s="1"/>
      <c r="Z7" s="1"/>
    </row>
    <row r="8" spans="1:26" ht="15">
      <c r="A8" s="6" t="s">
        <v>265</v>
      </c>
      <c r="B8" s="6" t="s">
        <v>65</v>
      </c>
      <c r="C8" s="6" t="s">
        <v>65</v>
      </c>
      <c r="D8" s="6" t="s">
        <v>258</v>
      </c>
      <c r="E8" s="6" t="s">
        <v>65</v>
      </c>
      <c r="F8" s="7" t="s">
        <v>65</v>
      </c>
      <c r="G8" s="6" t="s">
        <v>65</v>
      </c>
      <c r="H8" s="6" t="s">
        <v>259</v>
      </c>
      <c r="I8" s="6" t="s">
        <v>69</v>
      </c>
      <c r="J8" s="7" t="s">
        <v>65</v>
      </c>
      <c r="K8" s="6">
        <v>0</v>
      </c>
      <c r="L8" s="6">
        <v>0</v>
      </c>
      <c r="M8" s="6">
        <v>0</v>
      </c>
      <c r="N8" s="6">
        <v>0</v>
      </c>
      <c r="O8" s="6">
        <v>0</v>
      </c>
      <c r="P8" s="6">
        <v>0</v>
      </c>
      <c r="Q8" s="6">
        <v>0</v>
      </c>
      <c r="R8" s="6" t="s">
        <v>65</v>
      </c>
      <c r="S8" s="6" t="s">
        <v>132</v>
      </c>
      <c r="T8" s="6" t="s">
        <v>260</v>
      </c>
      <c r="U8" s="1"/>
      <c r="V8" s="1"/>
      <c r="W8" s="1"/>
      <c r="X8" s="1"/>
      <c r="Y8" s="1"/>
      <c r="Z8" s="1"/>
    </row>
    <row r="9" spans="1:26" ht="15">
      <c r="A9" s="6" t="s">
        <v>266</v>
      </c>
      <c r="B9" s="6" t="s">
        <v>65</v>
      </c>
      <c r="C9" s="6" t="s">
        <v>65</v>
      </c>
      <c r="D9" s="6" t="s">
        <v>258</v>
      </c>
      <c r="E9" s="6" t="s">
        <v>65</v>
      </c>
      <c r="F9" s="7" t="s">
        <v>65</v>
      </c>
      <c r="G9" s="6" t="s">
        <v>65</v>
      </c>
      <c r="H9" s="6" t="s">
        <v>259</v>
      </c>
      <c r="I9" s="6" t="s">
        <v>69</v>
      </c>
      <c r="J9" s="7" t="s">
        <v>65</v>
      </c>
      <c r="K9" s="6">
        <v>0</v>
      </c>
      <c r="L9" s="6">
        <v>0</v>
      </c>
      <c r="M9" s="6">
        <v>0</v>
      </c>
      <c r="N9" s="6">
        <v>0</v>
      </c>
      <c r="O9" s="6">
        <v>0</v>
      </c>
      <c r="P9" s="6">
        <v>0</v>
      </c>
      <c r="Q9" s="6">
        <v>0</v>
      </c>
      <c r="R9" s="6" t="s">
        <v>65</v>
      </c>
      <c r="S9" s="6" t="s">
        <v>132</v>
      </c>
      <c r="T9" s="6" t="s">
        <v>260</v>
      </c>
      <c r="U9" s="1"/>
      <c r="V9" s="1"/>
      <c r="W9" s="1"/>
      <c r="X9" s="1"/>
      <c r="Y9" s="1"/>
      <c r="Z9" s="1"/>
    </row>
    <row r="10" spans="1:26" ht="15">
      <c r="A10" s="6" t="s">
        <v>267</v>
      </c>
      <c r="B10" s="6" t="s">
        <v>65</v>
      </c>
      <c r="C10" s="6" t="s">
        <v>65</v>
      </c>
      <c r="D10" s="6" t="s">
        <v>258</v>
      </c>
      <c r="E10" s="6" t="s">
        <v>65</v>
      </c>
      <c r="F10" s="7" t="s">
        <v>65</v>
      </c>
      <c r="G10" s="6" t="s">
        <v>65</v>
      </c>
      <c r="H10" s="6" t="s">
        <v>259</v>
      </c>
      <c r="I10" s="6" t="s">
        <v>69</v>
      </c>
      <c r="J10" s="7" t="s">
        <v>65</v>
      </c>
      <c r="K10" s="6">
        <v>0</v>
      </c>
      <c r="L10" s="6">
        <v>0</v>
      </c>
      <c r="M10" s="6">
        <v>0</v>
      </c>
      <c r="N10" s="6">
        <v>0</v>
      </c>
      <c r="O10" s="6">
        <v>0</v>
      </c>
      <c r="P10" s="6">
        <v>0</v>
      </c>
      <c r="Q10" s="6">
        <v>0</v>
      </c>
      <c r="R10" s="6" t="s">
        <v>65</v>
      </c>
      <c r="S10" s="6" t="s">
        <v>132</v>
      </c>
      <c r="T10" s="6" t="s">
        <v>260</v>
      </c>
      <c r="U10" s="1"/>
      <c r="V10" s="1"/>
      <c r="W10" s="1"/>
      <c r="X10" s="1"/>
      <c r="Y10" s="1"/>
      <c r="Z10" s="1"/>
    </row>
    <row r="11" spans="1:26" ht="15">
      <c r="A11" s="6" t="s">
        <v>268</v>
      </c>
      <c r="B11" s="6" t="s">
        <v>65</v>
      </c>
      <c r="C11" s="6" t="s">
        <v>65</v>
      </c>
      <c r="D11" s="6" t="s">
        <v>258</v>
      </c>
      <c r="E11" s="6" t="s">
        <v>65</v>
      </c>
      <c r="F11" s="7" t="s">
        <v>65</v>
      </c>
      <c r="G11" s="6" t="s">
        <v>65</v>
      </c>
      <c r="H11" s="6" t="s">
        <v>259</v>
      </c>
      <c r="I11" s="6" t="s">
        <v>69</v>
      </c>
      <c r="J11" s="7" t="s">
        <v>65</v>
      </c>
      <c r="K11" s="6">
        <v>0</v>
      </c>
      <c r="L11" s="6">
        <v>0</v>
      </c>
      <c r="M11" s="6">
        <v>0</v>
      </c>
      <c r="N11" s="6">
        <v>0</v>
      </c>
      <c r="O11" s="6">
        <v>0</v>
      </c>
      <c r="P11" s="6">
        <v>0</v>
      </c>
      <c r="Q11" s="6">
        <v>0</v>
      </c>
      <c r="R11" s="6" t="s">
        <v>65</v>
      </c>
      <c r="S11" s="6" t="s">
        <v>132</v>
      </c>
      <c r="T11" s="6" t="s">
        <v>260</v>
      </c>
      <c r="U11" s="1"/>
      <c r="V11" s="1"/>
      <c r="W11" s="1"/>
      <c r="X11" s="1"/>
      <c r="Y11" s="1"/>
      <c r="Z11" s="1"/>
    </row>
    <row r="12" spans="1:26" ht="15">
      <c r="A12" s="6" t="s">
        <v>269</v>
      </c>
      <c r="B12" s="6" t="s">
        <v>65</v>
      </c>
      <c r="C12" s="6" t="s">
        <v>65</v>
      </c>
      <c r="D12" s="6" t="s">
        <v>258</v>
      </c>
      <c r="E12" s="6" t="s">
        <v>65</v>
      </c>
      <c r="F12" s="7" t="s">
        <v>65</v>
      </c>
      <c r="G12" s="6" t="s">
        <v>65</v>
      </c>
      <c r="H12" s="6" t="s">
        <v>259</v>
      </c>
      <c r="I12" s="6" t="s">
        <v>69</v>
      </c>
      <c r="J12" s="7" t="s">
        <v>65</v>
      </c>
      <c r="K12" s="6">
        <v>0</v>
      </c>
      <c r="L12" s="6">
        <v>0</v>
      </c>
      <c r="M12" s="6">
        <v>0</v>
      </c>
      <c r="N12" s="6">
        <v>0</v>
      </c>
      <c r="O12" s="6">
        <v>0</v>
      </c>
      <c r="P12" s="6">
        <v>0</v>
      </c>
      <c r="Q12" s="6">
        <v>0</v>
      </c>
      <c r="R12" s="6" t="s">
        <v>65</v>
      </c>
      <c r="S12" s="6" t="s">
        <v>132</v>
      </c>
      <c r="T12" s="6" t="s">
        <v>260</v>
      </c>
      <c r="U12" s="1"/>
      <c r="V12" s="1"/>
      <c r="W12" s="1"/>
      <c r="X12" s="1"/>
      <c r="Y12" s="1"/>
      <c r="Z12" s="1"/>
    </row>
    <row r="13" spans="1:26" ht="15">
      <c r="A13" s="6" t="s">
        <v>270</v>
      </c>
      <c r="B13" s="6" t="s">
        <v>65</v>
      </c>
      <c r="C13" s="6" t="s">
        <v>65</v>
      </c>
      <c r="D13" s="6" t="s">
        <v>258</v>
      </c>
      <c r="E13" s="6" t="s">
        <v>65</v>
      </c>
      <c r="F13" s="7" t="s">
        <v>65</v>
      </c>
      <c r="G13" s="6" t="s">
        <v>65</v>
      </c>
      <c r="H13" s="6" t="s">
        <v>259</v>
      </c>
      <c r="I13" s="6" t="s">
        <v>69</v>
      </c>
      <c r="J13" s="7" t="s">
        <v>65</v>
      </c>
      <c r="K13" s="6">
        <v>0</v>
      </c>
      <c r="L13" s="6">
        <v>0</v>
      </c>
      <c r="M13" s="6">
        <v>0</v>
      </c>
      <c r="N13" s="6">
        <v>0</v>
      </c>
      <c r="O13" s="6">
        <v>0</v>
      </c>
      <c r="P13" s="6">
        <v>0</v>
      </c>
      <c r="Q13" s="6">
        <v>0</v>
      </c>
      <c r="R13" s="6" t="s">
        <v>65</v>
      </c>
      <c r="S13" s="6" t="s">
        <v>132</v>
      </c>
      <c r="T13" s="6" t="s">
        <v>260</v>
      </c>
      <c r="U13" s="1"/>
      <c r="V13" s="1"/>
      <c r="W13" s="1"/>
      <c r="X13" s="1"/>
      <c r="Y13" s="1"/>
      <c r="Z13" s="1"/>
    </row>
    <row r="14" spans="1:26" ht="15">
      <c r="A14" s="6" t="s">
        <v>271</v>
      </c>
      <c r="B14" s="6" t="s">
        <v>65</v>
      </c>
      <c r="C14" s="6" t="s">
        <v>65</v>
      </c>
      <c r="D14" s="6" t="s">
        <v>258</v>
      </c>
      <c r="E14" s="6" t="s">
        <v>65</v>
      </c>
      <c r="F14" s="7" t="s">
        <v>65</v>
      </c>
      <c r="G14" s="6" t="s">
        <v>65</v>
      </c>
      <c r="H14" s="6" t="s">
        <v>259</v>
      </c>
      <c r="I14" s="6" t="s">
        <v>69</v>
      </c>
      <c r="J14" s="7" t="s">
        <v>65</v>
      </c>
      <c r="K14" s="6">
        <v>0</v>
      </c>
      <c r="L14" s="6">
        <v>0</v>
      </c>
      <c r="M14" s="6">
        <v>0</v>
      </c>
      <c r="N14" s="6">
        <v>0</v>
      </c>
      <c r="O14" s="6">
        <v>0</v>
      </c>
      <c r="P14" s="6">
        <v>0</v>
      </c>
      <c r="Q14" s="6">
        <v>0</v>
      </c>
      <c r="R14" s="6" t="s">
        <v>65</v>
      </c>
      <c r="S14" s="6" t="s">
        <v>132</v>
      </c>
      <c r="T14" s="6" t="s">
        <v>260</v>
      </c>
      <c r="U14" s="1"/>
      <c r="V14" s="1"/>
      <c r="W14" s="1"/>
      <c r="X14" s="1"/>
      <c r="Y14" s="1"/>
      <c r="Z14" s="1"/>
    </row>
    <row r="15" spans="1:26" ht="15">
      <c r="A15" s="6" t="s">
        <v>272</v>
      </c>
      <c r="B15" s="6" t="s">
        <v>65</v>
      </c>
      <c r="C15" s="6" t="s">
        <v>65</v>
      </c>
      <c r="D15" s="6" t="s">
        <v>258</v>
      </c>
      <c r="E15" s="6" t="s">
        <v>65</v>
      </c>
      <c r="F15" s="7" t="s">
        <v>65</v>
      </c>
      <c r="G15" s="6" t="s">
        <v>65</v>
      </c>
      <c r="H15" s="6" t="s">
        <v>259</v>
      </c>
      <c r="I15" s="6" t="s">
        <v>69</v>
      </c>
      <c r="J15" s="7" t="s">
        <v>65</v>
      </c>
      <c r="K15" s="6">
        <v>0</v>
      </c>
      <c r="L15" s="6">
        <v>0</v>
      </c>
      <c r="M15" s="6">
        <v>0</v>
      </c>
      <c r="N15" s="6">
        <v>0</v>
      </c>
      <c r="O15" s="6">
        <v>0</v>
      </c>
      <c r="P15" s="6">
        <v>0</v>
      </c>
      <c r="Q15" s="6">
        <v>0</v>
      </c>
      <c r="R15" s="6" t="s">
        <v>65</v>
      </c>
      <c r="S15" s="6" t="s">
        <v>132</v>
      </c>
      <c r="T15" s="6" t="s">
        <v>260</v>
      </c>
      <c r="U15" s="1"/>
      <c r="V15" s="1"/>
      <c r="W15" s="1"/>
      <c r="X15" s="1"/>
      <c r="Y15" s="1"/>
      <c r="Z15" s="1"/>
    </row>
    <row r="16" spans="1:26" ht="15">
      <c r="A16" s="6" t="s">
        <v>273</v>
      </c>
      <c r="B16" s="6" t="s">
        <v>65</v>
      </c>
      <c r="C16" s="6" t="s">
        <v>65</v>
      </c>
      <c r="D16" s="6" t="s">
        <v>258</v>
      </c>
      <c r="E16" s="6" t="s">
        <v>65</v>
      </c>
      <c r="F16" s="7" t="s">
        <v>65</v>
      </c>
      <c r="G16" s="6" t="s">
        <v>65</v>
      </c>
      <c r="H16" s="6" t="s">
        <v>259</v>
      </c>
      <c r="I16" s="6" t="s">
        <v>69</v>
      </c>
      <c r="J16" s="7" t="s">
        <v>65</v>
      </c>
      <c r="K16" s="6">
        <v>0</v>
      </c>
      <c r="L16" s="6">
        <v>0</v>
      </c>
      <c r="M16" s="6">
        <v>0</v>
      </c>
      <c r="N16" s="6">
        <v>0</v>
      </c>
      <c r="O16" s="6">
        <v>0</v>
      </c>
      <c r="P16" s="6">
        <v>0</v>
      </c>
      <c r="Q16" s="6">
        <v>0</v>
      </c>
      <c r="R16" s="6" t="s">
        <v>65</v>
      </c>
      <c r="S16" s="6" t="s">
        <v>132</v>
      </c>
      <c r="T16" s="6" t="s">
        <v>260</v>
      </c>
      <c r="U16" s="1"/>
      <c r="V16" s="1"/>
      <c r="W16" s="1"/>
      <c r="X16" s="1"/>
      <c r="Y16" s="1"/>
      <c r="Z16" s="1"/>
    </row>
    <row r="17" spans="1:26" ht="15">
      <c r="A17" s="6" t="s">
        <v>274</v>
      </c>
      <c r="B17" s="6" t="s">
        <v>65</v>
      </c>
      <c r="C17" s="6" t="s">
        <v>65</v>
      </c>
      <c r="D17" s="6" t="s">
        <v>258</v>
      </c>
      <c r="E17" s="6" t="s">
        <v>65</v>
      </c>
      <c r="F17" s="7" t="s">
        <v>65</v>
      </c>
      <c r="G17" s="6" t="s">
        <v>65</v>
      </c>
      <c r="H17" s="6" t="s">
        <v>259</v>
      </c>
      <c r="I17" s="6" t="s">
        <v>69</v>
      </c>
      <c r="J17" s="7" t="s">
        <v>65</v>
      </c>
      <c r="K17" s="6">
        <v>0</v>
      </c>
      <c r="L17" s="6">
        <v>0</v>
      </c>
      <c r="M17" s="6">
        <v>0</v>
      </c>
      <c r="N17" s="6">
        <v>0</v>
      </c>
      <c r="O17" s="6">
        <v>0</v>
      </c>
      <c r="P17" s="6">
        <v>0</v>
      </c>
      <c r="Q17" s="6">
        <v>0</v>
      </c>
      <c r="R17" s="6" t="s">
        <v>65</v>
      </c>
      <c r="S17" s="6" t="s">
        <v>132</v>
      </c>
      <c r="T17" s="6" t="s">
        <v>260</v>
      </c>
      <c r="U17" s="1"/>
      <c r="V17" s="1"/>
      <c r="W17" s="1"/>
      <c r="X17" s="1"/>
      <c r="Y17" s="1"/>
      <c r="Z17" s="1"/>
    </row>
    <row r="18" spans="1:26" ht="15">
      <c r="A18" s="6" t="s">
        <v>275</v>
      </c>
      <c r="B18" s="6" t="s">
        <v>65</v>
      </c>
      <c r="C18" s="6" t="s">
        <v>65</v>
      </c>
      <c r="D18" s="6" t="s">
        <v>258</v>
      </c>
      <c r="E18" s="6" t="s">
        <v>65</v>
      </c>
      <c r="F18" s="7" t="s">
        <v>65</v>
      </c>
      <c r="G18" s="6" t="s">
        <v>65</v>
      </c>
      <c r="H18" s="6" t="s">
        <v>259</v>
      </c>
      <c r="I18" s="6" t="s">
        <v>69</v>
      </c>
      <c r="J18" s="7" t="s">
        <v>65</v>
      </c>
      <c r="K18" s="6">
        <v>0</v>
      </c>
      <c r="L18" s="6">
        <v>0</v>
      </c>
      <c r="M18" s="6">
        <v>0</v>
      </c>
      <c r="N18" s="6">
        <v>0</v>
      </c>
      <c r="O18" s="6">
        <v>0</v>
      </c>
      <c r="P18" s="6">
        <v>0</v>
      </c>
      <c r="Q18" s="6">
        <v>0</v>
      </c>
      <c r="R18" s="6" t="s">
        <v>65</v>
      </c>
      <c r="S18" s="6" t="s">
        <v>132</v>
      </c>
      <c r="T18" s="6" t="s">
        <v>260</v>
      </c>
      <c r="U18" s="1"/>
      <c r="V18" s="1"/>
      <c r="W18" s="1"/>
      <c r="X18" s="1"/>
      <c r="Y18" s="1"/>
      <c r="Z18" s="1"/>
    </row>
    <row r="19" spans="1:26" ht="15">
      <c r="A19" s="6" t="s">
        <v>276</v>
      </c>
      <c r="B19" s="6" t="s">
        <v>65</v>
      </c>
      <c r="C19" s="6" t="s">
        <v>65</v>
      </c>
      <c r="D19" s="6" t="s">
        <v>258</v>
      </c>
      <c r="E19" s="6" t="s">
        <v>65</v>
      </c>
      <c r="F19" s="7" t="s">
        <v>65</v>
      </c>
      <c r="G19" s="6" t="s">
        <v>65</v>
      </c>
      <c r="H19" s="6" t="s">
        <v>259</v>
      </c>
      <c r="I19" s="6" t="s">
        <v>69</v>
      </c>
      <c r="J19" s="7" t="s">
        <v>65</v>
      </c>
      <c r="K19" s="6">
        <v>0</v>
      </c>
      <c r="L19" s="6">
        <v>0</v>
      </c>
      <c r="M19" s="6">
        <v>0</v>
      </c>
      <c r="N19" s="6">
        <v>0</v>
      </c>
      <c r="O19" s="6">
        <v>0</v>
      </c>
      <c r="P19" s="6">
        <v>0</v>
      </c>
      <c r="Q19" s="6">
        <v>0</v>
      </c>
      <c r="R19" s="6" t="s">
        <v>65</v>
      </c>
      <c r="S19" s="6" t="s">
        <v>132</v>
      </c>
      <c r="T19" s="6" t="s">
        <v>260</v>
      </c>
      <c r="U19" s="1"/>
      <c r="V19" s="1"/>
      <c r="W19" s="1"/>
      <c r="X19" s="1"/>
      <c r="Y19" s="1"/>
      <c r="Z19" s="1"/>
    </row>
    <row r="20" spans="1:26" ht="15">
      <c r="A20" s="6" t="s">
        <v>277</v>
      </c>
      <c r="B20" s="6" t="s">
        <v>65</v>
      </c>
      <c r="C20" s="6" t="s">
        <v>65</v>
      </c>
      <c r="D20" s="6" t="s">
        <v>258</v>
      </c>
      <c r="E20" s="6" t="s">
        <v>65</v>
      </c>
      <c r="F20" s="7" t="s">
        <v>65</v>
      </c>
      <c r="G20" s="6" t="s">
        <v>65</v>
      </c>
      <c r="H20" s="6" t="s">
        <v>259</v>
      </c>
      <c r="I20" s="6" t="s">
        <v>69</v>
      </c>
      <c r="J20" s="7" t="s">
        <v>65</v>
      </c>
      <c r="K20" s="6">
        <v>0</v>
      </c>
      <c r="L20" s="6">
        <v>0</v>
      </c>
      <c r="M20" s="6">
        <v>0</v>
      </c>
      <c r="N20" s="6">
        <v>0</v>
      </c>
      <c r="O20" s="6">
        <v>0</v>
      </c>
      <c r="P20" s="6">
        <v>0</v>
      </c>
      <c r="Q20" s="6">
        <v>0</v>
      </c>
      <c r="R20" s="6" t="s">
        <v>65</v>
      </c>
      <c r="S20" s="6" t="s">
        <v>132</v>
      </c>
      <c r="T20" s="6" t="s">
        <v>260</v>
      </c>
      <c r="U20" s="1"/>
      <c r="V20" s="1"/>
      <c r="W20" s="1"/>
      <c r="X20" s="1"/>
      <c r="Y20" s="1"/>
      <c r="Z20" s="1"/>
    </row>
    <row r="21" spans="1:26" ht="15">
      <c r="A21" s="6" t="s">
        <v>278</v>
      </c>
      <c r="B21" s="6" t="s">
        <v>65</v>
      </c>
      <c r="C21" s="6" t="s">
        <v>65</v>
      </c>
      <c r="D21" s="6" t="s">
        <v>258</v>
      </c>
      <c r="E21" s="6" t="s">
        <v>65</v>
      </c>
      <c r="F21" s="7" t="s">
        <v>65</v>
      </c>
      <c r="G21" s="6" t="s">
        <v>65</v>
      </c>
      <c r="H21" s="6" t="s">
        <v>259</v>
      </c>
      <c r="I21" s="6" t="s">
        <v>69</v>
      </c>
      <c r="J21" s="7" t="s">
        <v>65</v>
      </c>
      <c r="K21" s="6">
        <v>0</v>
      </c>
      <c r="L21" s="6">
        <v>0</v>
      </c>
      <c r="M21" s="6">
        <v>0</v>
      </c>
      <c r="N21" s="6">
        <v>0</v>
      </c>
      <c r="O21" s="6">
        <v>0</v>
      </c>
      <c r="P21" s="6">
        <v>0</v>
      </c>
      <c r="Q21" s="6">
        <v>0</v>
      </c>
      <c r="R21" s="6" t="s">
        <v>65</v>
      </c>
      <c r="S21" s="6" t="s">
        <v>132</v>
      </c>
      <c r="T21" s="6" t="s">
        <v>260</v>
      </c>
      <c r="U21" s="1"/>
      <c r="V21" s="1"/>
      <c r="W21" s="1"/>
      <c r="X21" s="1"/>
      <c r="Y21" s="1"/>
      <c r="Z21" s="1"/>
    </row>
    <row r="22" spans="1:26" ht="15">
      <c r="A22" s="6" t="s">
        <v>279</v>
      </c>
      <c r="B22" s="6" t="s">
        <v>65</v>
      </c>
      <c r="C22" s="6" t="s">
        <v>65</v>
      </c>
      <c r="D22" s="6" t="s">
        <v>258</v>
      </c>
      <c r="E22" s="6" t="s">
        <v>65</v>
      </c>
      <c r="F22" s="7" t="s">
        <v>65</v>
      </c>
      <c r="G22" s="6" t="s">
        <v>65</v>
      </c>
      <c r="H22" s="6" t="s">
        <v>259</v>
      </c>
      <c r="I22" s="6" t="s">
        <v>69</v>
      </c>
      <c r="J22" s="7" t="s">
        <v>65</v>
      </c>
      <c r="K22" s="6">
        <v>0</v>
      </c>
      <c r="L22" s="6">
        <v>0</v>
      </c>
      <c r="M22" s="6">
        <v>0</v>
      </c>
      <c r="N22" s="6">
        <v>0</v>
      </c>
      <c r="O22" s="6">
        <v>0</v>
      </c>
      <c r="P22" s="6">
        <v>0</v>
      </c>
      <c r="Q22" s="6">
        <v>0</v>
      </c>
      <c r="R22" s="6" t="s">
        <v>65</v>
      </c>
      <c r="S22" s="6" t="s">
        <v>132</v>
      </c>
      <c r="T22" s="6" t="s">
        <v>260</v>
      </c>
      <c r="U22" s="1"/>
      <c r="V22" s="1"/>
      <c r="W22" s="1"/>
      <c r="X22" s="1"/>
      <c r="Y22" s="1"/>
      <c r="Z22" s="1"/>
    </row>
    <row r="23" spans="1:26" ht="15">
      <c r="A23" s="6" t="s">
        <v>280</v>
      </c>
      <c r="B23" s="6" t="s">
        <v>65</v>
      </c>
      <c r="C23" s="6" t="s">
        <v>65</v>
      </c>
      <c r="D23" s="6" t="s">
        <v>258</v>
      </c>
      <c r="E23" s="6" t="s">
        <v>65</v>
      </c>
      <c r="F23" s="7" t="s">
        <v>65</v>
      </c>
      <c r="G23" s="6" t="s">
        <v>65</v>
      </c>
      <c r="H23" s="6" t="s">
        <v>259</v>
      </c>
      <c r="I23" s="6" t="s">
        <v>69</v>
      </c>
      <c r="J23" s="7" t="s">
        <v>65</v>
      </c>
      <c r="K23" s="6">
        <v>0</v>
      </c>
      <c r="L23" s="6">
        <v>0</v>
      </c>
      <c r="M23" s="6">
        <v>0</v>
      </c>
      <c r="N23" s="6">
        <v>0</v>
      </c>
      <c r="O23" s="6">
        <v>0</v>
      </c>
      <c r="P23" s="6">
        <v>0</v>
      </c>
      <c r="Q23" s="6">
        <v>0</v>
      </c>
      <c r="R23" s="6" t="s">
        <v>65</v>
      </c>
      <c r="S23" s="6" t="s">
        <v>132</v>
      </c>
      <c r="T23" s="6" t="s">
        <v>260</v>
      </c>
      <c r="U23" s="1"/>
      <c r="V23" s="1"/>
      <c r="W23" s="1"/>
      <c r="X23" s="1"/>
      <c r="Y23" s="1"/>
      <c r="Z23" s="1"/>
    </row>
    <row r="24" spans="1:26" ht="15">
      <c r="A24" s="6" t="s">
        <v>281</v>
      </c>
      <c r="B24" s="6" t="s">
        <v>65</v>
      </c>
      <c r="C24" s="6" t="s">
        <v>65</v>
      </c>
      <c r="D24" s="6" t="s">
        <v>258</v>
      </c>
      <c r="E24" s="6" t="s">
        <v>65</v>
      </c>
      <c r="F24" s="7" t="s">
        <v>65</v>
      </c>
      <c r="G24" s="6" t="s">
        <v>65</v>
      </c>
      <c r="H24" s="6" t="s">
        <v>259</v>
      </c>
      <c r="I24" s="6" t="s">
        <v>69</v>
      </c>
      <c r="J24" s="7" t="s">
        <v>65</v>
      </c>
      <c r="K24" s="6">
        <v>0</v>
      </c>
      <c r="L24" s="6">
        <v>0</v>
      </c>
      <c r="M24" s="6">
        <v>0</v>
      </c>
      <c r="N24" s="6">
        <v>0</v>
      </c>
      <c r="O24" s="6">
        <v>0</v>
      </c>
      <c r="P24" s="6">
        <v>0</v>
      </c>
      <c r="Q24" s="6">
        <v>0</v>
      </c>
      <c r="R24" s="6" t="s">
        <v>65</v>
      </c>
      <c r="S24" s="6" t="s">
        <v>132</v>
      </c>
      <c r="T24" s="6" t="s">
        <v>260</v>
      </c>
      <c r="U24" s="1"/>
      <c r="V24" s="1"/>
      <c r="W24" s="1"/>
      <c r="X24" s="1"/>
      <c r="Y24" s="1"/>
      <c r="Z24" s="1"/>
    </row>
    <row r="25" spans="1:26" ht="15">
      <c r="A25" s="6" t="s">
        <v>282</v>
      </c>
      <c r="B25" s="6" t="s">
        <v>65</v>
      </c>
      <c r="C25" s="6" t="s">
        <v>65</v>
      </c>
      <c r="D25" s="6" t="s">
        <v>258</v>
      </c>
      <c r="E25" s="6" t="s">
        <v>65</v>
      </c>
      <c r="F25" s="7" t="s">
        <v>65</v>
      </c>
      <c r="G25" s="6" t="s">
        <v>65</v>
      </c>
      <c r="H25" s="6" t="s">
        <v>259</v>
      </c>
      <c r="I25" s="6" t="s">
        <v>69</v>
      </c>
      <c r="J25" s="7" t="s">
        <v>65</v>
      </c>
      <c r="K25" s="6">
        <v>0</v>
      </c>
      <c r="L25" s="6">
        <v>0</v>
      </c>
      <c r="M25" s="6">
        <v>0</v>
      </c>
      <c r="N25" s="6">
        <v>0</v>
      </c>
      <c r="O25" s="6">
        <v>0</v>
      </c>
      <c r="P25" s="6">
        <v>0</v>
      </c>
      <c r="Q25" s="6">
        <v>0</v>
      </c>
      <c r="R25" s="6" t="s">
        <v>65</v>
      </c>
      <c r="S25" s="6" t="s">
        <v>132</v>
      </c>
      <c r="T25" s="6" t="s">
        <v>260</v>
      </c>
      <c r="U25" s="1"/>
      <c r="V25" s="1"/>
      <c r="W25" s="1"/>
      <c r="X25" s="1"/>
      <c r="Y25" s="1"/>
      <c r="Z25" s="1"/>
    </row>
    <row r="26" spans="1:26" ht="15">
      <c r="A26" s="6" t="s">
        <v>283</v>
      </c>
      <c r="B26" s="6" t="s">
        <v>65</v>
      </c>
      <c r="C26" s="6" t="s">
        <v>65</v>
      </c>
      <c r="D26" s="6" t="s">
        <v>258</v>
      </c>
      <c r="E26" s="6" t="s">
        <v>65</v>
      </c>
      <c r="F26" s="7" t="s">
        <v>65</v>
      </c>
      <c r="G26" s="6" t="s">
        <v>65</v>
      </c>
      <c r="H26" s="6" t="s">
        <v>259</v>
      </c>
      <c r="I26" s="6" t="s">
        <v>69</v>
      </c>
      <c r="J26" s="7" t="s">
        <v>65</v>
      </c>
      <c r="K26" s="6">
        <v>0</v>
      </c>
      <c r="L26" s="6">
        <v>0</v>
      </c>
      <c r="M26" s="6">
        <v>0</v>
      </c>
      <c r="N26" s="6">
        <v>0</v>
      </c>
      <c r="O26" s="6">
        <v>0</v>
      </c>
      <c r="P26" s="6">
        <v>0</v>
      </c>
      <c r="Q26" s="6">
        <v>0</v>
      </c>
      <c r="R26" s="6" t="s">
        <v>65</v>
      </c>
      <c r="S26" s="6" t="s">
        <v>132</v>
      </c>
      <c r="T26" s="6" t="s">
        <v>260</v>
      </c>
      <c r="U26" s="1"/>
      <c r="V26" s="1"/>
      <c r="W26" s="1"/>
      <c r="X26" s="1"/>
      <c r="Y26" s="1"/>
      <c r="Z26" s="1"/>
    </row>
    <row r="27" spans="1:26" ht="15">
      <c r="A27" s="6" t="s">
        <v>284</v>
      </c>
      <c r="B27" s="6" t="s">
        <v>65</v>
      </c>
      <c r="C27" s="6" t="s">
        <v>65</v>
      </c>
      <c r="D27" s="6" t="s">
        <v>258</v>
      </c>
      <c r="E27" s="6" t="s">
        <v>65</v>
      </c>
      <c r="F27" s="7" t="s">
        <v>65</v>
      </c>
      <c r="G27" s="6" t="s">
        <v>65</v>
      </c>
      <c r="H27" s="6" t="s">
        <v>259</v>
      </c>
      <c r="I27" s="6" t="s">
        <v>69</v>
      </c>
      <c r="J27" s="7" t="s">
        <v>65</v>
      </c>
      <c r="K27" s="6">
        <v>0</v>
      </c>
      <c r="L27" s="6">
        <v>0</v>
      </c>
      <c r="M27" s="6">
        <v>0</v>
      </c>
      <c r="N27" s="6">
        <v>0</v>
      </c>
      <c r="O27" s="6">
        <v>0</v>
      </c>
      <c r="P27" s="6">
        <v>0</v>
      </c>
      <c r="Q27" s="6">
        <v>0</v>
      </c>
      <c r="R27" s="6" t="s">
        <v>65</v>
      </c>
      <c r="S27" s="6" t="s">
        <v>132</v>
      </c>
      <c r="T27" s="6" t="s">
        <v>260</v>
      </c>
      <c r="U27" s="1"/>
      <c r="V27" s="1"/>
      <c r="W27" s="1"/>
      <c r="X27" s="1"/>
      <c r="Y27" s="1"/>
      <c r="Z27" s="1"/>
    </row>
    <row r="28" spans="1:26" ht="15">
      <c r="A28" s="6" t="s">
        <v>285</v>
      </c>
      <c r="B28" s="6" t="s">
        <v>65</v>
      </c>
      <c r="C28" s="6" t="s">
        <v>65</v>
      </c>
      <c r="D28" s="6" t="s">
        <v>258</v>
      </c>
      <c r="E28" s="6" t="s">
        <v>65</v>
      </c>
      <c r="F28" s="7" t="s">
        <v>65</v>
      </c>
      <c r="G28" s="6" t="s">
        <v>65</v>
      </c>
      <c r="H28" s="6" t="s">
        <v>259</v>
      </c>
      <c r="I28" s="6" t="s">
        <v>69</v>
      </c>
      <c r="J28" s="7" t="s">
        <v>65</v>
      </c>
      <c r="K28" s="6">
        <v>0</v>
      </c>
      <c r="L28" s="6">
        <v>0</v>
      </c>
      <c r="M28" s="6">
        <v>0</v>
      </c>
      <c r="N28" s="6">
        <v>0</v>
      </c>
      <c r="O28" s="6">
        <v>0</v>
      </c>
      <c r="P28" s="6">
        <v>0</v>
      </c>
      <c r="Q28" s="6">
        <v>0</v>
      </c>
      <c r="R28" s="6" t="s">
        <v>65</v>
      </c>
      <c r="S28" s="6" t="s">
        <v>132</v>
      </c>
      <c r="T28" s="6" t="s">
        <v>260</v>
      </c>
      <c r="U28" s="1"/>
      <c r="V28" s="1"/>
      <c r="W28" s="1"/>
      <c r="X28" s="1"/>
      <c r="Y28" s="1"/>
      <c r="Z28" s="1"/>
    </row>
    <row r="29" spans="1:26" ht="15">
      <c r="A29" s="6" t="s">
        <v>286</v>
      </c>
      <c r="B29" s="6" t="s">
        <v>65</v>
      </c>
      <c r="C29" s="6" t="s">
        <v>65</v>
      </c>
      <c r="D29" s="6" t="s">
        <v>258</v>
      </c>
      <c r="E29" s="6" t="s">
        <v>65</v>
      </c>
      <c r="F29" s="7" t="s">
        <v>65</v>
      </c>
      <c r="G29" s="6" t="s">
        <v>65</v>
      </c>
      <c r="H29" s="6" t="s">
        <v>259</v>
      </c>
      <c r="I29" s="6" t="s">
        <v>69</v>
      </c>
      <c r="J29" s="7" t="s">
        <v>65</v>
      </c>
      <c r="K29" s="6">
        <v>0</v>
      </c>
      <c r="L29" s="6">
        <v>0</v>
      </c>
      <c r="M29" s="6">
        <v>0</v>
      </c>
      <c r="N29" s="6">
        <v>0</v>
      </c>
      <c r="O29" s="6">
        <v>0</v>
      </c>
      <c r="P29" s="6">
        <v>0</v>
      </c>
      <c r="Q29" s="6">
        <v>0</v>
      </c>
      <c r="R29" s="6" t="s">
        <v>65</v>
      </c>
      <c r="S29" s="6" t="s">
        <v>132</v>
      </c>
      <c r="T29" s="6" t="s">
        <v>260</v>
      </c>
      <c r="U29" s="1"/>
      <c r="V29" s="1"/>
      <c r="W29" s="1"/>
      <c r="X29" s="1"/>
      <c r="Y29" s="1"/>
      <c r="Z29" s="1"/>
    </row>
    <row r="30" spans="1:26" ht="15">
      <c r="A30" s="6" t="s">
        <v>287</v>
      </c>
      <c r="B30" s="6" t="s">
        <v>65</v>
      </c>
      <c r="C30" s="6" t="s">
        <v>65</v>
      </c>
      <c r="D30" s="6" t="s">
        <v>258</v>
      </c>
      <c r="E30" s="6" t="s">
        <v>65</v>
      </c>
      <c r="F30" s="7" t="s">
        <v>65</v>
      </c>
      <c r="G30" s="6" t="s">
        <v>65</v>
      </c>
      <c r="H30" s="6" t="s">
        <v>259</v>
      </c>
      <c r="I30" s="6" t="s">
        <v>69</v>
      </c>
      <c r="J30" s="7" t="s">
        <v>65</v>
      </c>
      <c r="K30" s="6">
        <v>0</v>
      </c>
      <c r="L30" s="6">
        <v>0</v>
      </c>
      <c r="M30" s="6">
        <v>0</v>
      </c>
      <c r="N30" s="6">
        <v>0</v>
      </c>
      <c r="O30" s="6">
        <v>0</v>
      </c>
      <c r="P30" s="6">
        <v>0</v>
      </c>
      <c r="Q30" s="6">
        <v>0</v>
      </c>
      <c r="R30" s="6" t="s">
        <v>65</v>
      </c>
      <c r="S30" s="6" t="s">
        <v>132</v>
      </c>
      <c r="T30" s="6" t="s">
        <v>260</v>
      </c>
      <c r="U30" s="1"/>
      <c r="V30" s="1"/>
      <c r="W30" s="1"/>
      <c r="X30" s="1"/>
      <c r="Y30" s="1"/>
      <c r="Z30" s="1"/>
    </row>
    <row r="31" spans="1:26" ht="15">
      <c r="A31" s="6" t="s">
        <v>288</v>
      </c>
      <c r="B31" s="6" t="s">
        <v>65</v>
      </c>
      <c r="C31" s="6" t="s">
        <v>65</v>
      </c>
      <c r="D31" s="6" t="s">
        <v>258</v>
      </c>
      <c r="E31" s="6" t="s">
        <v>65</v>
      </c>
      <c r="F31" s="7" t="s">
        <v>65</v>
      </c>
      <c r="G31" s="6" t="s">
        <v>65</v>
      </c>
      <c r="H31" s="6" t="s">
        <v>259</v>
      </c>
      <c r="I31" s="6" t="s">
        <v>69</v>
      </c>
      <c r="J31" s="7" t="s">
        <v>65</v>
      </c>
      <c r="K31" s="6">
        <v>0</v>
      </c>
      <c r="L31" s="6">
        <v>0</v>
      </c>
      <c r="M31" s="6">
        <v>0</v>
      </c>
      <c r="N31" s="6">
        <v>0</v>
      </c>
      <c r="O31" s="6">
        <v>0</v>
      </c>
      <c r="P31" s="6">
        <v>0</v>
      </c>
      <c r="Q31" s="6">
        <v>0</v>
      </c>
      <c r="R31" s="6" t="s">
        <v>65</v>
      </c>
      <c r="S31" s="6" t="s">
        <v>132</v>
      </c>
      <c r="T31" s="6" t="s">
        <v>260</v>
      </c>
      <c r="U31" s="1"/>
      <c r="V31" s="1"/>
      <c r="W31" s="1"/>
      <c r="X31" s="1"/>
      <c r="Y31" s="1"/>
      <c r="Z31" s="1"/>
    </row>
    <row r="32" spans="1:26" ht="15">
      <c r="A32" s="6" t="s">
        <v>289</v>
      </c>
      <c r="B32" s="6" t="s">
        <v>65</v>
      </c>
      <c r="C32" s="6" t="s">
        <v>65</v>
      </c>
      <c r="D32" s="6" t="s">
        <v>258</v>
      </c>
      <c r="E32" s="6" t="s">
        <v>65</v>
      </c>
      <c r="F32" s="7" t="s">
        <v>65</v>
      </c>
      <c r="G32" s="6" t="s">
        <v>65</v>
      </c>
      <c r="H32" s="6" t="s">
        <v>259</v>
      </c>
      <c r="I32" s="6" t="s">
        <v>69</v>
      </c>
      <c r="J32" s="7" t="s">
        <v>65</v>
      </c>
      <c r="K32" s="6">
        <v>0</v>
      </c>
      <c r="L32" s="6">
        <v>0</v>
      </c>
      <c r="M32" s="6">
        <v>0</v>
      </c>
      <c r="N32" s="6">
        <v>0</v>
      </c>
      <c r="O32" s="6">
        <v>0</v>
      </c>
      <c r="P32" s="6">
        <v>0</v>
      </c>
      <c r="Q32" s="6">
        <v>0</v>
      </c>
      <c r="R32" s="6" t="s">
        <v>65</v>
      </c>
      <c r="S32" s="6" t="s">
        <v>132</v>
      </c>
      <c r="T32" s="6" t="s">
        <v>260</v>
      </c>
      <c r="U32" s="1"/>
      <c r="V32" s="1"/>
      <c r="W32" s="1"/>
      <c r="X32" s="1"/>
      <c r="Y32" s="1"/>
      <c r="Z32" s="1"/>
    </row>
    <row r="33" spans="1:26" ht="15">
      <c r="A33" s="6" t="s">
        <v>290</v>
      </c>
      <c r="B33" s="6" t="s">
        <v>65</v>
      </c>
      <c r="C33" s="6" t="s">
        <v>65</v>
      </c>
      <c r="D33" s="6" t="s">
        <v>258</v>
      </c>
      <c r="E33" s="6" t="s">
        <v>65</v>
      </c>
      <c r="F33" s="7" t="s">
        <v>65</v>
      </c>
      <c r="G33" s="6" t="s">
        <v>65</v>
      </c>
      <c r="H33" s="6" t="s">
        <v>259</v>
      </c>
      <c r="I33" s="6" t="s">
        <v>69</v>
      </c>
      <c r="J33" s="7" t="s">
        <v>65</v>
      </c>
      <c r="K33" s="6">
        <v>0</v>
      </c>
      <c r="L33" s="6">
        <v>0</v>
      </c>
      <c r="M33" s="6">
        <v>0</v>
      </c>
      <c r="N33" s="6">
        <v>0</v>
      </c>
      <c r="O33" s="6">
        <v>0</v>
      </c>
      <c r="P33" s="6">
        <v>0</v>
      </c>
      <c r="Q33" s="6">
        <v>0</v>
      </c>
      <c r="R33" s="6" t="s">
        <v>65</v>
      </c>
      <c r="S33" s="6" t="s">
        <v>132</v>
      </c>
      <c r="T33" s="6" t="s">
        <v>260</v>
      </c>
      <c r="U33" s="1"/>
      <c r="V33" s="1"/>
      <c r="W33" s="1"/>
      <c r="X33" s="1"/>
      <c r="Y33" s="1"/>
      <c r="Z33" s="1"/>
    </row>
    <row r="34" spans="1:26" ht="15">
      <c r="A34" s="6" t="s">
        <v>291</v>
      </c>
      <c r="B34" s="6" t="s">
        <v>65</v>
      </c>
      <c r="C34" s="6" t="s">
        <v>65</v>
      </c>
      <c r="D34" s="6" t="s">
        <v>258</v>
      </c>
      <c r="E34" s="6" t="s">
        <v>65</v>
      </c>
      <c r="F34" s="7" t="s">
        <v>65</v>
      </c>
      <c r="G34" s="6" t="s">
        <v>65</v>
      </c>
      <c r="H34" s="6" t="s">
        <v>259</v>
      </c>
      <c r="I34" s="6" t="s">
        <v>69</v>
      </c>
      <c r="J34" s="7" t="s">
        <v>65</v>
      </c>
      <c r="K34" s="6">
        <v>0</v>
      </c>
      <c r="L34" s="6">
        <v>0</v>
      </c>
      <c r="M34" s="6">
        <v>0</v>
      </c>
      <c r="N34" s="6">
        <v>0</v>
      </c>
      <c r="O34" s="6">
        <v>0</v>
      </c>
      <c r="P34" s="6">
        <v>0</v>
      </c>
      <c r="Q34" s="6">
        <v>0</v>
      </c>
      <c r="R34" s="6" t="s">
        <v>65</v>
      </c>
      <c r="S34" s="6" t="s">
        <v>132</v>
      </c>
      <c r="T34" s="6" t="s">
        <v>260</v>
      </c>
      <c r="U34" s="1"/>
      <c r="V34" s="1"/>
      <c r="W34" s="1"/>
      <c r="X34" s="1"/>
      <c r="Y34" s="1"/>
      <c r="Z34" s="1"/>
    </row>
    <row r="35" spans="1:26" ht="15">
      <c r="A35" s="6" t="s">
        <v>292</v>
      </c>
      <c r="B35" s="6" t="s">
        <v>65</v>
      </c>
      <c r="C35" s="6" t="s">
        <v>65</v>
      </c>
      <c r="D35" s="6" t="s">
        <v>258</v>
      </c>
      <c r="E35" s="6" t="s">
        <v>65</v>
      </c>
      <c r="F35" s="7" t="s">
        <v>65</v>
      </c>
      <c r="G35" s="6" t="s">
        <v>65</v>
      </c>
      <c r="H35" s="6" t="s">
        <v>259</v>
      </c>
      <c r="I35" s="6" t="s">
        <v>69</v>
      </c>
      <c r="J35" s="7" t="s">
        <v>65</v>
      </c>
      <c r="K35" s="6">
        <v>0</v>
      </c>
      <c r="L35" s="6">
        <v>0</v>
      </c>
      <c r="M35" s="6">
        <v>0</v>
      </c>
      <c r="N35" s="6">
        <v>0</v>
      </c>
      <c r="O35" s="6">
        <v>0</v>
      </c>
      <c r="P35" s="6">
        <v>0</v>
      </c>
      <c r="Q35" s="6">
        <v>0</v>
      </c>
      <c r="R35" s="6" t="s">
        <v>65</v>
      </c>
      <c r="S35" s="6" t="s">
        <v>132</v>
      </c>
      <c r="T35" s="6" t="s">
        <v>260</v>
      </c>
      <c r="U35" s="1"/>
      <c r="V35" s="1"/>
      <c r="W35" s="1"/>
      <c r="X35" s="1"/>
      <c r="Y35" s="1"/>
      <c r="Z35" s="1"/>
    </row>
    <row r="36" spans="1:26" ht="15">
      <c r="A36" s="6" t="s">
        <v>293</v>
      </c>
      <c r="B36" s="6" t="s">
        <v>65</v>
      </c>
      <c r="C36" s="6" t="s">
        <v>65</v>
      </c>
      <c r="D36" s="6" t="s">
        <v>258</v>
      </c>
      <c r="E36" s="6" t="s">
        <v>65</v>
      </c>
      <c r="F36" s="7" t="s">
        <v>65</v>
      </c>
      <c r="G36" s="6" t="s">
        <v>65</v>
      </c>
      <c r="H36" s="6" t="s">
        <v>259</v>
      </c>
      <c r="I36" s="6" t="s">
        <v>69</v>
      </c>
      <c r="J36" s="7" t="s">
        <v>65</v>
      </c>
      <c r="K36" s="6">
        <v>0</v>
      </c>
      <c r="L36" s="6">
        <v>0</v>
      </c>
      <c r="M36" s="6">
        <v>0</v>
      </c>
      <c r="N36" s="6">
        <v>0</v>
      </c>
      <c r="O36" s="6">
        <v>0</v>
      </c>
      <c r="P36" s="6">
        <v>0</v>
      </c>
      <c r="Q36" s="6">
        <v>0</v>
      </c>
      <c r="R36" s="6" t="s">
        <v>65</v>
      </c>
      <c r="S36" s="6" t="s">
        <v>132</v>
      </c>
      <c r="T36" s="6" t="s">
        <v>260</v>
      </c>
      <c r="U36" s="1"/>
      <c r="V36" s="1"/>
      <c r="W36" s="1"/>
      <c r="X36" s="1"/>
      <c r="Y36" s="1"/>
      <c r="Z36" s="1"/>
    </row>
    <row r="37" spans="1:26" ht="15">
      <c r="A37" s="6" t="s">
        <v>294</v>
      </c>
      <c r="B37" s="6" t="s">
        <v>65</v>
      </c>
      <c r="C37" s="6" t="s">
        <v>65</v>
      </c>
      <c r="D37" s="6" t="s">
        <v>258</v>
      </c>
      <c r="E37" s="6" t="s">
        <v>65</v>
      </c>
      <c r="F37" s="7" t="s">
        <v>65</v>
      </c>
      <c r="G37" s="6" t="s">
        <v>65</v>
      </c>
      <c r="H37" s="6" t="s">
        <v>259</v>
      </c>
      <c r="I37" s="6" t="s">
        <v>69</v>
      </c>
      <c r="J37" s="7" t="s">
        <v>65</v>
      </c>
      <c r="K37" s="6">
        <v>0</v>
      </c>
      <c r="L37" s="6">
        <v>0</v>
      </c>
      <c r="M37" s="6">
        <v>0</v>
      </c>
      <c r="N37" s="6">
        <v>0</v>
      </c>
      <c r="O37" s="6">
        <v>0</v>
      </c>
      <c r="P37" s="6">
        <v>0</v>
      </c>
      <c r="Q37" s="6">
        <v>0</v>
      </c>
      <c r="R37" s="6" t="s">
        <v>65</v>
      </c>
      <c r="S37" s="6" t="s">
        <v>132</v>
      </c>
      <c r="T37" s="6" t="s">
        <v>260</v>
      </c>
      <c r="U37" s="1"/>
      <c r="V37" s="1"/>
      <c r="W37" s="1"/>
      <c r="X37" s="1"/>
      <c r="Y37" s="1"/>
      <c r="Z37" s="1"/>
    </row>
    <row r="38" spans="1:26" ht="15">
      <c r="A38" s="6" t="s">
        <v>295</v>
      </c>
      <c r="B38" s="6" t="s">
        <v>65</v>
      </c>
      <c r="C38" s="6" t="s">
        <v>65</v>
      </c>
      <c r="D38" s="6" t="s">
        <v>258</v>
      </c>
      <c r="E38" s="6" t="s">
        <v>65</v>
      </c>
      <c r="F38" s="7" t="s">
        <v>65</v>
      </c>
      <c r="G38" s="6" t="s">
        <v>65</v>
      </c>
      <c r="H38" s="6" t="s">
        <v>259</v>
      </c>
      <c r="I38" s="6" t="s">
        <v>69</v>
      </c>
      <c r="J38" s="7" t="s">
        <v>65</v>
      </c>
      <c r="K38" s="6">
        <v>0</v>
      </c>
      <c r="L38" s="6">
        <v>0</v>
      </c>
      <c r="M38" s="6">
        <v>0</v>
      </c>
      <c r="N38" s="6">
        <v>0</v>
      </c>
      <c r="O38" s="6">
        <v>0</v>
      </c>
      <c r="P38" s="6">
        <v>0</v>
      </c>
      <c r="Q38" s="6">
        <v>0</v>
      </c>
      <c r="R38" s="6" t="s">
        <v>65</v>
      </c>
      <c r="S38" s="6" t="s">
        <v>132</v>
      </c>
      <c r="T38" s="6" t="s">
        <v>260</v>
      </c>
      <c r="U38" s="1"/>
      <c r="V38" s="1"/>
      <c r="W38" s="1"/>
      <c r="X38" s="1"/>
      <c r="Y38" s="1"/>
      <c r="Z38" s="1"/>
    </row>
    <row r="39" spans="1:26" ht="15">
      <c r="A39" s="6" t="s">
        <v>296</v>
      </c>
      <c r="B39" s="6" t="s">
        <v>65</v>
      </c>
      <c r="C39" s="6" t="s">
        <v>65</v>
      </c>
      <c r="D39" s="6" t="s">
        <v>258</v>
      </c>
      <c r="E39" s="6" t="s">
        <v>65</v>
      </c>
      <c r="F39" s="7" t="s">
        <v>65</v>
      </c>
      <c r="G39" s="6" t="s">
        <v>65</v>
      </c>
      <c r="H39" s="6" t="s">
        <v>259</v>
      </c>
      <c r="I39" s="6" t="s">
        <v>69</v>
      </c>
      <c r="J39" s="7" t="s">
        <v>65</v>
      </c>
      <c r="K39" s="6">
        <v>0</v>
      </c>
      <c r="L39" s="6">
        <v>0</v>
      </c>
      <c r="M39" s="6">
        <v>0</v>
      </c>
      <c r="N39" s="6">
        <v>0</v>
      </c>
      <c r="O39" s="6">
        <v>0</v>
      </c>
      <c r="P39" s="6">
        <v>0</v>
      </c>
      <c r="Q39" s="6">
        <v>0</v>
      </c>
      <c r="R39" s="6" t="s">
        <v>65</v>
      </c>
      <c r="S39" s="6" t="s">
        <v>132</v>
      </c>
      <c r="T39" s="6" t="s">
        <v>260</v>
      </c>
      <c r="U39" s="1"/>
      <c r="V39" s="1"/>
      <c r="W39" s="1"/>
      <c r="X39" s="1"/>
      <c r="Y39" s="1"/>
      <c r="Z39" s="1"/>
    </row>
    <row r="40" spans="1:26" ht="15">
      <c r="A40" s="6" t="s">
        <v>297</v>
      </c>
      <c r="B40" s="6" t="s">
        <v>65</v>
      </c>
      <c r="C40" s="6" t="s">
        <v>65</v>
      </c>
      <c r="D40" s="6" t="s">
        <v>258</v>
      </c>
      <c r="E40" s="6" t="s">
        <v>65</v>
      </c>
      <c r="F40" s="7" t="s">
        <v>65</v>
      </c>
      <c r="G40" s="6" t="s">
        <v>65</v>
      </c>
      <c r="H40" s="6" t="s">
        <v>259</v>
      </c>
      <c r="I40" s="6" t="s">
        <v>69</v>
      </c>
      <c r="J40" s="7" t="s">
        <v>65</v>
      </c>
      <c r="K40" s="6">
        <v>0</v>
      </c>
      <c r="L40" s="6">
        <v>0</v>
      </c>
      <c r="M40" s="6">
        <v>0</v>
      </c>
      <c r="N40" s="6">
        <v>0</v>
      </c>
      <c r="O40" s="6">
        <v>0</v>
      </c>
      <c r="P40" s="6">
        <v>0</v>
      </c>
      <c r="Q40" s="6">
        <v>0</v>
      </c>
      <c r="R40" s="6" t="s">
        <v>65</v>
      </c>
      <c r="S40" s="6" t="s">
        <v>132</v>
      </c>
      <c r="T40" s="6" t="s">
        <v>260</v>
      </c>
      <c r="U40" s="1"/>
      <c r="V40" s="1"/>
      <c r="W40" s="1"/>
      <c r="X40" s="1"/>
      <c r="Y40" s="1"/>
      <c r="Z40" s="1"/>
    </row>
    <row r="41" spans="1:26" ht="15">
      <c r="A41" s="6" t="s">
        <v>298</v>
      </c>
      <c r="B41" s="6" t="s">
        <v>65</v>
      </c>
      <c r="C41" s="6" t="s">
        <v>65</v>
      </c>
      <c r="D41" s="6" t="s">
        <v>258</v>
      </c>
      <c r="E41" s="6" t="s">
        <v>65</v>
      </c>
      <c r="F41" s="7" t="s">
        <v>65</v>
      </c>
      <c r="G41" s="6" t="s">
        <v>65</v>
      </c>
      <c r="H41" s="6" t="s">
        <v>259</v>
      </c>
      <c r="I41" s="6" t="s">
        <v>69</v>
      </c>
      <c r="J41" s="7" t="s">
        <v>65</v>
      </c>
      <c r="K41" s="6">
        <v>0</v>
      </c>
      <c r="L41" s="6">
        <v>0</v>
      </c>
      <c r="M41" s="6">
        <v>0</v>
      </c>
      <c r="N41" s="6">
        <v>0</v>
      </c>
      <c r="O41" s="6">
        <v>0</v>
      </c>
      <c r="P41" s="6">
        <v>0</v>
      </c>
      <c r="Q41" s="6">
        <v>0</v>
      </c>
      <c r="R41" s="6" t="s">
        <v>65</v>
      </c>
      <c r="S41" s="6" t="s">
        <v>132</v>
      </c>
      <c r="T41" s="6" t="s">
        <v>260</v>
      </c>
      <c r="U41" s="1"/>
      <c r="V41" s="1"/>
      <c r="W41" s="1"/>
      <c r="X41" s="1"/>
      <c r="Y41" s="1"/>
      <c r="Z41" s="1"/>
    </row>
    <row r="42" spans="1:26" ht="15">
      <c r="A42" s="6" t="s">
        <v>299</v>
      </c>
      <c r="B42" s="6" t="s">
        <v>65</v>
      </c>
      <c r="C42" s="6" t="s">
        <v>65</v>
      </c>
      <c r="D42" s="6" t="s">
        <v>258</v>
      </c>
      <c r="E42" s="6" t="s">
        <v>65</v>
      </c>
      <c r="F42" s="7" t="s">
        <v>65</v>
      </c>
      <c r="G42" s="6" t="s">
        <v>65</v>
      </c>
      <c r="H42" s="6" t="s">
        <v>259</v>
      </c>
      <c r="I42" s="6" t="s">
        <v>69</v>
      </c>
      <c r="J42" s="7" t="s">
        <v>65</v>
      </c>
      <c r="K42" s="6">
        <v>0</v>
      </c>
      <c r="L42" s="6">
        <v>0</v>
      </c>
      <c r="M42" s="6">
        <v>0</v>
      </c>
      <c r="N42" s="6">
        <v>0</v>
      </c>
      <c r="O42" s="6">
        <v>0</v>
      </c>
      <c r="P42" s="6">
        <v>0</v>
      </c>
      <c r="Q42" s="6">
        <v>0</v>
      </c>
      <c r="R42" s="6" t="s">
        <v>65</v>
      </c>
      <c r="S42" s="6" t="s">
        <v>132</v>
      </c>
      <c r="T42" s="6" t="s">
        <v>260</v>
      </c>
      <c r="U42" s="1"/>
      <c r="V42" s="1"/>
      <c r="W42" s="1"/>
      <c r="X42" s="1"/>
      <c r="Y42" s="1"/>
      <c r="Z42" s="1"/>
    </row>
    <row r="43" spans="1:26" ht="15">
      <c r="A43" s="6" t="s">
        <v>300</v>
      </c>
      <c r="B43" s="6" t="s">
        <v>65</v>
      </c>
      <c r="C43" s="6" t="s">
        <v>65</v>
      </c>
      <c r="D43" s="6" t="s">
        <v>258</v>
      </c>
      <c r="E43" s="6" t="s">
        <v>65</v>
      </c>
      <c r="F43" s="7" t="s">
        <v>65</v>
      </c>
      <c r="G43" s="6" t="s">
        <v>65</v>
      </c>
      <c r="H43" s="6" t="s">
        <v>259</v>
      </c>
      <c r="I43" s="6" t="s">
        <v>69</v>
      </c>
      <c r="J43" s="7" t="s">
        <v>65</v>
      </c>
      <c r="K43" s="6">
        <v>0</v>
      </c>
      <c r="L43" s="6">
        <v>0</v>
      </c>
      <c r="M43" s="6">
        <v>0</v>
      </c>
      <c r="N43" s="6">
        <v>0</v>
      </c>
      <c r="O43" s="6">
        <v>0</v>
      </c>
      <c r="P43" s="6">
        <v>0</v>
      </c>
      <c r="Q43" s="6">
        <v>0</v>
      </c>
      <c r="R43" s="6" t="s">
        <v>65</v>
      </c>
      <c r="S43" s="6" t="s">
        <v>132</v>
      </c>
      <c r="T43" s="6" t="s">
        <v>260</v>
      </c>
      <c r="U43" s="1"/>
      <c r="V43" s="1"/>
      <c r="W43" s="1"/>
      <c r="X43" s="1"/>
      <c r="Y43" s="1"/>
      <c r="Z43" s="1"/>
    </row>
    <row r="44" spans="1:26" ht="15">
      <c r="A44" s="6" t="s">
        <v>301</v>
      </c>
      <c r="B44" s="6" t="s">
        <v>65</v>
      </c>
      <c r="C44" s="6" t="s">
        <v>65</v>
      </c>
      <c r="D44" s="6" t="s">
        <v>258</v>
      </c>
      <c r="E44" s="6" t="s">
        <v>65</v>
      </c>
      <c r="F44" s="7" t="s">
        <v>65</v>
      </c>
      <c r="G44" s="6" t="s">
        <v>65</v>
      </c>
      <c r="H44" s="6" t="s">
        <v>259</v>
      </c>
      <c r="I44" s="6" t="s">
        <v>69</v>
      </c>
      <c r="J44" s="7" t="s">
        <v>65</v>
      </c>
      <c r="K44" s="6">
        <v>0</v>
      </c>
      <c r="L44" s="6">
        <v>0</v>
      </c>
      <c r="M44" s="6">
        <v>0</v>
      </c>
      <c r="N44" s="6">
        <v>0</v>
      </c>
      <c r="O44" s="6">
        <v>0</v>
      </c>
      <c r="P44" s="6">
        <v>0</v>
      </c>
      <c r="Q44" s="6">
        <v>0</v>
      </c>
      <c r="R44" s="6" t="s">
        <v>65</v>
      </c>
      <c r="S44" s="6" t="s">
        <v>132</v>
      </c>
      <c r="T44" s="6" t="s">
        <v>260</v>
      </c>
      <c r="U44" s="1"/>
      <c r="V44" s="1"/>
      <c r="W44" s="1"/>
      <c r="X44" s="1"/>
      <c r="Y44" s="1"/>
      <c r="Z44" s="1"/>
    </row>
    <row r="45" spans="1:26" ht="15">
      <c r="A45" s="6" t="s">
        <v>302</v>
      </c>
      <c r="B45" s="6" t="s">
        <v>65</v>
      </c>
      <c r="C45" s="6" t="s">
        <v>65</v>
      </c>
      <c r="D45" s="6" t="s">
        <v>258</v>
      </c>
      <c r="E45" s="6" t="s">
        <v>65</v>
      </c>
      <c r="F45" s="7" t="s">
        <v>65</v>
      </c>
      <c r="G45" s="6" t="s">
        <v>65</v>
      </c>
      <c r="H45" s="6" t="s">
        <v>259</v>
      </c>
      <c r="I45" s="6" t="s">
        <v>69</v>
      </c>
      <c r="J45" s="7" t="s">
        <v>65</v>
      </c>
      <c r="K45" s="6">
        <v>0</v>
      </c>
      <c r="L45" s="6">
        <v>0</v>
      </c>
      <c r="M45" s="6">
        <v>0</v>
      </c>
      <c r="N45" s="6">
        <v>0</v>
      </c>
      <c r="O45" s="6">
        <v>0</v>
      </c>
      <c r="P45" s="6">
        <v>0</v>
      </c>
      <c r="Q45" s="6">
        <v>0</v>
      </c>
      <c r="R45" s="6" t="s">
        <v>65</v>
      </c>
      <c r="S45" s="6" t="s">
        <v>132</v>
      </c>
      <c r="T45" s="6" t="s">
        <v>260</v>
      </c>
      <c r="U45" s="1"/>
      <c r="V45" s="1"/>
      <c r="W45" s="1"/>
      <c r="X45" s="1"/>
      <c r="Y45" s="1"/>
      <c r="Z45" s="1"/>
    </row>
    <row r="46" spans="1:26" ht="15">
      <c r="A46" s="6" t="s">
        <v>303</v>
      </c>
      <c r="B46" s="6" t="s">
        <v>65</v>
      </c>
      <c r="C46" s="6" t="s">
        <v>65</v>
      </c>
      <c r="D46" s="6" t="s">
        <v>258</v>
      </c>
      <c r="E46" s="6" t="s">
        <v>65</v>
      </c>
      <c r="F46" s="7" t="s">
        <v>65</v>
      </c>
      <c r="G46" s="6" t="s">
        <v>65</v>
      </c>
      <c r="H46" s="6" t="s">
        <v>259</v>
      </c>
      <c r="I46" s="6" t="s">
        <v>69</v>
      </c>
      <c r="J46" s="7" t="s">
        <v>65</v>
      </c>
      <c r="K46" s="6">
        <v>0</v>
      </c>
      <c r="L46" s="6">
        <v>0</v>
      </c>
      <c r="M46" s="6">
        <v>0</v>
      </c>
      <c r="N46" s="6">
        <v>0</v>
      </c>
      <c r="O46" s="6">
        <v>0</v>
      </c>
      <c r="P46" s="6">
        <v>0</v>
      </c>
      <c r="Q46" s="6">
        <v>0</v>
      </c>
      <c r="R46" s="6" t="s">
        <v>65</v>
      </c>
      <c r="S46" s="6" t="s">
        <v>132</v>
      </c>
      <c r="T46" s="6" t="s">
        <v>260</v>
      </c>
      <c r="U46" s="1"/>
      <c r="V46" s="1"/>
      <c r="W46" s="1"/>
      <c r="X46" s="1"/>
      <c r="Y46" s="1"/>
      <c r="Z46" s="1"/>
    </row>
    <row r="47" spans="1:26" ht="15">
      <c r="A47" s="6" t="s">
        <v>304</v>
      </c>
      <c r="B47" s="6" t="s">
        <v>65</v>
      </c>
      <c r="C47" s="6" t="s">
        <v>65</v>
      </c>
      <c r="D47" s="6" t="s">
        <v>258</v>
      </c>
      <c r="E47" s="6" t="s">
        <v>65</v>
      </c>
      <c r="F47" s="7" t="s">
        <v>65</v>
      </c>
      <c r="G47" s="6" t="s">
        <v>65</v>
      </c>
      <c r="H47" s="6" t="s">
        <v>259</v>
      </c>
      <c r="I47" s="6" t="s">
        <v>69</v>
      </c>
      <c r="J47" s="7" t="s">
        <v>65</v>
      </c>
      <c r="K47" s="6">
        <v>0</v>
      </c>
      <c r="L47" s="6">
        <v>0</v>
      </c>
      <c r="M47" s="6">
        <v>0</v>
      </c>
      <c r="N47" s="6">
        <v>0</v>
      </c>
      <c r="O47" s="6">
        <v>0</v>
      </c>
      <c r="P47" s="6">
        <v>0</v>
      </c>
      <c r="Q47" s="6">
        <v>0</v>
      </c>
      <c r="R47" s="6" t="s">
        <v>65</v>
      </c>
      <c r="S47" s="6" t="s">
        <v>132</v>
      </c>
      <c r="T47" s="6" t="s">
        <v>260</v>
      </c>
      <c r="U47" s="1"/>
      <c r="V47" s="1"/>
      <c r="W47" s="1"/>
      <c r="X47" s="1"/>
      <c r="Y47" s="1"/>
      <c r="Z47" s="1"/>
    </row>
    <row r="48" spans="1:26" ht="15">
      <c r="A48" s="6" t="s">
        <v>305</v>
      </c>
      <c r="B48" s="6" t="s">
        <v>65</v>
      </c>
      <c r="C48" s="6" t="s">
        <v>65</v>
      </c>
      <c r="D48" s="6" t="s">
        <v>258</v>
      </c>
      <c r="E48" s="6" t="s">
        <v>65</v>
      </c>
      <c r="F48" s="7" t="s">
        <v>65</v>
      </c>
      <c r="G48" s="6" t="s">
        <v>65</v>
      </c>
      <c r="H48" s="6" t="s">
        <v>259</v>
      </c>
      <c r="I48" s="6" t="s">
        <v>69</v>
      </c>
      <c r="J48" s="7" t="s">
        <v>65</v>
      </c>
      <c r="K48" s="6">
        <v>0</v>
      </c>
      <c r="L48" s="6">
        <v>0</v>
      </c>
      <c r="M48" s="6">
        <v>0</v>
      </c>
      <c r="N48" s="6">
        <v>0</v>
      </c>
      <c r="O48" s="6">
        <v>0</v>
      </c>
      <c r="P48" s="6">
        <v>0</v>
      </c>
      <c r="Q48" s="6">
        <v>0</v>
      </c>
      <c r="R48" s="6" t="s">
        <v>65</v>
      </c>
      <c r="S48" s="6" t="s">
        <v>132</v>
      </c>
      <c r="T48" s="6" t="s">
        <v>260</v>
      </c>
      <c r="U48" s="1"/>
      <c r="V48" s="1"/>
      <c r="W48" s="1"/>
      <c r="X48" s="1"/>
      <c r="Y48" s="1"/>
      <c r="Z48" s="1"/>
    </row>
    <row r="49" spans="1:26" ht="15">
      <c r="A49" s="6" t="s">
        <v>306</v>
      </c>
      <c r="B49" s="6" t="s">
        <v>65</v>
      </c>
      <c r="C49" s="6" t="s">
        <v>65</v>
      </c>
      <c r="D49" s="6" t="s">
        <v>258</v>
      </c>
      <c r="E49" s="6" t="s">
        <v>65</v>
      </c>
      <c r="F49" s="7" t="s">
        <v>65</v>
      </c>
      <c r="G49" s="6" t="s">
        <v>65</v>
      </c>
      <c r="H49" s="6" t="s">
        <v>259</v>
      </c>
      <c r="I49" s="6" t="s">
        <v>69</v>
      </c>
      <c r="J49" s="7" t="s">
        <v>65</v>
      </c>
      <c r="K49" s="6">
        <v>0</v>
      </c>
      <c r="L49" s="6">
        <v>0</v>
      </c>
      <c r="M49" s="6">
        <v>0</v>
      </c>
      <c r="N49" s="6">
        <v>0</v>
      </c>
      <c r="O49" s="6">
        <v>0</v>
      </c>
      <c r="P49" s="6">
        <v>0</v>
      </c>
      <c r="Q49" s="6">
        <v>0</v>
      </c>
      <c r="R49" s="6" t="s">
        <v>65</v>
      </c>
      <c r="S49" s="6" t="s">
        <v>132</v>
      </c>
      <c r="T49" s="6" t="s">
        <v>260</v>
      </c>
      <c r="U49" s="1"/>
      <c r="V49" s="1"/>
      <c r="W49" s="1"/>
      <c r="X49" s="1"/>
      <c r="Y49" s="1"/>
      <c r="Z49" s="1"/>
    </row>
    <row r="50" spans="1:26" ht="15">
      <c r="A50" s="6" t="s">
        <v>307</v>
      </c>
      <c r="B50" s="6" t="s">
        <v>65</v>
      </c>
      <c r="C50" s="6" t="s">
        <v>65</v>
      </c>
      <c r="D50" s="6" t="s">
        <v>258</v>
      </c>
      <c r="E50" s="6" t="s">
        <v>65</v>
      </c>
      <c r="F50" s="7" t="s">
        <v>65</v>
      </c>
      <c r="G50" s="6" t="s">
        <v>65</v>
      </c>
      <c r="H50" s="6" t="s">
        <v>259</v>
      </c>
      <c r="I50" s="6" t="s">
        <v>69</v>
      </c>
      <c r="J50" s="7" t="s">
        <v>65</v>
      </c>
      <c r="K50" s="6">
        <v>0</v>
      </c>
      <c r="L50" s="6">
        <v>0</v>
      </c>
      <c r="M50" s="6">
        <v>0</v>
      </c>
      <c r="N50" s="6">
        <v>0</v>
      </c>
      <c r="O50" s="6">
        <v>0</v>
      </c>
      <c r="P50" s="6">
        <v>0</v>
      </c>
      <c r="Q50" s="6">
        <v>0</v>
      </c>
      <c r="R50" s="6" t="s">
        <v>65</v>
      </c>
      <c r="S50" s="6" t="s">
        <v>132</v>
      </c>
      <c r="T50" s="6" t="s">
        <v>260</v>
      </c>
      <c r="U50" s="1"/>
      <c r="V50" s="1"/>
      <c r="W50" s="1"/>
      <c r="X50" s="1"/>
      <c r="Y50" s="1"/>
      <c r="Z50" s="1"/>
    </row>
    <row r="51" spans="1:26" ht="15">
      <c r="A51" s="6" t="s">
        <v>308</v>
      </c>
      <c r="B51" s="6" t="s">
        <v>65</v>
      </c>
      <c r="C51" s="6" t="s">
        <v>65</v>
      </c>
      <c r="D51" s="6" t="s">
        <v>258</v>
      </c>
      <c r="E51" s="6" t="s">
        <v>65</v>
      </c>
      <c r="F51" s="7" t="s">
        <v>65</v>
      </c>
      <c r="G51" s="6" t="s">
        <v>65</v>
      </c>
      <c r="H51" s="6" t="s">
        <v>259</v>
      </c>
      <c r="I51" s="6" t="s">
        <v>69</v>
      </c>
      <c r="J51" s="7" t="s">
        <v>65</v>
      </c>
      <c r="K51" s="6">
        <v>0</v>
      </c>
      <c r="L51" s="6">
        <v>0</v>
      </c>
      <c r="M51" s="6">
        <v>0</v>
      </c>
      <c r="N51" s="6">
        <v>0</v>
      </c>
      <c r="O51" s="6">
        <v>0</v>
      </c>
      <c r="P51" s="6">
        <v>0</v>
      </c>
      <c r="Q51" s="6">
        <v>0</v>
      </c>
      <c r="R51" s="6" t="s">
        <v>65</v>
      </c>
      <c r="S51" s="6" t="s">
        <v>132</v>
      </c>
      <c r="T51" s="6" t="s">
        <v>260</v>
      </c>
      <c r="U51" s="1"/>
      <c r="V51" s="1"/>
      <c r="W51" s="1"/>
      <c r="X51" s="1"/>
      <c r="Y51" s="1"/>
      <c r="Z51" s="1"/>
    </row>
    <row r="52" spans="1:26" ht="15">
      <c r="A52" s="6" t="s">
        <v>309</v>
      </c>
      <c r="B52" s="6" t="s">
        <v>65</v>
      </c>
      <c r="C52" s="6" t="s">
        <v>65</v>
      </c>
      <c r="D52" s="6" t="s">
        <v>258</v>
      </c>
      <c r="E52" s="6" t="s">
        <v>65</v>
      </c>
      <c r="F52" s="7" t="s">
        <v>65</v>
      </c>
      <c r="G52" s="6" t="s">
        <v>65</v>
      </c>
      <c r="H52" s="6" t="s">
        <v>259</v>
      </c>
      <c r="I52" s="6" t="s">
        <v>69</v>
      </c>
      <c r="J52" s="7" t="s">
        <v>65</v>
      </c>
      <c r="K52" s="6">
        <v>0</v>
      </c>
      <c r="L52" s="6">
        <v>0</v>
      </c>
      <c r="M52" s="6">
        <v>0</v>
      </c>
      <c r="N52" s="6">
        <v>0</v>
      </c>
      <c r="O52" s="6">
        <v>0</v>
      </c>
      <c r="P52" s="6">
        <v>0</v>
      </c>
      <c r="Q52" s="6">
        <v>0</v>
      </c>
      <c r="R52" s="6" t="s">
        <v>65</v>
      </c>
      <c r="S52" s="6" t="s">
        <v>132</v>
      </c>
      <c r="T52" s="6" t="s">
        <v>260</v>
      </c>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sheetData>
  <mergeCells count="1">
    <mergeCell ref="A1:T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300-000000000000}">
          <x14:formula1>
            <xm:f>Controlled_Vocab!$E$4:$E$6</xm:f>
          </x14:formula1>
          <xm:sqref>G3:G52</xm:sqref>
        </x14:dataValidation>
        <x14:dataValidation type="list" xr:uid="{00000000-0002-0000-0300-000001000000}">
          <x14:formula1>
            <xm:f>Controlled_Vocab!$J$4:$J$7</xm:f>
          </x14:formula1>
          <xm:sqref>I3:I52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Z118"/>
  <sheetViews>
    <sheetView workbookViewId="0">
      <selection activeCell="A2" sqref="A2:XFD2"/>
    </sheetView>
  </sheetViews>
  <sheetFormatPr defaultRowHeight="14.25"/>
  <cols>
    <col min="1" max="1" width="12" customWidth="1"/>
    <col min="2" max="2" width="16" customWidth="1"/>
    <col min="3" max="3" width="26" customWidth="1"/>
    <col min="4" max="5" width="70" customWidth="1"/>
    <col min="6" max="6" width="15" customWidth="1"/>
    <col min="7" max="8" width="22" customWidth="1"/>
    <col min="9" max="9" width="52" customWidth="1"/>
    <col min="10" max="10" width="20" customWidth="1"/>
    <col min="11" max="11" width="38" customWidth="1"/>
    <col min="12" max="13" width="22" customWidth="1"/>
    <col min="14" max="14" width="42" customWidth="1"/>
    <col min="15" max="16" width="58" customWidth="1"/>
    <col min="17" max="17" width="20" customWidth="1"/>
    <col min="18" max="18" width="48" customWidth="1"/>
  </cols>
  <sheetData>
    <row r="1" spans="1:26" ht="18.75">
      <c r="A1" s="11" t="s">
        <v>310</v>
      </c>
      <c r="B1" s="11"/>
      <c r="C1" s="11"/>
      <c r="D1" s="11"/>
      <c r="E1" s="11"/>
      <c r="F1" s="11"/>
      <c r="G1" s="11"/>
      <c r="H1" s="11"/>
      <c r="I1" s="11"/>
      <c r="J1" s="11"/>
      <c r="K1" s="11"/>
      <c r="L1" s="11"/>
      <c r="M1" s="11"/>
      <c r="N1" s="11"/>
      <c r="O1" s="11"/>
      <c r="P1" s="11"/>
      <c r="Q1" s="11"/>
      <c r="R1" s="11"/>
      <c r="S1" s="10"/>
      <c r="T1" s="10"/>
      <c r="U1" s="10"/>
      <c r="V1" s="10"/>
      <c r="W1" s="10"/>
      <c r="X1" s="10"/>
      <c r="Y1" s="10"/>
      <c r="Z1" s="10"/>
    </row>
    <row r="2" spans="1:26" ht="27">
      <c r="A2" s="2" t="s">
        <v>311</v>
      </c>
      <c r="B2" s="2" t="s">
        <v>238</v>
      </c>
      <c r="C2" s="2" t="s">
        <v>312</v>
      </c>
      <c r="D2" s="2" t="s">
        <v>313</v>
      </c>
      <c r="E2" s="2" t="s">
        <v>314</v>
      </c>
      <c r="F2" s="2" t="s">
        <v>242</v>
      </c>
      <c r="G2" s="2" t="s">
        <v>315</v>
      </c>
      <c r="H2" s="2" t="s">
        <v>316</v>
      </c>
      <c r="I2" s="2" t="s">
        <v>317</v>
      </c>
      <c r="J2" s="2" t="s">
        <v>116</v>
      </c>
      <c r="K2" s="2" t="s">
        <v>318</v>
      </c>
      <c r="L2" s="2" t="s">
        <v>36</v>
      </c>
      <c r="M2" s="2" t="s">
        <v>319</v>
      </c>
      <c r="N2" s="2" t="s">
        <v>320</v>
      </c>
      <c r="O2" s="2" t="s">
        <v>19</v>
      </c>
      <c r="P2" s="2" t="s">
        <v>321</v>
      </c>
      <c r="Q2" s="2" t="s">
        <v>322</v>
      </c>
      <c r="R2" s="2" t="s">
        <v>129</v>
      </c>
      <c r="S2" s="1"/>
      <c r="T2" s="1"/>
      <c r="U2" s="1"/>
      <c r="V2" s="1"/>
      <c r="W2" s="1"/>
      <c r="X2" s="1"/>
      <c r="Y2" s="1"/>
      <c r="Z2" s="1"/>
    </row>
    <row r="3" spans="1:26" ht="27">
      <c r="A3" s="6" t="s">
        <v>323</v>
      </c>
      <c r="B3" s="6" t="s">
        <v>65</v>
      </c>
      <c r="C3" s="6" t="s">
        <v>65</v>
      </c>
      <c r="D3" s="6" t="s">
        <v>324</v>
      </c>
      <c r="E3" s="6" t="s">
        <v>65</v>
      </c>
      <c r="F3" s="7" t="s">
        <v>65</v>
      </c>
      <c r="G3" s="6" t="s">
        <v>65</v>
      </c>
      <c r="H3" s="6" t="s">
        <v>65</v>
      </c>
      <c r="I3" s="6" t="s">
        <v>325</v>
      </c>
      <c r="J3" s="6">
        <v>0</v>
      </c>
      <c r="K3" s="6" t="s">
        <v>65</v>
      </c>
      <c r="L3" s="6" t="s">
        <v>54</v>
      </c>
      <c r="M3" s="6" t="s">
        <v>65</v>
      </c>
      <c r="N3" s="6" t="s">
        <v>326</v>
      </c>
      <c r="O3" s="6" t="s">
        <v>132</v>
      </c>
      <c r="P3" s="6" t="s">
        <v>260</v>
      </c>
      <c r="Q3" s="6" t="s">
        <v>327</v>
      </c>
      <c r="R3" s="6" t="s">
        <v>328</v>
      </c>
      <c r="S3" s="1"/>
      <c r="T3" s="1"/>
      <c r="U3" s="1"/>
      <c r="V3" s="1"/>
      <c r="W3" s="1"/>
      <c r="X3" s="1"/>
      <c r="Y3" s="1"/>
      <c r="Z3" s="1"/>
    </row>
    <row r="4" spans="1:26" ht="27">
      <c r="A4" s="6" t="s">
        <v>329</v>
      </c>
      <c r="B4" s="6" t="s">
        <v>65</v>
      </c>
      <c r="C4" s="6" t="s">
        <v>65</v>
      </c>
      <c r="D4" s="6" t="s">
        <v>324</v>
      </c>
      <c r="E4" s="6" t="s">
        <v>65</v>
      </c>
      <c r="F4" s="7" t="s">
        <v>65</v>
      </c>
      <c r="G4" s="6" t="s">
        <v>65</v>
      </c>
      <c r="H4" s="6" t="s">
        <v>65</v>
      </c>
      <c r="I4" s="6" t="s">
        <v>325</v>
      </c>
      <c r="J4" s="6">
        <v>0</v>
      </c>
      <c r="K4" s="6" t="s">
        <v>65</v>
      </c>
      <c r="L4" s="6" t="s">
        <v>54</v>
      </c>
      <c r="M4" s="6" t="s">
        <v>65</v>
      </c>
      <c r="N4" s="6" t="s">
        <v>326</v>
      </c>
      <c r="O4" s="6" t="s">
        <v>132</v>
      </c>
      <c r="P4" s="6" t="s">
        <v>260</v>
      </c>
      <c r="Q4" s="6" t="s">
        <v>327</v>
      </c>
      <c r="R4" s="6" t="s">
        <v>328</v>
      </c>
      <c r="S4" s="1"/>
      <c r="T4" s="1"/>
      <c r="U4" s="1"/>
      <c r="V4" s="1"/>
      <c r="W4" s="1"/>
      <c r="X4" s="1"/>
      <c r="Y4" s="1"/>
      <c r="Z4" s="1"/>
    </row>
    <row r="5" spans="1:26" ht="27">
      <c r="A5" s="6" t="s">
        <v>330</v>
      </c>
      <c r="B5" s="6" t="s">
        <v>65</v>
      </c>
      <c r="C5" s="6" t="s">
        <v>65</v>
      </c>
      <c r="D5" s="6" t="s">
        <v>324</v>
      </c>
      <c r="E5" s="6" t="s">
        <v>65</v>
      </c>
      <c r="F5" s="7" t="s">
        <v>65</v>
      </c>
      <c r="G5" s="6" t="s">
        <v>65</v>
      </c>
      <c r="H5" s="6" t="s">
        <v>65</v>
      </c>
      <c r="I5" s="6" t="s">
        <v>325</v>
      </c>
      <c r="J5" s="6">
        <v>0</v>
      </c>
      <c r="K5" s="6" t="s">
        <v>65</v>
      </c>
      <c r="L5" s="6" t="s">
        <v>54</v>
      </c>
      <c r="M5" s="6" t="s">
        <v>65</v>
      </c>
      <c r="N5" s="6" t="s">
        <v>326</v>
      </c>
      <c r="O5" s="6" t="s">
        <v>132</v>
      </c>
      <c r="P5" s="6" t="s">
        <v>260</v>
      </c>
      <c r="Q5" s="6" t="s">
        <v>327</v>
      </c>
      <c r="R5" s="6" t="s">
        <v>328</v>
      </c>
      <c r="S5" s="1"/>
      <c r="T5" s="1"/>
      <c r="U5" s="1"/>
      <c r="V5" s="1"/>
      <c r="W5" s="1"/>
      <c r="X5" s="1"/>
      <c r="Y5" s="1"/>
      <c r="Z5" s="1"/>
    </row>
    <row r="6" spans="1:26" ht="27">
      <c r="A6" s="6" t="s">
        <v>331</v>
      </c>
      <c r="B6" s="6" t="s">
        <v>65</v>
      </c>
      <c r="C6" s="6" t="s">
        <v>65</v>
      </c>
      <c r="D6" s="6" t="s">
        <v>324</v>
      </c>
      <c r="E6" s="6" t="s">
        <v>65</v>
      </c>
      <c r="F6" s="7" t="s">
        <v>65</v>
      </c>
      <c r="G6" s="6" t="s">
        <v>65</v>
      </c>
      <c r="H6" s="6" t="s">
        <v>65</v>
      </c>
      <c r="I6" s="6" t="s">
        <v>325</v>
      </c>
      <c r="J6" s="6">
        <v>0</v>
      </c>
      <c r="K6" s="6" t="s">
        <v>65</v>
      </c>
      <c r="L6" s="6" t="s">
        <v>54</v>
      </c>
      <c r="M6" s="6" t="s">
        <v>65</v>
      </c>
      <c r="N6" s="6" t="s">
        <v>326</v>
      </c>
      <c r="O6" s="6" t="s">
        <v>132</v>
      </c>
      <c r="P6" s="6" t="s">
        <v>260</v>
      </c>
      <c r="Q6" s="6" t="s">
        <v>327</v>
      </c>
      <c r="R6" s="6" t="s">
        <v>328</v>
      </c>
      <c r="S6" s="1"/>
      <c r="T6" s="1"/>
      <c r="U6" s="1"/>
      <c r="V6" s="1"/>
      <c r="W6" s="1"/>
      <c r="X6" s="1"/>
      <c r="Y6" s="1"/>
      <c r="Z6" s="1"/>
    </row>
    <row r="7" spans="1:26" ht="27">
      <c r="A7" s="6" t="s">
        <v>332</v>
      </c>
      <c r="B7" s="6" t="s">
        <v>65</v>
      </c>
      <c r="C7" s="6" t="s">
        <v>65</v>
      </c>
      <c r="D7" s="6" t="s">
        <v>324</v>
      </c>
      <c r="E7" s="6" t="s">
        <v>65</v>
      </c>
      <c r="F7" s="7" t="s">
        <v>65</v>
      </c>
      <c r="G7" s="6" t="s">
        <v>65</v>
      </c>
      <c r="H7" s="6" t="s">
        <v>65</v>
      </c>
      <c r="I7" s="6" t="s">
        <v>325</v>
      </c>
      <c r="J7" s="6">
        <v>0</v>
      </c>
      <c r="K7" s="6" t="s">
        <v>65</v>
      </c>
      <c r="L7" s="6" t="s">
        <v>54</v>
      </c>
      <c r="M7" s="6" t="s">
        <v>65</v>
      </c>
      <c r="N7" s="6" t="s">
        <v>326</v>
      </c>
      <c r="O7" s="6" t="s">
        <v>132</v>
      </c>
      <c r="P7" s="6" t="s">
        <v>260</v>
      </c>
      <c r="Q7" s="6" t="s">
        <v>327</v>
      </c>
      <c r="R7" s="6" t="s">
        <v>328</v>
      </c>
      <c r="S7" s="1"/>
      <c r="T7" s="1"/>
      <c r="U7" s="1"/>
      <c r="V7" s="1"/>
      <c r="W7" s="1"/>
      <c r="X7" s="1"/>
      <c r="Y7" s="1"/>
      <c r="Z7" s="1"/>
    </row>
    <row r="8" spans="1:26" ht="27">
      <c r="A8" s="6" t="s">
        <v>333</v>
      </c>
      <c r="B8" s="6" t="s">
        <v>65</v>
      </c>
      <c r="C8" s="6" t="s">
        <v>65</v>
      </c>
      <c r="D8" s="6" t="s">
        <v>324</v>
      </c>
      <c r="E8" s="6" t="s">
        <v>65</v>
      </c>
      <c r="F8" s="7" t="s">
        <v>65</v>
      </c>
      <c r="G8" s="6" t="s">
        <v>65</v>
      </c>
      <c r="H8" s="6" t="s">
        <v>65</v>
      </c>
      <c r="I8" s="6" t="s">
        <v>325</v>
      </c>
      <c r="J8" s="6">
        <v>0</v>
      </c>
      <c r="K8" s="6" t="s">
        <v>65</v>
      </c>
      <c r="L8" s="6" t="s">
        <v>54</v>
      </c>
      <c r="M8" s="6" t="s">
        <v>65</v>
      </c>
      <c r="N8" s="6" t="s">
        <v>326</v>
      </c>
      <c r="O8" s="6" t="s">
        <v>132</v>
      </c>
      <c r="P8" s="6" t="s">
        <v>260</v>
      </c>
      <c r="Q8" s="6" t="s">
        <v>327</v>
      </c>
      <c r="R8" s="6" t="s">
        <v>328</v>
      </c>
      <c r="S8" s="1"/>
      <c r="T8" s="1"/>
      <c r="U8" s="1"/>
      <c r="V8" s="1"/>
      <c r="W8" s="1"/>
      <c r="X8" s="1"/>
      <c r="Y8" s="1"/>
      <c r="Z8" s="1"/>
    </row>
    <row r="9" spans="1:26" ht="27">
      <c r="A9" s="6" t="s">
        <v>334</v>
      </c>
      <c r="B9" s="6" t="s">
        <v>65</v>
      </c>
      <c r="C9" s="6" t="s">
        <v>65</v>
      </c>
      <c r="D9" s="6" t="s">
        <v>324</v>
      </c>
      <c r="E9" s="6" t="s">
        <v>65</v>
      </c>
      <c r="F9" s="7" t="s">
        <v>65</v>
      </c>
      <c r="G9" s="6" t="s">
        <v>65</v>
      </c>
      <c r="H9" s="6" t="s">
        <v>65</v>
      </c>
      <c r="I9" s="6" t="s">
        <v>325</v>
      </c>
      <c r="J9" s="6">
        <v>0</v>
      </c>
      <c r="K9" s="6" t="s">
        <v>65</v>
      </c>
      <c r="L9" s="6" t="s">
        <v>54</v>
      </c>
      <c r="M9" s="6" t="s">
        <v>65</v>
      </c>
      <c r="N9" s="6" t="s">
        <v>326</v>
      </c>
      <c r="O9" s="6" t="s">
        <v>132</v>
      </c>
      <c r="P9" s="6" t="s">
        <v>260</v>
      </c>
      <c r="Q9" s="6" t="s">
        <v>327</v>
      </c>
      <c r="R9" s="6" t="s">
        <v>328</v>
      </c>
      <c r="S9" s="1"/>
      <c r="T9" s="1"/>
      <c r="U9" s="1"/>
      <c r="V9" s="1"/>
      <c r="W9" s="1"/>
      <c r="X9" s="1"/>
      <c r="Y9" s="1"/>
      <c r="Z9" s="1"/>
    </row>
    <row r="10" spans="1:26" ht="27">
      <c r="A10" s="6" t="s">
        <v>335</v>
      </c>
      <c r="B10" s="6" t="s">
        <v>65</v>
      </c>
      <c r="C10" s="6" t="s">
        <v>65</v>
      </c>
      <c r="D10" s="6" t="s">
        <v>324</v>
      </c>
      <c r="E10" s="6" t="s">
        <v>65</v>
      </c>
      <c r="F10" s="7" t="s">
        <v>65</v>
      </c>
      <c r="G10" s="6" t="s">
        <v>65</v>
      </c>
      <c r="H10" s="6" t="s">
        <v>65</v>
      </c>
      <c r="I10" s="6" t="s">
        <v>325</v>
      </c>
      <c r="J10" s="6">
        <v>0</v>
      </c>
      <c r="K10" s="6" t="s">
        <v>65</v>
      </c>
      <c r="L10" s="6" t="s">
        <v>54</v>
      </c>
      <c r="M10" s="6" t="s">
        <v>65</v>
      </c>
      <c r="N10" s="6" t="s">
        <v>326</v>
      </c>
      <c r="O10" s="6" t="s">
        <v>132</v>
      </c>
      <c r="P10" s="6" t="s">
        <v>260</v>
      </c>
      <c r="Q10" s="6" t="s">
        <v>327</v>
      </c>
      <c r="R10" s="6" t="s">
        <v>328</v>
      </c>
      <c r="S10" s="1"/>
      <c r="T10" s="1"/>
      <c r="U10" s="1"/>
      <c r="V10" s="1"/>
      <c r="W10" s="1"/>
      <c r="X10" s="1"/>
      <c r="Y10" s="1"/>
      <c r="Z10" s="1"/>
    </row>
    <row r="11" spans="1:26" ht="27">
      <c r="A11" s="6" t="s">
        <v>336</v>
      </c>
      <c r="B11" s="6" t="s">
        <v>65</v>
      </c>
      <c r="C11" s="6" t="s">
        <v>65</v>
      </c>
      <c r="D11" s="6" t="s">
        <v>324</v>
      </c>
      <c r="E11" s="6" t="s">
        <v>65</v>
      </c>
      <c r="F11" s="7" t="s">
        <v>65</v>
      </c>
      <c r="G11" s="6" t="s">
        <v>65</v>
      </c>
      <c r="H11" s="6" t="s">
        <v>65</v>
      </c>
      <c r="I11" s="6" t="s">
        <v>325</v>
      </c>
      <c r="J11" s="6">
        <v>0</v>
      </c>
      <c r="K11" s="6" t="s">
        <v>65</v>
      </c>
      <c r="L11" s="6" t="s">
        <v>54</v>
      </c>
      <c r="M11" s="6" t="s">
        <v>65</v>
      </c>
      <c r="N11" s="6" t="s">
        <v>326</v>
      </c>
      <c r="O11" s="6" t="s">
        <v>132</v>
      </c>
      <c r="P11" s="6" t="s">
        <v>260</v>
      </c>
      <c r="Q11" s="6" t="s">
        <v>327</v>
      </c>
      <c r="R11" s="6" t="s">
        <v>328</v>
      </c>
      <c r="S11" s="1"/>
      <c r="T11" s="1"/>
      <c r="U11" s="1"/>
      <c r="V11" s="1"/>
      <c r="W11" s="1"/>
      <c r="X11" s="1"/>
      <c r="Y11" s="1"/>
      <c r="Z11" s="1"/>
    </row>
    <row r="12" spans="1:26" ht="27">
      <c r="A12" s="6" t="s">
        <v>337</v>
      </c>
      <c r="B12" s="6" t="s">
        <v>65</v>
      </c>
      <c r="C12" s="6" t="s">
        <v>65</v>
      </c>
      <c r="D12" s="6" t="s">
        <v>324</v>
      </c>
      <c r="E12" s="6" t="s">
        <v>65</v>
      </c>
      <c r="F12" s="7" t="s">
        <v>65</v>
      </c>
      <c r="G12" s="6" t="s">
        <v>65</v>
      </c>
      <c r="H12" s="6" t="s">
        <v>65</v>
      </c>
      <c r="I12" s="6" t="s">
        <v>325</v>
      </c>
      <c r="J12" s="6">
        <v>0</v>
      </c>
      <c r="K12" s="6" t="s">
        <v>65</v>
      </c>
      <c r="L12" s="6" t="s">
        <v>54</v>
      </c>
      <c r="M12" s="6" t="s">
        <v>65</v>
      </c>
      <c r="N12" s="6" t="s">
        <v>326</v>
      </c>
      <c r="O12" s="6" t="s">
        <v>132</v>
      </c>
      <c r="P12" s="6" t="s">
        <v>260</v>
      </c>
      <c r="Q12" s="6" t="s">
        <v>327</v>
      </c>
      <c r="R12" s="6" t="s">
        <v>328</v>
      </c>
      <c r="S12" s="1"/>
      <c r="T12" s="1"/>
      <c r="U12" s="1"/>
      <c r="V12" s="1"/>
      <c r="W12" s="1"/>
      <c r="X12" s="1"/>
      <c r="Y12" s="1"/>
      <c r="Z12" s="1"/>
    </row>
    <row r="13" spans="1:26" ht="27">
      <c r="A13" s="6" t="s">
        <v>338</v>
      </c>
      <c r="B13" s="6" t="s">
        <v>65</v>
      </c>
      <c r="C13" s="6" t="s">
        <v>65</v>
      </c>
      <c r="D13" s="6" t="s">
        <v>324</v>
      </c>
      <c r="E13" s="6" t="s">
        <v>65</v>
      </c>
      <c r="F13" s="7" t="s">
        <v>65</v>
      </c>
      <c r="G13" s="6" t="s">
        <v>65</v>
      </c>
      <c r="H13" s="6" t="s">
        <v>65</v>
      </c>
      <c r="I13" s="6" t="s">
        <v>325</v>
      </c>
      <c r="J13" s="6">
        <v>0</v>
      </c>
      <c r="K13" s="6" t="s">
        <v>65</v>
      </c>
      <c r="L13" s="6" t="s">
        <v>54</v>
      </c>
      <c r="M13" s="6" t="s">
        <v>65</v>
      </c>
      <c r="N13" s="6" t="s">
        <v>326</v>
      </c>
      <c r="O13" s="6" t="s">
        <v>132</v>
      </c>
      <c r="P13" s="6" t="s">
        <v>260</v>
      </c>
      <c r="Q13" s="6" t="s">
        <v>327</v>
      </c>
      <c r="R13" s="6" t="s">
        <v>328</v>
      </c>
      <c r="S13" s="1"/>
      <c r="T13" s="1"/>
      <c r="U13" s="1"/>
      <c r="V13" s="1"/>
      <c r="W13" s="1"/>
      <c r="X13" s="1"/>
      <c r="Y13" s="1"/>
      <c r="Z13" s="1"/>
    </row>
    <row r="14" spans="1:26" ht="27">
      <c r="A14" s="6" t="s">
        <v>339</v>
      </c>
      <c r="B14" s="6" t="s">
        <v>65</v>
      </c>
      <c r="C14" s="6" t="s">
        <v>65</v>
      </c>
      <c r="D14" s="6" t="s">
        <v>324</v>
      </c>
      <c r="E14" s="6" t="s">
        <v>65</v>
      </c>
      <c r="F14" s="7" t="s">
        <v>65</v>
      </c>
      <c r="G14" s="6" t="s">
        <v>65</v>
      </c>
      <c r="H14" s="6" t="s">
        <v>65</v>
      </c>
      <c r="I14" s="6" t="s">
        <v>325</v>
      </c>
      <c r="J14" s="6">
        <v>0</v>
      </c>
      <c r="K14" s="6" t="s">
        <v>65</v>
      </c>
      <c r="L14" s="6" t="s">
        <v>54</v>
      </c>
      <c r="M14" s="6" t="s">
        <v>65</v>
      </c>
      <c r="N14" s="6" t="s">
        <v>326</v>
      </c>
      <c r="O14" s="6" t="s">
        <v>132</v>
      </c>
      <c r="P14" s="6" t="s">
        <v>260</v>
      </c>
      <c r="Q14" s="6" t="s">
        <v>327</v>
      </c>
      <c r="R14" s="6" t="s">
        <v>328</v>
      </c>
      <c r="S14" s="1"/>
      <c r="T14" s="1"/>
      <c r="U14" s="1"/>
      <c r="V14" s="1"/>
      <c r="W14" s="1"/>
      <c r="X14" s="1"/>
      <c r="Y14" s="1"/>
      <c r="Z14" s="1"/>
    </row>
    <row r="15" spans="1:26" ht="27">
      <c r="A15" s="6" t="s">
        <v>340</v>
      </c>
      <c r="B15" s="6" t="s">
        <v>65</v>
      </c>
      <c r="C15" s="6" t="s">
        <v>65</v>
      </c>
      <c r="D15" s="6" t="s">
        <v>324</v>
      </c>
      <c r="E15" s="6" t="s">
        <v>65</v>
      </c>
      <c r="F15" s="7" t="s">
        <v>65</v>
      </c>
      <c r="G15" s="6" t="s">
        <v>65</v>
      </c>
      <c r="H15" s="6" t="s">
        <v>65</v>
      </c>
      <c r="I15" s="6" t="s">
        <v>325</v>
      </c>
      <c r="J15" s="6">
        <v>0</v>
      </c>
      <c r="K15" s="6" t="s">
        <v>65</v>
      </c>
      <c r="L15" s="6" t="s">
        <v>54</v>
      </c>
      <c r="M15" s="6" t="s">
        <v>65</v>
      </c>
      <c r="N15" s="6" t="s">
        <v>326</v>
      </c>
      <c r="O15" s="6" t="s">
        <v>132</v>
      </c>
      <c r="P15" s="6" t="s">
        <v>260</v>
      </c>
      <c r="Q15" s="6" t="s">
        <v>327</v>
      </c>
      <c r="R15" s="6" t="s">
        <v>328</v>
      </c>
      <c r="S15" s="1"/>
      <c r="T15" s="1"/>
      <c r="U15" s="1"/>
      <c r="V15" s="1"/>
      <c r="W15" s="1"/>
      <c r="X15" s="1"/>
      <c r="Y15" s="1"/>
      <c r="Z15" s="1"/>
    </row>
    <row r="16" spans="1:26" ht="27">
      <c r="A16" s="6" t="s">
        <v>341</v>
      </c>
      <c r="B16" s="6" t="s">
        <v>65</v>
      </c>
      <c r="C16" s="6" t="s">
        <v>65</v>
      </c>
      <c r="D16" s="6" t="s">
        <v>324</v>
      </c>
      <c r="E16" s="6" t="s">
        <v>65</v>
      </c>
      <c r="F16" s="7" t="s">
        <v>65</v>
      </c>
      <c r="G16" s="6" t="s">
        <v>65</v>
      </c>
      <c r="H16" s="6" t="s">
        <v>65</v>
      </c>
      <c r="I16" s="6" t="s">
        <v>325</v>
      </c>
      <c r="J16" s="6">
        <v>0</v>
      </c>
      <c r="K16" s="6" t="s">
        <v>65</v>
      </c>
      <c r="L16" s="6" t="s">
        <v>54</v>
      </c>
      <c r="M16" s="6" t="s">
        <v>65</v>
      </c>
      <c r="N16" s="6" t="s">
        <v>326</v>
      </c>
      <c r="O16" s="6" t="s">
        <v>132</v>
      </c>
      <c r="P16" s="6" t="s">
        <v>260</v>
      </c>
      <c r="Q16" s="6" t="s">
        <v>327</v>
      </c>
      <c r="R16" s="6" t="s">
        <v>328</v>
      </c>
      <c r="S16" s="1"/>
      <c r="T16" s="1"/>
      <c r="U16" s="1"/>
      <c r="V16" s="1"/>
      <c r="W16" s="1"/>
      <c r="X16" s="1"/>
      <c r="Y16" s="1"/>
      <c r="Z16" s="1"/>
    </row>
    <row r="17" spans="1:26" ht="27">
      <c r="A17" s="6" t="s">
        <v>342</v>
      </c>
      <c r="B17" s="6" t="s">
        <v>65</v>
      </c>
      <c r="C17" s="6" t="s">
        <v>65</v>
      </c>
      <c r="D17" s="6" t="s">
        <v>324</v>
      </c>
      <c r="E17" s="6" t="s">
        <v>65</v>
      </c>
      <c r="F17" s="7" t="s">
        <v>65</v>
      </c>
      <c r="G17" s="6" t="s">
        <v>65</v>
      </c>
      <c r="H17" s="6" t="s">
        <v>65</v>
      </c>
      <c r="I17" s="6" t="s">
        <v>325</v>
      </c>
      <c r="J17" s="6">
        <v>0</v>
      </c>
      <c r="K17" s="6" t="s">
        <v>65</v>
      </c>
      <c r="L17" s="6" t="s">
        <v>54</v>
      </c>
      <c r="M17" s="6" t="s">
        <v>65</v>
      </c>
      <c r="N17" s="6" t="s">
        <v>326</v>
      </c>
      <c r="O17" s="6" t="s">
        <v>132</v>
      </c>
      <c r="P17" s="6" t="s">
        <v>260</v>
      </c>
      <c r="Q17" s="6" t="s">
        <v>327</v>
      </c>
      <c r="R17" s="6" t="s">
        <v>328</v>
      </c>
      <c r="S17" s="1"/>
      <c r="T17" s="1"/>
      <c r="U17" s="1"/>
      <c r="V17" s="1"/>
      <c r="W17" s="1"/>
      <c r="X17" s="1"/>
      <c r="Y17" s="1"/>
      <c r="Z17" s="1"/>
    </row>
    <row r="18" spans="1:26" ht="27">
      <c r="A18" s="6" t="s">
        <v>343</v>
      </c>
      <c r="B18" s="6" t="s">
        <v>65</v>
      </c>
      <c r="C18" s="6" t="s">
        <v>65</v>
      </c>
      <c r="D18" s="6" t="s">
        <v>324</v>
      </c>
      <c r="E18" s="6" t="s">
        <v>65</v>
      </c>
      <c r="F18" s="7" t="s">
        <v>65</v>
      </c>
      <c r="G18" s="6" t="s">
        <v>65</v>
      </c>
      <c r="H18" s="6" t="s">
        <v>65</v>
      </c>
      <c r="I18" s="6" t="s">
        <v>325</v>
      </c>
      <c r="J18" s="6">
        <v>0</v>
      </c>
      <c r="K18" s="6" t="s">
        <v>65</v>
      </c>
      <c r="L18" s="6" t="s">
        <v>54</v>
      </c>
      <c r="M18" s="6" t="s">
        <v>65</v>
      </c>
      <c r="N18" s="6" t="s">
        <v>326</v>
      </c>
      <c r="O18" s="6" t="s">
        <v>132</v>
      </c>
      <c r="P18" s="6" t="s">
        <v>260</v>
      </c>
      <c r="Q18" s="6" t="s">
        <v>327</v>
      </c>
      <c r="R18" s="6" t="s">
        <v>328</v>
      </c>
      <c r="S18" s="1"/>
      <c r="T18" s="1"/>
      <c r="U18" s="1"/>
      <c r="V18" s="1"/>
      <c r="W18" s="1"/>
      <c r="X18" s="1"/>
      <c r="Y18" s="1"/>
      <c r="Z18" s="1"/>
    </row>
    <row r="19" spans="1:26" ht="27">
      <c r="A19" s="6" t="s">
        <v>344</v>
      </c>
      <c r="B19" s="6" t="s">
        <v>65</v>
      </c>
      <c r="C19" s="6" t="s">
        <v>65</v>
      </c>
      <c r="D19" s="6" t="s">
        <v>324</v>
      </c>
      <c r="E19" s="6" t="s">
        <v>65</v>
      </c>
      <c r="F19" s="7" t="s">
        <v>65</v>
      </c>
      <c r="G19" s="6" t="s">
        <v>65</v>
      </c>
      <c r="H19" s="6" t="s">
        <v>65</v>
      </c>
      <c r="I19" s="6" t="s">
        <v>325</v>
      </c>
      <c r="J19" s="6">
        <v>0</v>
      </c>
      <c r="K19" s="6" t="s">
        <v>65</v>
      </c>
      <c r="L19" s="6" t="s">
        <v>54</v>
      </c>
      <c r="M19" s="6" t="s">
        <v>65</v>
      </c>
      <c r="N19" s="6" t="s">
        <v>326</v>
      </c>
      <c r="O19" s="6" t="s">
        <v>132</v>
      </c>
      <c r="P19" s="6" t="s">
        <v>260</v>
      </c>
      <c r="Q19" s="6" t="s">
        <v>327</v>
      </c>
      <c r="R19" s="6" t="s">
        <v>328</v>
      </c>
      <c r="S19" s="1"/>
      <c r="T19" s="1"/>
      <c r="U19" s="1"/>
      <c r="V19" s="1"/>
      <c r="W19" s="1"/>
      <c r="X19" s="1"/>
      <c r="Y19" s="1"/>
      <c r="Z19" s="1"/>
    </row>
    <row r="20" spans="1:26" ht="27">
      <c r="A20" s="6" t="s">
        <v>345</v>
      </c>
      <c r="B20" s="6" t="s">
        <v>65</v>
      </c>
      <c r="C20" s="6" t="s">
        <v>65</v>
      </c>
      <c r="D20" s="6" t="s">
        <v>324</v>
      </c>
      <c r="E20" s="6" t="s">
        <v>65</v>
      </c>
      <c r="F20" s="7" t="s">
        <v>65</v>
      </c>
      <c r="G20" s="6" t="s">
        <v>65</v>
      </c>
      <c r="H20" s="6" t="s">
        <v>65</v>
      </c>
      <c r="I20" s="6" t="s">
        <v>325</v>
      </c>
      <c r="J20" s="6">
        <v>0</v>
      </c>
      <c r="K20" s="6" t="s">
        <v>65</v>
      </c>
      <c r="L20" s="6" t="s">
        <v>54</v>
      </c>
      <c r="M20" s="6" t="s">
        <v>65</v>
      </c>
      <c r="N20" s="6" t="s">
        <v>326</v>
      </c>
      <c r="O20" s="6" t="s">
        <v>132</v>
      </c>
      <c r="P20" s="6" t="s">
        <v>260</v>
      </c>
      <c r="Q20" s="6" t="s">
        <v>327</v>
      </c>
      <c r="R20" s="6" t="s">
        <v>328</v>
      </c>
      <c r="S20" s="1"/>
      <c r="T20" s="1"/>
      <c r="U20" s="1"/>
      <c r="V20" s="1"/>
      <c r="W20" s="1"/>
      <c r="X20" s="1"/>
      <c r="Y20" s="1"/>
      <c r="Z20" s="1"/>
    </row>
    <row r="21" spans="1:26" ht="27">
      <c r="A21" s="6" t="s">
        <v>346</v>
      </c>
      <c r="B21" s="6" t="s">
        <v>65</v>
      </c>
      <c r="C21" s="6" t="s">
        <v>65</v>
      </c>
      <c r="D21" s="6" t="s">
        <v>324</v>
      </c>
      <c r="E21" s="6" t="s">
        <v>65</v>
      </c>
      <c r="F21" s="7" t="s">
        <v>65</v>
      </c>
      <c r="G21" s="6" t="s">
        <v>65</v>
      </c>
      <c r="H21" s="6" t="s">
        <v>65</v>
      </c>
      <c r="I21" s="6" t="s">
        <v>325</v>
      </c>
      <c r="J21" s="6">
        <v>0</v>
      </c>
      <c r="K21" s="6" t="s">
        <v>65</v>
      </c>
      <c r="L21" s="6" t="s">
        <v>54</v>
      </c>
      <c r="M21" s="6" t="s">
        <v>65</v>
      </c>
      <c r="N21" s="6" t="s">
        <v>326</v>
      </c>
      <c r="O21" s="6" t="s">
        <v>132</v>
      </c>
      <c r="P21" s="6" t="s">
        <v>260</v>
      </c>
      <c r="Q21" s="6" t="s">
        <v>327</v>
      </c>
      <c r="R21" s="6" t="s">
        <v>328</v>
      </c>
      <c r="S21" s="1"/>
      <c r="T21" s="1"/>
      <c r="U21" s="1"/>
      <c r="V21" s="1"/>
      <c r="W21" s="1"/>
      <c r="X21" s="1"/>
      <c r="Y21" s="1"/>
      <c r="Z21" s="1"/>
    </row>
    <row r="22" spans="1:26" ht="27">
      <c r="A22" s="6" t="s">
        <v>347</v>
      </c>
      <c r="B22" s="6" t="s">
        <v>65</v>
      </c>
      <c r="C22" s="6" t="s">
        <v>65</v>
      </c>
      <c r="D22" s="6" t="s">
        <v>324</v>
      </c>
      <c r="E22" s="6" t="s">
        <v>65</v>
      </c>
      <c r="F22" s="7" t="s">
        <v>65</v>
      </c>
      <c r="G22" s="6" t="s">
        <v>65</v>
      </c>
      <c r="H22" s="6" t="s">
        <v>65</v>
      </c>
      <c r="I22" s="6" t="s">
        <v>325</v>
      </c>
      <c r="J22" s="6">
        <v>0</v>
      </c>
      <c r="K22" s="6" t="s">
        <v>65</v>
      </c>
      <c r="L22" s="6" t="s">
        <v>54</v>
      </c>
      <c r="M22" s="6" t="s">
        <v>65</v>
      </c>
      <c r="N22" s="6" t="s">
        <v>326</v>
      </c>
      <c r="O22" s="6" t="s">
        <v>132</v>
      </c>
      <c r="P22" s="6" t="s">
        <v>260</v>
      </c>
      <c r="Q22" s="6" t="s">
        <v>327</v>
      </c>
      <c r="R22" s="6" t="s">
        <v>328</v>
      </c>
      <c r="S22" s="1"/>
      <c r="T22" s="1"/>
      <c r="U22" s="1"/>
      <c r="V22" s="1"/>
      <c r="W22" s="1"/>
      <c r="X22" s="1"/>
      <c r="Y22" s="1"/>
      <c r="Z22" s="1"/>
    </row>
    <row r="23" spans="1:26" ht="27">
      <c r="A23" s="6" t="s">
        <v>348</v>
      </c>
      <c r="B23" s="6" t="s">
        <v>65</v>
      </c>
      <c r="C23" s="6" t="s">
        <v>65</v>
      </c>
      <c r="D23" s="6" t="s">
        <v>324</v>
      </c>
      <c r="E23" s="6" t="s">
        <v>65</v>
      </c>
      <c r="F23" s="7" t="s">
        <v>65</v>
      </c>
      <c r="G23" s="6" t="s">
        <v>65</v>
      </c>
      <c r="H23" s="6" t="s">
        <v>65</v>
      </c>
      <c r="I23" s="6" t="s">
        <v>325</v>
      </c>
      <c r="J23" s="6">
        <v>0</v>
      </c>
      <c r="K23" s="6" t="s">
        <v>65</v>
      </c>
      <c r="L23" s="6" t="s">
        <v>54</v>
      </c>
      <c r="M23" s="6" t="s">
        <v>65</v>
      </c>
      <c r="N23" s="6" t="s">
        <v>326</v>
      </c>
      <c r="O23" s="6" t="s">
        <v>132</v>
      </c>
      <c r="P23" s="6" t="s">
        <v>260</v>
      </c>
      <c r="Q23" s="6" t="s">
        <v>327</v>
      </c>
      <c r="R23" s="6" t="s">
        <v>328</v>
      </c>
      <c r="S23" s="1"/>
      <c r="T23" s="1"/>
      <c r="U23" s="1"/>
      <c r="V23" s="1"/>
      <c r="W23" s="1"/>
      <c r="X23" s="1"/>
      <c r="Y23" s="1"/>
      <c r="Z23" s="1"/>
    </row>
    <row r="24" spans="1:26" ht="27">
      <c r="A24" s="6" t="s">
        <v>349</v>
      </c>
      <c r="B24" s="6" t="s">
        <v>65</v>
      </c>
      <c r="C24" s="6" t="s">
        <v>65</v>
      </c>
      <c r="D24" s="6" t="s">
        <v>324</v>
      </c>
      <c r="E24" s="6" t="s">
        <v>65</v>
      </c>
      <c r="F24" s="7" t="s">
        <v>65</v>
      </c>
      <c r="G24" s="6" t="s">
        <v>65</v>
      </c>
      <c r="H24" s="6" t="s">
        <v>65</v>
      </c>
      <c r="I24" s="6" t="s">
        <v>325</v>
      </c>
      <c r="J24" s="6">
        <v>0</v>
      </c>
      <c r="K24" s="6" t="s">
        <v>65</v>
      </c>
      <c r="L24" s="6" t="s">
        <v>54</v>
      </c>
      <c r="M24" s="6" t="s">
        <v>65</v>
      </c>
      <c r="N24" s="6" t="s">
        <v>326</v>
      </c>
      <c r="O24" s="6" t="s">
        <v>132</v>
      </c>
      <c r="P24" s="6" t="s">
        <v>260</v>
      </c>
      <c r="Q24" s="6" t="s">
        <v>327</v>
      </c>
      <c r="R24" s="6" t="s">
        <v>328</v>
      </c>
      <c r="S24" s="1"/>
      <c r="T24" s="1"/>
      <c r="U24" s="1"/>
      <c r="V24" s="1"/>
      <c r="W24" s="1"/>
      <c r="X24" s="1"/>
      <c r="Y24" s="1"/>
      <c r="Z24" s="1"/>
    </row>
    <row r="25" spans="1:26" ht="27">
      <c r="A25" s="6" t="s">
        <v>350</v>
      </c>
      <c r="B25" s="6" t="s">
        <v>65</v>
      </c>
      <c r="C25" s="6" t="s">
        <v>65</v>
      </c>
      <c r="D25" s="6" t="s">
        <v>324</v>
      </c>
      <c r="E25" s="6" t="s">
        <v>65</v>
      </c>
      <c r="F25" s="7" t="s">
        <v>65</v>
      </c>
      <c r="G25" s="6" t="s">
        <v>65</v>
      </c>
      <c r="H25" s="6" t="s">
        <v>65</v>
      </c>
      <c r="I25" s="6" t="s">
        <v>325</v>
      </c>
      <c r="J25" s="6">
        <v>0</v>
      </c>
      <c r="K25" s="6" t="s">
        <v>65</v>
      </c>
      <c r="L25" s="6" t="s">
        <v>54</v>
      </c>
      <c r="M25" s="6" t="s">
        <v>65</v>
      </c>
      <c r="N25" s="6" t="s">
        <v>326</v>
      </c>
      <c r="O25" s="6" t="s">
        <v>132</v>
      </c>
      <c r="P25" s="6" t="s">
        <v>260</v>
      </c>
      <c r="Q25" s="6" t="s">
        <v>327</v>
      </c>
      <c r="R25" s="6" t="s">
        <v>328</v>
      </c>
      <c r="S25" s="1"/>
      <c r="T25" s="1"/>
      <c r="U25" s="1"/>
      <c r="V25" s="1"/>
      <c r="W25" s="1"/>
      <c r="X25" s="1"/>
      <c r="Y25" s="1"/>
      <c r="Z25" s="1"/>
    </row>
    <row r="26" spans="1:26" ht="27">
      <c r="A26" s="6" t="s">
        <v>351</v>
      </c>
      <c r="B26" s="6" t="s">
        <v>65</v>
      </c>
      <c r="C26" s="6" t="s">
        <v>65</v>
      </c>
      <c r="D26" s="6" t="s">
        <v>324</v>
      </c>
      <c r="E26" s="6" t="s">
        <v>65</v>
      </c>
      <c r="F26" s="7" t="s">
        <v>65</v>
      </c>
      <c r="G26" s="6" t="s">
        <v>65</v>
      </c>
      <c r="H26" s="6" t="s">
        <v>65</v>
      </c>
      <c r="I26" s="6" t="s">
        <v>325</v>
      </c>
      <c r="J26" s="6">
        <v>0</v>
      </c>
      <c r="K26" s="6" t="s">
        <v>65</v>
      </c>
      <c r="L26" s="6" t="s">
        <v>54</v>
      </c>
      <c r="M26" s="6" t="s">
        <v>65</v>
      </c>
      <c r="N26" s="6" t="s">
        <v>326</v>
      </c>
      <c r="O26" s="6" t="s">
        <v>132</v>
      </c>
      <c r="P26" s="6" t="s">
        <v>260</v>
      </c>
      <c r="Q26" s="6" t="s">
        <v>327</v>
      </c>
      <c r="R26" s="6" t="s">
        <v>328</v>
      </c>
      <c r="S26" s="1"/>
      <c r="T26" s="1"/>
      <c r="U26" s="1"/>
      <c r="V26" s="1"/>
      <c r="W26" s="1"/>
      <c r="X26" s="1"/>
      <c r="Y26" s="1"/>
      <c r="Z26" s="1"/>
    </row>
    <row r="27" spans="1:26" ht="27">
      <c r="A27" s="6" t="s">
        <v>352</v>
      </c>
      <c r="B27" s="6" t="s">
        <v>65</v>
      </c>
      <c r="C27" s="6" t="s">
        <v>65</v>
      </c>
      <c r="D27" s="6" t="s">
        <v>324</v>
      </c>
      <c r="E27" s="6" t="s">
        <v>65</v>
      </c>
      <c r="F27" s="7" t="s">
        <v>65</v>
      </c>
      <c r="G27" s="6" t="s">
        <v>65</v>
      </c>
      <c r="H27" s="6" t="s">
        <v>65</v>
      </c>
      <c r="I27" s="6" t="s">
        <v>325</v>
      </c>
      <c r="J27" s="6">
        <v>0</v>
      </c>
      <c r="K27" s="6" t="s">
        <v>65</v>
      </c>
      <c r="L27" s="6" t="s">
        <v>54</v>
      </c>
      <c r="M27" s="6" t="s">
        <v>65</v>
      </c>
      <c r="N27" s="6" t="s">
        <v>326</v>
      </c>
      <c r="O27" s="6" t="s">
        <v>132</v>
      </c>
      <c r="P27" s="6" t="s">
        <v>260</v>
      </c>
      <c r="Q27" s="6" t="s">
        <v>327</v>
      </c>
      <c r="R27" s="6" t="s">
        <v>328</v>
      </c>
      <c r="S27" s="1"/>
      <c r="T27" s="1"/>
      <c r="U27" s="1"/>
      <c r="V27" s="1"/>
      <c r="W27" s="1"/>
      <c r="X27" s="1"/>
      <c r="Y27" s="1"/>
      <c r="Z27" s="1"/>
    </row>
    <row r="28" spans="1:26" ht="27">
      <c r="A28" s="6" t="s">
        <v>353</v>
      </c>
      <c r="B28" s="6" t="s">
        <v>65</v>
      </c>
      <c r="C28" s="6" t="s">
        <v>65</v>
      </c>
      <c r="D28" s="6" t="s">
        <v>324</v>
      </c>
      <c r="E28" s="6" t="s">
        <v>65</v>
      </c>
      <c r="F28" s="7" t="s">
        <v>65</v>
      </c>
      <c r="G28" s="6" t="s">
        <v>65</v>
      </c>
      <c r="H28" s="6" t="s">
        <v>65</v>
      </c>
      <c r="I28" s="6" t="s">
        <v>325</v>
      </c>
      <c r="J28" s="6">
        <v>0</v>
      </c>
      <c r="K28" s="6" t="s">
        <v>65</v>
      </c>
      <c r="L28" s="6" t="s">
        <v>54</v>
      </c>
      <c r="M28" s="6" t="s">
        <v>65</v>
      </c>
      <c r="N28" s="6" t="s">
        <v>326</v>
      </c>
      <c r="O28" s="6" t="s">
        <v>132</v>
      </c>
      <c r="P28" s="6" t="s">
        <v>260</v>
      </c>
      <c r="Q28" s="6" t="s">
        <v>327</v>
      </c>
      <c r="R28" s="6" t="s">
        <v>328</v>
      </c>
      <c r="S28" s="1"/>
      <c r="T28" s="1"/>
      <c r="U28" s="1"/>
      <c r="V28" s="1"/>
      <c r="W28" s="1"/>
      <c r="X28" s="1"/>
      <c r="Y28" s="1"/>
      <c r="Z28" s="1"/>
    </row>
    <row r="29" spans="1:26" ht="27">
      <c r="A29" s="6" t="s">
        <v>354</v>
      </c>
      <c r="B29" s="6" t="s">
        <v>65</v>
      </c>
      <c r="C29" s="6" t="s">
        <v>65</v>
      </c>
      <c r="D29" s="6" t="s">
        <v>324</v>
      </c>
      <c r="E29" s="6" t="s">
        <v>65</v>
      </c>
      <c r="F29" s="7" t="s">
        <v>65</v>
      </c>
      <c r="G29" s="6" t="s">
        <v>65</v>
      </c>
      <c r="H29" s="6" t="s">
        <v>65</v>
      </c>
      <c r="I29" s="6" t="s">
        <v>325</v>
      </c>
      <c r="J29" s="6">
        <v>0</v>
      </c>
      <c r="K29" s="6" t="s">
        <v>65</v>
      </c>
      <c r="L29" s="6" t="s">
        <v>54</v>
      </c>
      <c r="M29" s="6" t="s">
        <v>65</v>
      </c>
      <c r="N29" s="6" t="s">
        <v>326</v>
      </c>
      <c r="O29" s="6" t="s">
        <v>132</v>
      </c>
      <c r="P29" s="6" t="s">
        <v>260</v>
      </c>
      <c r="Q29" s="6" t="s">
        <v>327</v>
      </c>
      <c r="R29" s="6" t="s">
        <v>328</v>
      </c>
      <c r="S29" s="1"/>
      <c r="T29" s="1"/>
      <c r="U29" s="1"/>
      <c r="V29" s="1"/>
      <c r="W29" s="1"/>
      <c r="X29" s="1"/>
      <c r="Y29" s="1"/>
      <c r="Z29" s="1"/>
    </row>
    <row r="30" spans="1:26" ht="27">
      <c r="A30" s="6" t="s">
        <v>355</v>
      </c>
      <c r="B30" s="6" t="s">
        <v>65</v>
      </c>
      <c r="C30" s="6" t="s">
        <v>65</v>
      </c>
      <c r="D30" s="6" t="s">
        <v>324</v>
      </c>
      <c r="E30" s="6" t="s">
        <v>65</v>
      </c>
      <c r="F30" s="7" t="s">
        <v>65</v>
      </c>
      <c r="G30" s="6" t="s">
        <v>65</v>
      </c>
      <c r="H30" s="6" t="s">
        <v>65</v>
      </c>
      <c r="I30" s="6" t="s">
        <v>325</v>
      </c>
      <c r="J30" s="6">
        <v>0</v>
      </c>
      <c r="K30" s="6" t="s">
        <v>65</v>
      </c>
      <c r="L30" s="6" t="s">
        <v>54</v>
      </c>
      <c r="M30" s="6" t="s">
        <v>65</v>
      </c>
      <c r="N30" s="6" t="s">
        <v>326</v>
      </c>
      <c r="O30" s="6" t="s">
        <v>132</v>
      </c>
      <c r="P30" s="6" t="s">
        <v>260</v>
      </c>
      <c r="Q30" s="6" t="s">
        <v>327</v>
      </c>
      <c r="R30" s="6" t="s">
        <v>328</v>
      </c>
      <c r="S30" s="1"/>
      <c r="T30" s="1"/>
      <c r="U30" s="1"/>
      <c r="V30" s="1"/>
      <c r="W30" s="1"/>
      <c r="X30" s="1"/>
      <c r="Y30" s="1"/>
      <c r="Z30" s="1"/>
    </row>
    <row r="31" spans="1:26" ht="27">
      <c r="A31" s="6" t="s">
        <v>356</v>
      </c>
      <c r="B31" s="6" t="s">
        <v>65</v>
      </c>
      <c r="C31" s="6" t="s">
        <v>65</v>
      </c>
      <c r="D31" s="6" t="s">
        <v>324</v>
      </c>
      <c r="E31" s="6" t="s">
        <v>65</v>
      </c>
      <c r="F31" s="7" t="s">
        <v>65</v>
      </c>
      <c r="G31" s="6" t="s">
        <v>65</v>
      </c>
      <c r="H31" s="6" t="s">
        <v>65</v>
      </c>
      <c r="I31" s="6" t="s">
        <v>325</v>
      </c>
      <c r="J31" s="6">
        <v>0</v>
      </c>
      <c r="K31" s="6" t="s">
        <v>65</v>
      </c>
      <c r="L31" s="6" t="s">
        <v>54</v>
      </c>
      <c r="M31" s="6" t="s">
        <v>65</v>
      </c>
      <c r="N31" s="6" t="s">
        <v>326</v>
      </c>
      <c r="O31" s="6" t="s">
        <v>132</v>
      </c>
      <c r="P31" s="6" t="s">
        <v>260</v>
      </c>
      <c r="Q31" s="6" t="s">
        <v>327</v>
      </c>
      <c r="R31" s="6" t="s">
        <v>328</v>
      </c>
      <c r="S31" s="1"/>
      <c r="T31" s="1"/>
      <c r="U31" s="1"/>
      <c r="V31" s="1"/>
      <c r="W31" s="1"/>
      <c r="X31" s="1"/>
      <c r="Y31" s="1"/>
      <c r="Z31" s="1"/>
    </row>
    <row r="32" spans="1:26" ht="27">
      <c r="A32" s="6" t="s">
        <v>357</v>
      </c>
      <c r="B32" s="6" t="s">
        <v>65</v>
      </c>
      <c r="C32" s="6" t="s">
        <v>65</v>
      </c>
      <c r="D32" s="6" t="s">
        <v>324</v>
      </c>
      <c r="E32" s="6" t="s">
        <v>65</v>
      </c>
      <c r="F32" s="7" t="s">
        <v>65</v>
      </c>
      <c r="G32" s="6" t="s">
        <v>65</v>
      </c>
      <c r="H32" s="6" t="s">
        <v>65</v>
      </c>
      <c r="I32" s="6" t="s">
        <v>325</v>
      </c>
      <c r="J32" s="6">
        <v>0</v>
      </c>
      <c r="K32" s="6" t="s">
        <v>65</v>
      </c>
      <c r="L32" s="6" t="s">
        <v>54</v>
      </c>
      <c r="M32" s="6" t="s">
        <v>65</v>
      </c>
      <c r="N32" s="6" t="s">
        <v>326</v>
      </c>
      <c r="O32" s="6" t="s">
        <v>132</v>
      </c>
      <c r="P32" s="6" t="s">
        <v>260</v>
      </c>
      <c r="Q32" s="6" t="s">
        <v>327</v>
      </c>
      <c r="R32" s="6" t="s">
        <v>328</v>
      </c>
      <c r="S32" s="1"/>
      <c r="T32" s="1"/>
      <c r="U32" s="1"/>
      <c r="V32" s="1"/>
      <c r="W32" s="1"/>
      <c r="X32" s="1"/>
      <c r="Y32" s="1"/>
      <c r="Z32" s="1"/>
    </row>
    <row r="33" spans="1:26" ht="27">
      <c r="A33" s="6" t="s">
        <v>358</v>
      </c>
      <c r="B33" s="6" t="s">
        <v>65</v>
      </c>
      <c r="C33" s="6" t="s">
        <v>65</v>
      </c>
      <c r="D33" s="6" t="s">
        <v>324</v>
      </c>
      <c r="E33" s="6" t="s">
        <v>65</v>
      </c>
      <c r="F33" s="7" t="s">
        <v>65</v>
      </c>
      <c r="G33" s="6" t="s">
        <v>65</v>
      </c>
      <c r="H33" s="6" t="s">
        <v>65</v>
      </c>
      <c r="I33" s="6" t="s">
        <v>325</v>
      </c>
      <c r="J33" s="6">
        <v>0</v>
      </c>
      <c r="K33" s="6" t="s">
        <v>65</v>
      </c>
      <c r="L33" s="6" t="s">
        <v>54</v>
      </c>
      <c r="M33" s="6" t="s">
        <v>65</v>
      </c>
      <c r="N33" s="6" t="s">
        <v>326</v>
      </c>
      <c r="O33" s="6" t="s">
        <v>132</v>
      </c>
      <c r="P33" s="6" t="s">
        <v>260</v>
      </c>
      <c r="Q33" s="6" t="s">
        <v>327</v>
      </c>
      <c r="R33" s="6" t="s">
        <v>328</v>
      </c>
      <c r="S33" s="1"/>
      <c r="T33" s="1"/>
      <c r="U33" s="1"/>
      <c r="V33" s="1"/>
      <c r="W33" s="1"/>
      <c r="X33" s="1"/>
      <c r="Y33" s="1"/>
      <c r="Z33" s="1"/>
    </row>
    <row r="34" spans="1:26" ht="27">
      <c r="A34" s="6" t="s">
        <v>359</v>
      </c>
      <c r="B34" s="6" t="s">
        <v>65</v>
      </c>
      <c r="C34" s="6" t="s">
        <v>65</v>
      </c>
      <c r="D34" s="6" t="s">
        <v>324</v>
      </c>
      <c r="E34" s="6" t="s">
        <v>65</v>
      </c>
      <c r="F34" s="7" t="s">
        <v>65</v>
      </c>
      <c r="G34" s="6" t="s">
        <v>65</v>
      </c>
      <c r="H34" s="6" t="s">
        <v>65</v>
      </c>
      <c r="I34" s="6" t="s">
        <v>325</v>
      </c>
      <c r="J34" s="6">
        <v>0</v>
      </c>
      <c r="K34" s="6" t="s">
        <v>65</v>
      </c>
      <c r="L34" s="6" t="s">
        <v>54</v>
      </c>
      <c r="M34" s="6" t="s">
        <v>65</v>
      </c>
      <c r="N34" s="6" t="s">
        <v>326</v>
      </c>
      <c r="O34" s="6" t="s">
        <v>132</v>
      </c>
      <c r="P34" s="6" t="s">
        <v>260</v>
      </c>
      <c r="Q34" s="6" t="s">
        <v>327</v>
      </c>
      <c r="R34" s="6" t="s">
        <v>328</v>
      </c>
      <c r="S34" s="1"/>
      <c r="T34" s="1"/>
      <c r="U34" s="1"/>
      <c r="V34" s="1"/>
      <c r="W34" s="1"/>
      <c r="X34" s="1"/>
      <c r="Y34" s="1"/>
      <c r="Z34" s="1"/>
    </row>
    <row r="35" spans="1:26" ht="27">
      <c r="A35" s="6" t="s">
        <v>360</v>
      </c>
      <c r="B35" s="6" t="s">
        <v>65</v>
      </c>
      <c r="C35" s="6" t="s">
        <v>65</v>
      </c>
      <c r="D35" s="6" t="s">
        <v>324</v>
      </c>
      <c r="E35" s="6" t="s">
        <v>65</v>
      </c>
      <c r="F35" s="7" t="s">
        <v>65</v>
      </c>
      <c r="G35" s="6" t="s">
        <v>65</v>
      </c>
      <c r="H35" s="6" t="s">
        <v>65</v>
      </c>
      <c r="I35" s="6" t="s">
        <v>325</v>
      </c>
      <c r="J35" s="6">
        <v>0</v>
      </c>
      <c r="K35" s="6" t="s">
        <v>65</v>
      </c>
      <c r="L35" s="6" t="s">
        <v>54</v>
      </c>
      <c r="M35" s="6" t="s">
        <v>65</v>
      </c>
      <c r="N35" s="6" t="s">
        <v>326</v>
      </c>
      <c r="O35" s="6" t="s">
        <v>132</v>
      </c>
      <c r="P35" s="6" t="s">
        <v>260</v>
      </c>
      <c r="Q35" s="6" t="s">
        <v>327</v>
      </c>
      <c r="R35" s="6" t="s">
        <v>328</v>
      </c>
      <c r="S35" s="1"/>
      <c r="T35" s="1"/>
      <c r="U35" s="1"/>
      <c r="V35" s="1"/>
      <c r="W35" s="1"/>
      <c r="X35" s="1"/>
      <c r="Y35" s="1"/>
      <c r="Z35" s="1"/>
    </row>
    <row r="36" spans="1:26" ht="27">
      <c r="A36" s="6" t="s">
        <v>361</v>
      </c>
      <c r="B36" s="6" t="s">
        <v>65</v>
      </c>
      <c r="C36" s="6" t="s">
        <v>65</v>
      </c>
      <c r="D36" s="6" t="s">
        <v>324</v>
      </c>
      <c r="E36" s="6" t="s">
        <v>65</v>
      </c>
      <c r="F36" s="7" t="s">
        <v>65</v>
      </c>
      <c r="G36" s="6" t="s">
        <v>65</v>
      </c>
      <c r="H36" s="6" t="s">
        <v>65</v>
      </c>
      <c r="I36" s="6" t="s">
        <v>325</v>
      </c>
      <c r="J36" s="6">
        <v>0</v>
      </c>
      <c r="K36" s="6" t="s">
        <v>65</v>
      </c>
      <c r="L36" s="6" t="s">
        <v>54</v>
      </c>
      <c r="M36" s="6" t="s">
        <v>65</v>
      </c>
      <c r="N36" s="6" t="s">
        <v>326</v>
      </c>
      <c r="O36" s="6" t="s">
        <v>132</v>
      </c>
      <c r="P36" s="6" t="s">
        <v>260</v>
      </c>
      <c r="Q36" s="6" t="s">
        <v>327</v>
      </c>
      <c r="R36" s="6" t="s">
        <v>328</v>
      </c>
      <c r="S36" s="1"/>
      <c r="T36" s="1"/>
      <c r="U36" s="1"/>
      <c r="V36" s="1"/>
      <c r="W36" s="1"/>
      <c r="X36" s="1"/>
      <c r="Y36" s="1"/>
      <c r="Z36" s="1"/>
    </row>
    <row r="37" spans="1:26" ht="27">
      <c r="A37" s="6" t="s">
        <v>362</v>
      </c>
      <c r="B37" s="6" t="s">
        <v>65</v>
      </c>
      <c r="C37" s="6" t="s">
        <v>65</v>
      </c>
      <c r="D37" s="6" t="s">
        <v>324</v>
      </c>
      <c r="E37" s="6" t="s">
        <v>65</v>
      </c>
      <c r="F37" s="7" t="s">
        <v>65</v>
      </c>
      <c r="G37" s="6" t="s">
        <v>65</v>
      </c>
      <c r="H37" s="6" t="s">
        <v>65</v>
      </c>
      <c r="I37" s="6" t="s">
        <v>325</v>
      </c>
      <c r="J37" s="6">
        <v>0</v>
      </c>
      <c r="K37" s="6" t="s">
        <v>65</v>
      </c>
      <c r="L37" s="6" t="s">
        <v>54</v>
      </c>
      <c r="M37" s="6" t="s">
        <v>65</v>
      </c>
      <c r="N37" s="6" t="s">
        <v>326</v>
      </c>
      <c r="O37" s="6" t="s">
        <v>132</v>
      </c>
      <c r="P37" s="6" t="s">
        <v>260</v>
      </c>
      <c r="Q37" s="6" t="s">
        <v>327</v>
      </c>
      <c r="R37" s="6" t="s">
        <v>328</v>
      </c>
      <c r="S37" s="1"/>
      <c r="T37" s="1"/>
      <c r="U37" s="1"/>
      <c r="V37" s="1"/>
      <c r="W37" s="1"/>
      <c r="X37" s="1"/>
      <c r="Y37" s="1"/>
      <c r="Z37" s="1"/>
    </row>
    <row r="38" spans="1:26" ht="27">
      <c r="A38" s="6" t="s">
        <v>363</v>
      </c>
      <c r="B38" s="6" t="s">
        <v>65</v>
      </c>
      <c r="C38" s="6" t="s">
        <v>65</v>
      </c>
      <c r="D38" s="6" t="s">
        <v>324</v>
      </c>
      <c r="E38" s="6" t="s">
        <v>65</v>
      </c>
      <c r="F38" s="7" t="s">
        <v>65</v>
      </c>
      <c r="G38" s="6" t="s">
        <v>65</v>
      </c>
      <c r="H38" s="6" t="s">
        <v>65</v>
      </c>
      <c r="I38" s="6" t="s">
        <v>325</v>
      </c>
      <c r="J38" s="6">
        <v>0</v>
      </c>
      <c r="K38" s="6" t="s">
        <v>65</v>
      </c>
      <c r="L38" s="6" t="s">
        <v>54</v>
      </c>
      <c r="M38" s="6" t="s">
        <v>65</v>
      </c>
      <c r="N38" s="6" t="s">
        <v>326</v>
      </c>
      <c r="O38" s="6" t="s">
        <v>132</v>
      </c>
      <c r="P38" s="6" t="s">
        <v>260</v>
      </c>
      <c r="Q38" s="6" t="s">
        <v>327</v>
      </c>
      <c r="R38" s="6" t="s">
        <v>328</v>
      </c>
      <c r="S38" s="1"/>
      <c r="T38" s="1"/>
      <c r="U38" s="1"/>
      <c r="V38" s="1"/>
      <c r="W38" s="1"/>
      <c r="X38" s="1"/>
      <c r="Y38" s="1"/>
      <c r="Z38" s="1"/>
    </row>
    <row r="39" spans="1:26" ht="27">
      <c r="A39" s="6" t="s">
        <v>364</v>
      </c>
      <c r="B39" s="6" t="s">
        <v>65</v>
      </c>
      <c r="C39" s="6" t="s">
        <v>65</v>
      </c>
      <c r="D39" s="6" t="s">
        <v>324</v>
      </c>
      <c r="E39" s="6" t="s">
        <v>65</v>
      </c>
      <c r="F39" s="7" t="s">
        <v>65</v>
      </c>
      <c r="G39" s="6" t="s">
        <v>65</v>
      </c>
      <c r="H39" s="6" t="s">
        <v>65</v>
      </c>
      <c r="I39" s="6" t="s">
        <v>325</v>
      </c>
      <c r="J39" s="6">
        <v>0</v>
      </c>
      <c r="K39" s="6" t="s">
        <v>65</v>
      </c>
      <c r="L39" s="6" t="s">
        <v>54</v>
      </c>
      <c r="M39" s="6" t="s">
        <v>65</v>
      </c>
      <c r="N39" s="6" t="s">
        <v>326</v>
      </c>
      <c r="O39" s="6" t="s">
        <v>132</v>
      </c>
      <c r="P39" s="6" t="s">
        <v>260</v>
      </c>
      <c r="Q39" s="6" t="s">
        <v>327</v>
      </c>
      <c r="R39" s="6" t="s">
        <v>328</v>
      </c>
      <c r="S39" s="1"/>
      <c r="T39" s="1"/>
      <c r="U39" s="1"/>
      <c r="V39" s="1"/>
      <c r="W39" s="1"/>
      <c r="X39" s="1"/>
      <c r="Y39" s="1"/>
      <c r="Z39" s="1"/>
    </row>
    <row r="40" spans="1:26" ht="27">
      <c r="A40" s="6" t="s">
        <v>365</v>
      </c>
      <c r="B40" s="6" t="s">
        <v>65</v>
      </c>
      <c r="C40" s="6" t="s">
        <v>65</v>
      </c>
      <c r="D40" s="6" t="s">
        <v>324</v>
      </c>
      <c r="E40" s="6" t="s">
        <v>65</v>
      </c>
      <c r="F40" s="7" t="s">
        <v>65</v>
      </c>
      <c r="G40" s="6" t="s">
        <v>65</v>
      </c>
      <c r="H40" s="6" t="s">
        <v>65</v>
      </c>
      <c r="I40" s="6" t="s">
        <v>325</v>
      </c>
      <c r="J40" s="6">
        <v>0</v>
      </c>
      <c r="K40" s="6" t="s">
        <v>65</v>
      </c>
      <c r="L40" s="6" t="s">
        <v>54</v>
      </c>
      <c r="M40" s="6" t="s">
        <v>65</v>
      </c>
      <c r="N40" s="6" t="s">
        <v>326</v>
      </c>
      <c r="O40" s="6" t="s">
        <v>132</v>
      </c>
      <c r="P40" s="6" t="s">
        <v>260</v>
      </c>
      <c r="Q40" s="6" t="s">
        <v>327</v>
      </c>
      <c r="R40" s="6" t="s">
        <v>328</v>
      </c>
      <c r="S40" s="1"/>
      <c r="T40" s="1"/>
      <c r="U40" s="1"/>
      <c r="V40" s="1"/>
      <c r="W40" s="1"/>
      <c r="X40" s="1"/>
      <c r="Y40" s="1"/>
      <c r="Z40" s="1"/>
    </row>
    <row r="41" spans="1:26" ht="27">
      <c r="A41" s="6" t="s">
        <v>366</v>
      </c>
      <c r="B41" s="6" t="s">
        <v>65</v>
      </c>
      <c r="C41" s="6" t="s">
        <v>65</v>
      </c>
      <c r="D41" s="6" t="s">
        <v>324</v>
      </c>
      <c r="E41" s="6" t="s">
        <v>65</v>
      </c>
      <c r="F41" s="7" t="s">
        <v>65</v>
      </c>
      <c r="G41" s="6" t="s">
        <v>65</v>
      </c>
      <c r="H41" s="6" t="s">
        <v>65</v>
      </c>
      <c r="I41" s="6" t="s">
        <v>325</v>
      </c>
      <c r="J41" s="6">
        <v>0</v>
      </c>
      <c r="K41" s="6" t="s">
        <v>65</v>
      </c>
      <c r="L41" s="6" t="s">
        <v>54</v>
      </c>
      <c r="M41" s="6" t="s">
        <v>65</v>
      </c>
      <c r="N41" s="6" t="s">
        <v>326</v>
      </c>
      <c r="O41" s="6" t="s">
        <v>132</v>
      </c>
      <c r="P41" s="6" t="s">
        <v>260</v>
      </c>
      <c r="Q41" s="6" t="s">
        <v>327</v>
      </c>
      <c r="R41" s="6" t="s">
        <v>328</v>
      </c>
      <c r="S41" s="1"/>
      <c r="T41" s="1"/>
      <c r="U41" s="1"/>
      <c r="V41" s="1"/>
      <c r="W41" s="1"/>
      <c r="X41" s="1"/>
      <c r="Y41" s="1"/>
      <c r="Z41" s="1"/>
    </row>
    <row r="42" spans="1:26" ht="27">
      <c r="A42" s="6" t="s">
        <v>367</v>
      </c>
      <c r="B42" s="6" t="s">
        <v>65</v>
      </c>
      <c r="C42" s="6" t="s">
        <v>65</v>
      </c>
      <c r="D42" s="6" t="s">
        <v>324</v>
      </c>
      <c r="E42" s="6" t="s">
        <v>65</v>
      </c>
      <c r="F42" s="7" t="s">
        <v>65</v>
      </c>
      <c r="G42" s="6" t="s">
        <v>65</v>
      </c>
      <c r="H42" s="6" t="s">
        <v>65</v>
      </c>
      <c r="I42" s="6" t="s">
        <v>325</v>
      </c>
      <c r="J42" s="6">
        <v>0</v>
      </c>
      <c r="K42" s="6" t="s">
        <v>65</v>
      </c>
      <c r="L42" s="6" t="s">
        <v>54</v>
      </c>
      <c r="M42" s="6" t="s">
        <v>65</v>
      </c>
      <c r="N42" s="6" t="s">
        <v>326</v>
      </c>
      <c r="O42" s="6" t="s">
        <v>132</v>
      </c>
      <c r="P42" s="6" t="s">
        <v>260</v>
      </c>
      <c r="Q42" s="6" t="s">
        <v>327</v>
      </c>
      <c r="R42" s="6" t="s">
        <v>328</v>
      </c>
      <c r="S42" s="1"/>
      <c r="T42" s="1"/>
      <c r="U42" s="1"/>
      <c r="V42" s="1"/>
      <c r="W42" s="1"/>
      <c r="X42" s="1"/>
      <c r="Y42" s="1"/>
      <c r="Z42" s="1"/>
    </row>
    <row r="43" spans="1:26" ht="27">
      <c r="A43" s="6" t="s">
        <v>368</v>
      </c>
      <c r="B43" s="6" t="s">
        <v>65</v>
      </c>
      <c r="C43" s="6" t="s">
        <v>65</v>
      </c>
      <c r="D43" s="6" t="s">
        <v>324</v>
      </c>
      <c r="E43" s="6" t="s">
        <v>65</v>
      </c>
      <c r="F43" s="7" t="s">
        <v>65</v>
      </c>
      <c r="G43" s="6" t="s">
        <v>65</v>
      </c>
      <c r="H43" s="6" t="s">
        <v>65</v>
      </c>
      <c r="I43" s="6" t="s">
        <v>325</v>
      </c>
      <c r="J43" s="6">
        <v>0</v>
      </c>
      <c r="K43" s="6" t="s">
        <v>65</v>
      </c>
      <c r="L43" s="6" t="s">
        <v>54</v>
      </c>
      <c r="M43" s="6" t="s">
        <v>65</v>
      </c>
      <c r="N43" s="6" t="s">
        <v>326</v>
      </c>
      <c r="O43" s="6" t="s">
        <v>132</v>
      </c>
      <c r="P43" s="6" t="s">
        <v>260</v>
      </c>
      <c r="Q43" s="6" t="s">
        <v>327</v>
      </c>
      <c r="R43" s="6" t="s">
        <v>328</v>
      </c>
      <c r="S43" s="1"/>
      <c r="T43" s="1"/>
      <c r="U43" s="1"/>
      <c r="V43" s="1"/>
      <c r="W43" s="1"/>
      <c r="X43" s="1"/>
      <c r="Y43" s="1"/>
      <c r="Z43" s="1"/>
    </row>
    <row r="44" spans="1:26" ht="27">
      <c r="A44" s="6" t="s">
        <v>369</v>
      </c>
      <c r="B44" s="6" t="s">
        <v>65</v>
      </c>
      <c r="C44" s="6" t="s">
        <v>65</v>
      </c>
      <c r="D44" s="6" t="s">
        <v>324</v>
      </c>
      <c r="E44" s="6" t="s">
        <v>65</v>
      </c>
      <c r="F44" s="7" t="s">
        <v>65</v>
      </c>
      <c r="G44" s="6" t="s">
        <v>65</v>
      </c>
      <c r="H44" s="6" t="s">
        <v>65</v>
      </c>
      <c r="I44" s="6" t="s">
        <v>325</v>
      </c>
      <c r="J44" s="6">
        <v>0</v>
      </c>
      <c r="K44" s="6" t="s">
        <v>65</v>
      </c>
      <c r="L44" s="6" t="s">
        <v>54</v>
      </c>
      <c r="M44" s="6" t="s">
        <v>65</v>
      </c>
      <c r="N44" s="6" t="s">
        <v>326</v>
      </c>
      <c r="O44" s="6" t="s">
        <v>132</v>
      </c>
      <c r="P44" s="6" t="s">
        <v>260</v>
      </c>
      <c r="Q44" s="6" t="s">
        <v>327</v>
      </c>
      <c r="R44" s="6" t="s">
        <v>328</v>
      </c>
      <c r="S44" s="1"/>
      <c r="T44" s="1"/>
      <c r="U44" s="1"/>
      <c r="V44" s="1"/>
      <c r="W44" s="1"/>
      <c r="X44" s="1"/>
      <c r="Y44" s="1"/>
      <c r="Z44" s="1"/>
    </row>
    <row r="45" spans="1:26" ht="27">
      <c r="A45" s="6" t="s">
        <v>370</v>
      </c>
      <c r="B45" s="6" t="s">
        <v>65</v>
      </c>
      <c r="C45" s="6" t="s">
        <v>65</v>
      </c>
      <c r="D45" s="6" t="s">
        <v>324</v>
      </c>
      <c r="E45" s="6" t="s">
        <v>65</v>
      </c>
      <c r="F45" s="7" t="s">
        <v>65</v>
      </c>
      <c r="G45" s="6" t="s">
        <v>65</v>
      </c>
      <c r="H45" s="6" t="s">
        <v>65</v>
      </c>
      <c r="I45" s="6" t="s">
        <v>325</v>
      </c>
      <c r="J45" s="6">
        <v>0</v>
      </c>
      <c r="K45" s="6" t="s">
        <v>65</v>
      </c>
      <c r="L45" s="6" t="s">
        <v>54</v>
      </c>
      <c r="M45" s="6" t="s">
        <v>65</v>
      </c>
      <c r="N45" s="6" t="s">
        <v>326</v>
      </c>
      <c r="O45" s="6" t="s">
        <v>132</v>
      </c>
      <c r="P45" s="6" t="s">
        <v>260</v>
      </c>
      <c r="Q45" s="6" t="s">
        <v>327</v>
      </c>
      <c r="R45" s="6" t="s">
        <v>328</v>
      </c>
      <c r="S45" s="1"/>
      <c r="T45" s="1"/>
      <c r="U45" s="1"/>
      <c r="V45" s="1"/>
      <c r="W45" s="1"/>
      <c r="X45" s="1"/>
      <c r="Y45" s="1"/>
      <c r="Z45" s="1"/>
    </row>
    <row r="46" spans="1:26" ht="27">
      <c r="A46" s="6" t="s">
        <v>371</v>
      </c>
      <c r="B46" s="6" t="s">
        <v>65</v>
      </c>
      <c r="C46" s="6" t="s">
        <v>65</v>
      </c>
      <c r="D46" s="6" t="s">
        <v>324</v>
      </c>
      <c r="E46" s="6" t="s">
        <v>65</v>
      </c>
      <c r="F46" s="7" t="s">
        <v>65</v>
      </c>
      <c r="G46" s="6" t="s">
        <v>65</v>
      </c>
      <c r="H46" s="6" t="s">
        <v>65</v>
      </c>
      <c r="I46" s="6" t="s">
        <v>325</v>
      </c>
      <c r="J46" s="6">
        <v>0</v>
      </c>
      <c r="K46" s="6" t="s">
        <v>65</v>
      </c>
      <c r="L46" s="6" t="s">
        <v>54</v>
      </c>
      <c r="M46" s="6" t="s">
        <v>65</v>
      </c>
      <c r="N46" s="6" t="s">
        <v>326</v>
      </c>
      <c r="O46" s="6" t="s">
        <v>132</v>
      </c>
      <c r="P46" s="6" t="s">
        <v>260</v>
      </c>
      <c r="Q46" s="6" t="s">
        <v>327</v>
      </c>
      <c r="R46" s="6" t="s">
        <v>328</v>
      </c>
      <c r="S46" s="1"/>
      <c r="T46" s="1"/>
      <c r="U46" s="1"/>
      <c r="V46" s="1"/>
      <c r="W46" s="1"/>
      <c r="X46" s="1"/>
      <c r="Y46" s="1"/>
      <c r="Z46" s="1"/>
    </row>
    <row r="47" spans="1:26" ht="27">
      <c r="A47" s="6" t="s">
        <v>372</v>
      </c>
      <c r="B47" s="6" t="s">
        <v>65</v>
      </c>
      <c r="C47" s="6" t="s">
        <v>65</v>
      </c>
      <c r="D47" s="6" t="s">
        <v>324</v>
      </c>
      <c r="E47" s="6" t="s">
        <v>65</v>
      </c>
      <c r="F47" s="7" t="s">
        <v>65</v>
      </c>
      <c r="G47" s="6" t="s">
        <v>65</v>
      </c>
      <c r="H47" s="6" t="s">
        <v>65</v>
      </c>
      <c r="I47" s="6" t="s">
        <v>325</v>
      </c>
      <c r="J47" s="6">
        <v>0</v>
      </c>
      <c r="K47" s="6" t="s">
        <v>65</v>
      </c>
      <c r="L47" s="6" t="s">
        <v>54</v>
      </c>
      <c r="M47" s="6" t="s">
        <v>65</v>
      </c>
      <c r="N47" s="6" t="s">
        <v>326</v>
      </c>
      <c r="O47" s="6" t="s">
        <v>132</v>
      </c>
      <c r="P47" s="6" t="s">
        <v>260</v>
      </c>
      <c r="Q47" s="6" t="s">
        <v>327</v>
      </c>
      <c r="R47" s="6" t="s">
        <v>328</v>
      </c>
      <c r="S47" s="1"/>
      <c r="T47" s="1"/>
      <c r="U47" s="1"/>
      <c r="V47" s="1"/>
      <c r="W47" s="1"/>
      <c r="X47" s="1"/>
      <c r="Y47" s="1"/>
      <c r="Z47" s="1"/>
    </row>
    <row r="48" spans="1:26" ht="27">
      <c r="A48" s="6" t="s">
        <v>373</v>
      </c>
      <c r="B48" s="6" t="s">
        <v>65</v>
      </c>
      <c r="C48" s="6" t="s">
        <v>65</v>
      </c>
      <c r="D48" s="6" t="s">
        <v>324</v>
      </c>
      <c r="E48" s="6" t="s">
        <v>65</v>
      </c>
      <c r="F48" s="7" t="s">
        <v>65</v>
      </c>
      <c r="G48" s="6" t="s">
        <v>65</v>
      </c>
      <c r="H48" s="6" t="s">
        <v>65</v>
      </c>
      <c r="I48" s="6" t="s">
        <v>325</v>
      </c>
      <c r="J48" s="6">
        <v>0</v>
      </c>
      <c r="K48" s="6" t="s">
        <v>65</v>
      </c>
      <c r="L48" s="6" t="s">
        <v>54</v>
      </c>
      <c r="M48" s="6" t="s">
        <v>65</v>
      </c>
      <c r="N48" s="6" t="s">
        <v>326</v>
      </c>
      <c r="O48" s="6" t="s">
        <v>132</v>
      </c>
      <c r="P48" s="6" t="s">
        <v>260</v>
      </c>
      <c r="Q48" s="6" t="s">
        <v>327</v>
      </c>
      <c r="R48" s="6" t="s">
        <v>328</v>
      </c>
      <c r="S48" s="1"/>
      <c r="T48" s="1"/>
      <c r="U48" s="1"/>
      <c r="V48" s="1"/>
      <c r="W48" s="1"/>
      <c r="X48" s="1"/>
      <c r="Y48" s="1"/>
      <c r="Z48" s="1"/>
    </row>
    <row r="49" spans="1:26" ht="27">
      <c r="A49" s="6" t="s">
        <v>374</v>
      </c>
      <c r="B49" s="6" t="s">
        <v>65</v>
      </c>
      <c r="C49" s="6" t="s">
        <v>65</v>
      </c>
      <c r="D49" s="6" t="s">
        <v>324</v>
      </c>
      <c r="E49" s="6" t="s">
        <v>65</v>
      </c>
      <c r="F49" s="7" t="s">
        <v>65</v>
      </c>
      <c r="G49" s="6" t="s">
        <v>65</v>
      </c>
      <c r="H49" s="6" t="s">
        <v>65</v>
      </c>
      <c r="I49" s="6" t="s">
        <v>325</v>
      </c>
      <c r="J49" s="6">
        <v>0</v>
      </c>
      <c r="K49" s="6" t="s">
        <v>65</v>
      </c>
      <c r="L49" s="6" t="s">
        <v>54</v>
      </c>
      <c r="M49" s="6" t="s">
        <v>65</v>
      </c>
      <c r="N49" s="6" t="s">
        <v>326</v>
      </c>
      <c r="O49" s="6" t="s">
        <v>132</v>
      </c>
      <c r="P49" s="6" t="s">
        <v>260</v>
      </c>
      <c r="Q49" s="6" t="s">
        <v>327</v>
      </c>
      <c r="R49" s="6" t="s">
        <v>328</v>
      </c>
      <c r="S49" s="1"/>
      <c r="T49" s="1"/>
      <c r="U49" s="1"/>
      <c r="V49" s="1"/>
      <c r="W49" s="1"/>
      <c r="X49" s="1"/>
      <c r="Y49" s="1"/>
      <c r="Z49" s="1"/>
    </row>
    <row r="50" spans="1:26" ht="27">
      <c r="A50" s="6" t="s">
        <v>375</v>
      </c>
      <c r="B50" s="6" t="s">
        <v>65</v>
      </c>
      <c r="C50" s="6" t="s">
        <v>65</v>
      </c>
      <c r="D50" s="6" t="s">
        <v>324</v>
      </c>
      <c r="E50" s="6" t="s">
        <v>65</v>
      </c>
      <c r="F50" s="7" t="s">
        <v>65</v>
      </c>
      <c r="G50" s="6" t="s">
        <v>65</v>
      </c>
      <c r="H50" s="6" t="s">
        <v>65</v>
      </c>
      <c r="I50" s="6" t="s">
        <v>325</v>
      </c>
      <c r="J50" s="6">
        <v>0</v>
      </c>
      <c r="K50" s="6" t="s">
        <v>65</v>
      </c>
      <c r="L50" s="6" t="s">
        <v>54</v>
      </c>
      <c r="M50" s="6" t="s">
        <v>65</v>
      </c>
      <c r="N50" s="6" t="s">
        <v>326</v>
      </c>
      <c r="O50" s="6" t="s">
        <v>132</v>
      </c>
      <c r="P50" s="6" t="s">
        <v>260</v>
      </c>
      <c r="Q50" s="6" t="s">
        <v>327</v>
      </c>
      <c r="R50" s="6" t="s">
        <v>328</v>
      </c>
      <c r="S50" s="1"/>
      <c r="T50" s="1"/>
      <c r="U50" s="1"/>
      <c r="V50" s="1"/>
      <c r="W50" s="1"/>
      <c r="X50" s="1"/>
      <c r="Y50" s="1"/>
      <c r="Z50" s="1"/>
    </row>
    <row r="51" spans="1:26" ht="27">
      <c r="A51" s="6" t="s">
        <v>376</v>
      </c>
      <c r="B51" s="6" t="s">
        <v>65</v>
      </c>
      <c r="C51" s="6" t="s">
        <v>65</v>
      </c>
      <c r="D51" s="6" t="s">
        <v>324</v>
      </c>
      <c r="E51" s="6" t="s">
        <v>65</v>
      </c>
      <c r="F51" s="7" t="s">
        <v>65</v>
      </c>
      <c r="G51" s="6" t="s">
        <v>65</v>
      </c>
      <c r="H51" s="6" t="s">
        <v>65</v>
      </c>
      <c r="I51" s="6" t="s">
        <v>325</v>
      </c>
      <c r="J51" s="6">
        <v>0</v>
      </c>
      <c r="K51" s="6" t="s">
        <v>65</v>
      </c>
      <c r="L51" s="6" t="s">
        <v>54</v>
      </c>
      <c r="M51" s="6" t="s">
        <v>65</v>
      </c>
      <c r="N51" s="6" t="s">
        <v>326</v>
      </c>
      <c r="O51" s="6" t="s">
        <v>132</v>
      </c>
      <c r="P51" s="6" t="s">
        <v>260</v>
      </c>
      <c r="Q51" s="6" t="s">
        <v>327</v>
      </c>
      <c r="R51" s="6" t="s">
        <v>328</v>
      </c>
      <c r="S51" s="1"/>
      <c r="T51" s="1"/>
      <c r="U51" s="1"/>
      <c r="V51" s="1"/>
      <c r="W51" s="1"/>
      <c r="X51" s="1"/>
      <c r="Y51" s="1"/>
      <c r="Z51" s="1"/>
    </row>
    <row r="52" spans="1:26" ht="27">
      <c r="A52" s="6" t="s">
        <v>377</v>
      </c>
      <c r="B52" s="6" t="s">
        <v>65</v>
      </c>
      <c r="C52" s="6" t="s">
        <v>65</v>
      </c>
      <c r="D52" s="6" t="s">
        <v>324</v>
      </c>
      <c r="E52" s="6" t="s">
        <v>65</v>
      </c>
      <c r="F52" s="7" t="s">
        <v>65</v>
      </c>
      <c r="G52" s="6" t="s">
        <v>65</v>
      </c>
      <c r="H52" s="6" t="s">
        <v>65</v>
      </c>
      <c r="I52" s="6" t="s">
        <v>325</v>
      </c>
      <c r="J52" s="6">
        <v>0</v>
      </c>
      <c r="K52" s="6" t="s">
        <v>65</v>
      </c>
      <c r="L52" s="6" t="s">
        <v>54</v>
      </c>
      <c r="M52" s="6" t="s">
        <v>65</v>
      </c>
      <c r="N52" s="6" t="s">
        <v>326</v>
      </c>
      <c r="O52" s="6" t="s">
        <v>132</v>
      </c>
      <c r="P52" s="6" t="s">
        <v>260</v>
      </c>
      <c r="Q52" s="6" t="s">
        <v>327</v>
      </c>
      <c r="R52" s="6" t="s">
        <v>328</v>
      </c>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sheetData>
  <mergeCells count="1">
    <mergeCell ref="A1:R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400-000000000000}">
          <x14:formula1>
            <xm:f>Controlled_Vocab!$E$4:$E$6</xm:f>
          </x14:formula1>
          <xm:sqref>G3:H52</xm:sqref>
        </x14:dataValidation>
        <x14:dataValidation type="list" xr:uid="{00000000-0002-0000-0400-000001000000}">
          <x14:formula1>
            <xm:f>Controlled_Vocab!$K$4:$K$6</xm:f>
          </x14:formula1>
          <xm:sqref>L3:M52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Z120"/>
  <sheetViews>
    <sheetView workbookViewId="0">
      <selection sqref="A1:J1"/>
    </sheetView>
  </sheetViews>
  <sheetFormatPr defaultRowHeight="14.25"/>
  <cols>
    <col min="1" max="1" width="12" customWidth="1"/>
    <col min="2" max="2" width="58" customWidth="1"/>
    <col min="3" max="3" width="68" customWidth="1"/>
    <col min="4" max="4" width="62" customWidth="1"/>
    <col min="5" max="5" width="64" customWidth="1"/>
    <col min="6" max="6" width="72" customWidth="1"/>
    <col min="7" max="7" width="22" customWidth="1"/>
    <col min="8" max="8" width="18" customWidth="1"/>
    <col min="9" max="9" width="22" customWidth="1"/>
    <col min="10" max="10" width="48" customWidth="1"/>
  </cols>
  <sheetData>
    <row r="1" spans="1:26" ht="18.75">
      <c r="A1" s="11" t="s">
        <v>378</v>
      </c>
      <c r="B1" s="11"/>
      <c r="C1" s="11"/>
      <c r="D1" s="11"/>
      <c r="E1" s="11"/>
      <c r="F1" s="11"/>
      <c r="G1" s="11"/>
      <c r="H1" s="11"/>
      <c r="I1" s="11"/>
      <c r="J1" s="11"/>
      <c r="K1" s="10"/>
      <c r="L1" s="10"/>
      <c r="M1" s="10"/>
      <c r="N1" s="10"/>
      <c r="O1" s="10"/>
      <c r="P1" s="10"/>
      <c r="Q1" s="10"/>
      <c r="R1" s="10"/>
      <c r="S1" s="10"/>
      <c r="T1" s="10"/>
      <c r="U1" s="10"/>
      <c r="V1" s="10"/>
      <c r="W1" s="10"/>
      <c r="X1" s="10"/>
      <c r="Y1" s="10"/>
      <c r="Z1" s="10"/>
    </row>
    <row r="2" spans="1:26" ht="15">
      <c r="A2" s="14" t="s">
        <v>379</v>
      </c>
      <c r="B2" s="14"/>
      <c r="C2" s="14"/>
      <c r="D2" s="14"/>
      <c r="E2" s="14"/>
      <c r="F2" s="14"/>
      <c r="G2" s="14"/>
      <c r="H2" s="14"/>
      <c r="I2" s="14"/>
      <c r="J2" s="14"/>
      <c r="K2" s="1"/>
      <c r="L2" s="1"/>
      <c r="M2" s="1"/>
      <c r="N2" s="1"/>
      <c r="O2" s="1"/>
      <c r="P2" s="1"/>
      <c r="Q2" s="1"/>
      <c r="R2" s="1"/>
      <c r="S2" s="1"/>
      <c r="T2" s="1"/>
      <c r="U2" s="1"/>
      <c r="V2" s="1"/>
      <c r="W2" s="1"/>
      <c r="X2" s="1"/>
      <c r="Y2" s="1"/>
      <c r="Z2" s="1"/>
    </row>
    <row r="3" spans="1:26" ht="15">
      <c r="A3" s="1"/>
      <c r="B3" s="1"/>
      <c r="C3" s="1"/>
      <c r="D3" s="1"/>
      <c r="E3" s="1"/>
      <c r="F3" s="1"/>
      <c r="G3" s="1"/>
      <c r="H3" s="1"/>
      <c r="I3" s="1"/>
      <c r="J3" s="1"/>
      <c r="K3" s="1"/>
      <c r="L3" s="1"/>
      <c r="M3" s="1"/>
      <c r="N3" s="1"/>
      <c r="O3" s="1"/>
      <c r="P3" s="1"/>
      <c r="Q3" s="1"/>
      <c r="R3" s="1"/>
      <c r="S3" s="1"/>
      <c r="T3" s="1"/>
      <c r="U3" s="1"/>
      <c r="V3" s="1"/>
      <c r="W3" s="1"/>
      <c r="X3" s="1"/>
      <c r="Y3" s="1"/>
      <c r="Z3" s="1"/>
    </row>
    <row r="4" spans="1:26" ht="15">
      <c r="A4" s="2" t="s">
        <v>380</v>
      </c>
      <c r="B4" s="2" t="s">
        <v>381</v>
      </c>
      <c r="C4" s="2" t="s">
        <v>382</v>
      </c>
      <c r="D4" s="2" t="s">
        <v>383</v>
      </c>
      <c r="E4" s="2" t="s">
        <v>384</v>
      </c>
      <c r="F4" s="2" t="s">
        <v>385</v>
      </c>
      <c r="G4" s="2" t="s">
        <v>39</v>
      </c>
      <c r="H4" s="2" t="s">
        <v>238</v>
      </c>
      <c r="I4" s="2" t="s">
        <v>386</v>
      </c>
      <c r="J4" s="2" t="s">
        <v>129</v>
      </c>
      <c r="K4" s="1"/>
      <c r="L4" s="1"/>
      <c r="M4" s="1"/>
      <c r="N4" s="1"/>
      <c r="O4" s="1"/>
      <c r="P4" s="1"/>
      <c r="Q4" s="1"/>
      <c r="R4" s="1"/>
      <c r="S4" s="1"/>
      <c r="T4" s="1"/>
      <c r="U4" s="1"/>
      <c r="V4" s="1"/>
      <c r="W4" s="1"/>
      <c r="X4" s="1"/>
      <c r="Y4" s="1"/>
      <c r="Z4" s="1"/>
    </row>
    <row r="5" spans="1:26" ht="27">
      <c r="A5" s="6" t="s">
        <v>387</v>
      </c>
      <c r="B5" s="6" t="s">
        <v>388</v>
      </c>
      <c r="C5" s="6" t="s">
        <v>389</v>
      </c>
      <c r="D5" s="6" t="s">
        <v>390</v>
      </c>
      <c r="E5" s="6" t="s">
        <v>391</v>
      </c>
      <c r="F5" s="6" t="s">
        <v>392</v>
      </c>
      <c r="G5" s="6" t="s">
        <v>71</v>
      </c>
      <c r="H5" s="6" t="s">
        <v>65</v>
      </c>
      <c r="I5" s="6" t="s">
        <v>73</v>
      </c>
      <c r="J5" s="6" t="s">
        <v>393</v>
      </c>
      <c r="K5" s="1"/>
      <c r="L5" s="1"/>
      <c r="M5" s="1"/>
      <c r="N5" s="1"/>
      <c r="O5" s="1"/>
      <c r="P5" s="1"/>
      <c r="Q5" s="1"/>
      <c r="R5" s="1"/>
      <c r="S5" s="1"/>
      <c r="T5" s="1"/>
      <c r="U5" s="1"/>
      <c r="V5" s="1"/>
      <c r="W5" s="1"/>
      <c r="X5" s="1"/>
      <c r="Y5" s="1"/>
      <c r="Z5" s="1"/>
    </row>
    <row r="6" spans="1:26" ht="27">
      <c r="A6" s="6" t="s">
        <v>394</v>
      </c>
      <c r="B6" s="6" t="s">
        <v>395</v>
      </c>
      <c r="C6" s="6" t="s">
        <v>396</v>
      </c>
      <c r="D6" s="6" t="s">
        <v>397</v>
      </c>
      <c r="E6" s="6" t="s">
        <v>398</v>
      </c>
      <c r="F6" s="6" t="s">
        <v>399</v>
      </c>
      <c r="G6" s="6" t="s">
        <v>59</v>
      </c>
      <c r="H6" s="6" t="s">
        <v>65</v>
      </c>
      <c r="I6" s="6" t="s">
        <v>61</v>
      </c>
      <c r="J6" s="6" t="s">
        <v>400</v>
      </c>
      <c r="K6" s="1"/>
      <c r="L6" s="1"/>
      <c r="M6" s="1"/>
      <c r="N6" s="1"/>
      <c r="O6" s="1"/>
      <c r="P6" s="1"/>
      <c r="Q6" s="1"/>
      <c r="R6" s="1"/>
      <c r="S6" s="1"/>
      <c r="T6" s="1"/>
      <c r="U6" s="1"/>
      <c r="V6" s="1"/>
      <c r="W6" s="1"/>
      <c r="X6" s="1"/>
      <c r="Y6" s="1"/>
      <c r="Z6" s="1"/>
    </row>
    <row r="7" spans="1:26" ht="27">
      <c r="A7" s="6" t="s">
        <v>401</v>
      </c>
      <c r="B7" s="6" t="s">
        <v>402</v>
      </c>
      <c r="C7" s="6" t="s">
        <v>403</v>
      </c>
      <c r="D7" s="6" t="s">
        <v>404</v>
      </c>
      <c r="E7" s="6" t="s">
        <v>405</v>
      </c>
      <c r="F7" s="6" t="s">
        <v>406</v>
      </c>
      <c r="G7" s="6" t="s">
        <v>59</v>
      </c>
      <c r="H7" s="6" t="s">
        <v>65</v>
      </c>
      <c r="I7" s="6" t="s">
        <v>61</v>
      </c>
      <c r="J7" s="6" t="s">
        <v>407</v>
      </c>
      <c r="K7" s="1"/>
      <c r="L7" s="1"/>
      <c r="M7" s="1"/>
      <c r="N7" s="1"/>
      <c r="O7" s="1"/>
      <c r="P7" s="1"/>
      <c r="Q7" s="1"/>
      <c r="R7" s="1"/>
      <c r="S7" s="1"/>
      <c r="T7" s="1"/>
      <c r="U7" s="1"/>
      <c r="V7" s="1"/>
      <c r="W7" s="1"/>
      <c r="X7" s="1"/>
      <c r="Y7" s="1"/>
      <c r="Z7" s="1"/>
    </row>
    <row r="8" spans="1:26" ht="40.5">
      <c r="A8" s="6" t="s">
        <v>408</v>
      </c>
      <c r="B8" s="6" t="s">
        <v>409</v>
      </c>
      <c r="C8" s="6" t="s">
        <v>410</v>
      </c>
      <c r="D8" s="6" t="s">
        <v>411</v>
      </c>
      <c r="E8" s="6" t="s">
        <v>412</v>
      </c>
      <c r="F8" s="6" t="s">
        <v>413</v>
      </c>
      <c r="G8" s="6" t="s">
        <v>71</v>
      </c>
      <c r="H8" s="6" t="s">
        <v>65</v>
      </c>
      <c r="I8" s="6" t="s">
        <v>73</v>
      </c>
      <c r="J8" s="6" t="s">
        <v>414</v>
      </c>
      <c r="K8" s="1"/>
      <c r="L8" s="1"/>
      <c r="M8" s="1"/>
      <c r="N8" s="1"/>
      <c r="O8" s="1"/>
      <c r="P8" s="1"/>
      <c r="Q8" s="1"/>
      <c r="R8" s="1"/>
      <c r="S8" s="1"/>
      <c r="T8" s="1"/>
      <c r="U8" s="1"/>
      <c r="V8" s="1"/>
      <c r="W8" s="1"/>
      <c r="X8" s="1"/>
      <c r="Y8" s="1"/>
      <c r="Z8" s="1"/>
    </row>
    <row r="9" spans="1:26" ht="40.5">
      <c r="A9" s="4" t="s">
        <v>415</v>
      </c>
      <c r="B9" s="4" t="s">
        <v>416</v>
      </c>
      <c r="C9" s="4" t="s">
        <v>417</v>
      </c>
      <c r="D9" s="4" t="s">
        <v>418</v>
      </c>
      <c r="E9" s="4" t="s">
        <v>419</v>
      </c>
      <c r="F9" s="4" t="s">
        <v>420</v>
      </c>
      <c r="G9" s="4" t="s">
        <v>71</v>
      </c>
      <c r="H9" s="4" t="s">
        <v>65</v>
      </c>
      <c r="I9" s="4" t="s">
        <v>73</v>
      </c>
      <c r="J9" s="4" t="s">
        <v>421</v>
      </c>
      <c r="K9" s="1"/>
      <c r="L9" s="1"/>
      <c r="M9" s="1"/>
      <c r="N9" s="1"/>
      <c r="O9" s="1"/>
      <c r="P9" s="1"/>
      <c r="Q9" s="1"/>
      <c r="R9" s="1"/>
      <c r="S9" s="1"/>
      <c r="T9" s="1"/>
      <c r="U9" s="1"/>
      <c r="V9" s="1"/>
      <c r="W9" s="1"/>
      <c r="X9" s="1"/>
      <c r="Y9" s="1"/>
      <c r="Z9" s="1"/>
    </row>
    <row r="10" spans="1:26" ht="40.5">
      <c r="A10" s="4" t="s">
        <v>422</v>
      </c>
      <c r="B10" s="4" t="s">
        <v>423</v>
      </c>
      <c r="C10" s="4" t="s">
        <v>424</v>
      </c>
      <c r="D10" s="4" t="s">
        <v>425</v>
      </c>
      <c r="E10" s="4" t="s">
        <v>426</v>
      </c>
      <c r="F10" s="4" t="s">
        <v>427</v>
      </c>
      <c r="G10" s="4" t="s">
        <v>71</v>
      </c>
      <c r="H10" s="4" t="s">
        <v>65</v>
      </c>
      <c r="I10" s="4" t="s">
        <v>73</v>
      </c>
      <c r="J10" s="4" t="s">
        <v>428</v>
      </c>
      <c r="K10" s="1"/>
      <c r="L10" s="1"/>
      <c r="M10" s="1"/>
      <c r="N10" s="1"/>
      <c r="O10" s="1"/>
      <c r="P10" s="1"/>
      <c r="Q10" s="1"/>
      <c r="R10" s="1"/>
      <c r="S10" s="1"/>
      <c r="T10" s="1"/>
      <c r="U10" s="1"/>
      <c r="V10" s="1"/>
      <c r="W10" s="1"/>
      <c r="X10" s="1"/>
      <c r="Y10" s="1"/>
      <c r="Z10" s="1"/>
    </row>
    <row r="11" spans="1:26" ht="1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sheetData>
  <mergeCells count="2">
    <mergeCell ref="A1:J1"/>
    <mergeCell ref="A2:J2"/>
  </mergeCells>
  <conditionalFormatting sqref="G5:G8">
    <cfRule type="expression" dxfId="4" priority="1">
      <formula>$G5="Confirmed"</formula>
    </cfRule>
    <cfRule type="expression" dxfId="3" priority="2">
      <formula>$G5="Rejected as deviation"</formula>
    </cfRule>
    <cfRule type="expression" dxfId="2" priority="3">
      <formula>$G5="Pending decision"</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500-000000000000}">
          <x14:formula1>
            <xm:f>Controlled_Vocab!$N$4:$N$6</xm:f>
          </x14:formula1>
          <xm:sqref>G5:G8</xm:sqref>
        </x14:dataValidation>
        <x14:dataValidation type="list" xr:uid="{00000000-0002-0000-0500-000001000000}">
          <x14:formula1>
            <xm:f>Controlled_Vocab!$B$4:$B$7</xm:f>
          </x14:formula1>
          <xm:sqref>I5:I8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Z120"/>
  <sheetViews>
    <sheetView workbookViewId="0">
      <selection sqref="A1:H1"/>
    </sheetView>
  </sheetViews>
  <sheetFormatPr defaultRowHeight="14.25"/>
  <cols>
    <col min="1" max="1" width="52" customWidth="1"/>
    <col min="2" max="2" width="18" customWidth="1"/>
    <col min="4" max="4" width="32" customWidth="1"/>
    <col min="5" max="6" width="20" customWidth="1"/>
  </cols>
  <sheetData>
    <row r="1" spans="1:26" ht="18.75">
      <c r="A1" s="13" t="s">
        <v>429</v>
      </c>
      <c r="B1" s="13"/>
      <c r="C1" s="13"/>
      <c r="D1" s="13"/>
      <c r="E1" s="13"/>
      <c r="F1" s="13"/>
      <c r="G1" s="13"/>
      <c r="H1" s="13"/>
      <c r="I1" s="5"/>
      <c r="J1" s="5"/>
      <c r="K1" s="5"/>
      <c r="L1" s="5"/>
      <c r="M1" s="5"/>
      <c r="N1" s="5"/>
      <c r="O1" s="5"/>
      <c r="P1" s="5"/>
      <c r="Q1" s="5"/>
      <c r="R1" s="5"/>
      <c r="S1" s="5"/>
      <c r="T1" s="5"/>
      <c r="U1" s="5"/>
      <c r="V1" s="5"/>
      <c r="W1" s="5"/>
      <c r="X1" s="5"/>
      <c r="Y1" s="5"/>
      <c r="Z1" s="5"/>
    </row>
    <row r="2" spans="1:26" ht="15">
      <c r="A2" s="1"/>
      <c r="B2" s="1"/>
      <c r="C2" s="1"/>
      <c r="D2" s="1"/>
      <c r="E2" s="1"/>
      <c r="F2" s="1"/>
      <c r="G2" s="1"/>
      <c r="H2" s="1"/>
      <c r="I2" s="1"/>
      <c r="J2" s="1"/>
      <c r="K2" s="1"/>
      <c r="L2" s="1"/>
      <c r="M2" s="1"/>
      <c r="N2" s="1"/>
      <c r="O2" s="1"/>
      <c r="P2" s="1"/>
      <c r="Q2" s="1"/>
      <c r="R2" s="1"/>
      <c r="S2" s="1"/>
      <c r="T2" s="1"/>
      <c r="U2" s="1"/>
      <c r="V2" s="1"/>
      <c r="W2" s="1"/>
      <c r="X2" s="1"/>
      <c r="Y2" s="1"/>
      <c r="Z2" s="1"/>
    </row>
    <row r="3" spans="1:26" ht="15">
      <c r="A3" s="2" t="s">
        <v>430</v>
      </c>
      <c r="B3" s="2" t="s">
        <v>431</v>
      </c>
      <c r="C3" s="1"/>
      <c r="D3" s="2" t="s">
        <v>28</v>
      </c>
      <c r="E3" s="2" t="s">
        <v>432</v>
      </c>
      <c r="F3" s="2" t="s">
        <v>433</v>
      </c>
      <c r="G3" s="1"/>
      <c r="H3" s="1"/>
      <c r="I3" s="1"/>
      <c r="J3" s="1"/>
      <c r="K3" s="1"/>
      <c r="L3" s="1"/>
      <c r="M3" s="1"/>
      <c r="N3" s="1"/>
      <c r="O3" s="1"/>
      <c r="P3" s="1"/>
      <c r="Q3" s="1"/>
      <c r="R3" s="1"/>
      <c r="S3" s="1"/>
      <c r="T3" s="1"/>
      <c r="U3" s="1"/>
      <c r="V3" s="1"/>
      <c r="W3" s="1"/>
      <c r="X3" s="1"/>
      <c r="Y3" s="1"/>
      <c r="Z3" s="1"/>
    </row>
    <row r="4" spans="1:26" ht="15">
      <c r="A4" s="3" t="s">
        <v>432</v>
      </c>
      <c r="B4" s="4">
        <f>COUNTIF(Protocol_Deviation_Log!B3:B102,"Confirmed deviation")</f>
        <v>0</v>
      </c>
      <c r="C4" s="1"/>
      <c r="D4" s="4" t="s">
        <v>52</v>
      </c>
      <c r="E4" s="4">
        <f>COUNTIFS(Protocol_Deviation_Log!B3:B102,"Confirmed deviation",Protocol_Deviation_Log!H3:H102,D4)</f>
        <v>0</v>
      </c>
      <c r="F4" s="4">
        <f>COUNTIFS(Protocol_Deviation_Log!B3:B102,"Confirmed deviation",Protocol_Deviation_Log!H3:H102,D4,Protocol_Deviation_Log!C3:C102,"Material")</f>
        <v>0</v>
      </c>
      <c r="G4" s="1"/>
      <c r="H4" s="1"/>
      <c r="I4" s="1"/>
      <c r="J4" s="1"/>
      <c r="K4" s="1"/>
      <c r="L4" s="1"/>
      <c r="M4" s="1"/>
      <c r="N4" s="1"/>
      <c r="O4" s="1"/>
      <c r="P4" s="1"/>
      <c r="Q4" s="1"/>
      <c r="R4" s="1"/>
      <c r="S4" s="1"/>
      <c r="T4" s="1"/>
      <c r="U4" s="1"/>
      <c r="V4" s="1"/>
      <c r="W4" s="1"/>
      <c r="X4" s="1"/>
      <c r="Y4" s="1"/>
      <c r="Z4" s="1"/>
    </row>
    <row r="5" spans="1:26" ht="15">
      <c r="A5" s="3" t="s">
        <v>434</v>
      </c>
      <c r="B5" s="4">
        <f>COUNTIFS(Protocol_Deviation_Log!B3:B102,"Confirmed deviation",Protocol_Deviation_Log!C3:C102,"Material")</f>
        <v>0</v>
      </c>
      <c r="C5" s="1"/>
      <c r="D5" s="4" t="s">
        <v>62</v>
      </c>
      <c r="E5" s="4">
        <f>COUNTIFS(Protocol_Deviation_Log!B3:B102,"Confirmed deviation",Protocol_Deviation_Log!H3:H102,D5)</f>
        <v>0</v>
      </c>
      <c r="F5" s="4">
        <f>COUNTIFS(Protocol_Deviation_Log!B3:B102,"Confirmed deviation",Protocol_Deviation_Log!H3:H102,D5,Protocol_Deviation_Log!C3:C102,"Material")</f>
        <v>0</v>
      </c>
      <c r="G5" s="1"/>
      <c r="H5" s="1"/>
      <c r="I5" s="1"/>
      <c r="J5" s="1"/>
      <c r="K5" s="1"/>
      <c r="L5" s="1"/>
      <c r="M5" s="1"/>
      <c r="N5" s="1"/>
      <c r="O5" s="1"/>
      <c r="P5" s="1"/>
      <c r="Q5" s="1"/>
      <c r="R5" s="1"/>
      <c r="S5" s="1"/>
      <c r="T5" s="1"/>
      <c r="U5" s="1"/>
      <c r="V5" s="1"/>
      <c r="W5" s="1"/>
      <c r="X5" s="1"/>
      <c r="Y5" s="1"/>
      <c r="Z5" s="1"/>
    </row>
    <row r="6" spans="1:26" ht="15">
      <c r="A6" s="3" t="s">
        <v>435</v>
      </c>
      <c r="B6" s="4">
        <f>COUNTIFS(Protocol_Deviation_Log!B3:B102,"Confirmed deviation",Protocol_Deviation_Log!C3:C102,"&lt;&gt;Material",Protocol_Deviation_Log!C3:C102,"&lt;&gt;")</f>
        <v>0</v>
      </c>
      <c r="C6" s="1"/>
      <c r="D6" s="4" t="s">
        <v>74</v>
      </c>
      <c r="E6" s="4">
        <f>COUNTIFS(Protocol_Deviation_Log!B3:B102,"Confirmed deviation",Protocol_Deviation_Log!H3:H102,D6)</f>
        <v>0</v>
      </c>
      <c r="F6" s="4">
        <f>COUNTIFS(Protocol_Deviation_Log!B3:B102,"Confirmed deviation",Protocol_Deviation_Log!H3:H102,D6,Protocol_Deviation_Log!C3:C102,"Material")</f>
        <v>0</v>
      </c>
      <c r="G6" s="1"/>
      <c r="H6" s="1"/>
      <c r="I6" s="1"/>
      <c r="J6" s="1"/>
      <c r="K6" s="1"/>
      <c r="L6" s="1"/>
      <c r="M6" s="1"/>
      <c r="N6" s="1"/>
      <c r="O6" s="1"/>
      <c r="P6" s="1"/>
      <c r="Q6" s="1"/>
      <c r="R6" s="1"/>
      <c r="S6" s="1"/>
      <c r="T6" s="1"/>
      <c r="U6" s="1"/>
      <c r="V6" s="1"/>
      <c r="W6" s="1"/>
      <c r="X6" s="1"/>
      <c r="Y6" s="1"/>
      <c r="Z6" s="1"/>
    </row>
    <row r="7" spans="1:26" ht="15">
      <c r="A7" s="3" t="s">
        <v>436</v>
      </c>
      <c r="B7" s="4">
        <f>COUNTIFS(Protocol_Deviation_Log!B3:B102,"Confirmed deviation",Protocol_Deviation_Log!W3:W102,"Open")</f>
        <v>0</v>
      </c>
      <c r="C7" s="1"/>
      <c r="D7" s="4" t="s">
        <v>81</v>
      </c>
      <c r="E7" s="4">
        <f>COUNTIFS(Protocol_Deviation_Log!B3:B102,"Confirmed deviation",Protocol_Deviation_Log!H3:H102,D7)</f>
        <v>0</v>
      </c>
      <c r="F7" s="4">
        <f>COUNTIFS(Protocol_Deviation_Log!B3:B102,"Confirmed deviation",Protocol_Deviation_Log!H3:H102,D7,Protocol_Deviation_Log!C3:C102,"Material")</f>
        <v>0</v>
      </c>
      <c r="G7" s="1"/>
      <c r="H7" s="1"/>
      <c r="I7" s="1"/>
      <c r="J7" s="1"/>
      <c r="K7" s="1"/>
      <c r="L7" s="1"/>
      <c r="M7" s="1"/>
      <c r="N7" s="1"/>
      <c r="O7" s="1"/>
      <c r="P7" s="1"/>
      <c r="Q7" s="1"/>
      <c r="R7" s="1"/>
      <c r="S7" s="1"/>
      <c r="T7" s="1"/>
      <c r="U7" s="1"/>
      <c r="V7" s="1"/>
      <c r="W7" s="1"/>
      <c r="X7" s="1"/>
      <c r="Y7" s="1"/>
      <c r="Z7" s="1"/>
    </row>
    <row r="8" spans="1:26" ht="15">
      <c r="A8" s="3" t="s">
        <v>437</v>
      </c>
      <c r="B8" s="4">
        <f>COUNTIFS(Protocol_Deviation_Log!B3:B102,"Confirmed deviation",Protocol_Deviation_Log!W3:W102,"Closed")</f>
        <v>0</v>
      </c>
      <c r="C8" s="1"/>
      <c r="D8" s="4" t="s">
        <v>87</v>
      </c>
      <c r="E8" s="4">
        <f>COUNTIFS(Protocol_Deviation_Log!B3:B102,"Confirmed deviation",Protocol_Deviation_Log!H3:H102,D8)</f>
        <v>0</v>
      </c>
      <c r="F8" s="4">
        <f>COUNTIFS(Protocol_Deviation_Log!B3:B102,"Confirmed deviation",Protocol_Deviation_Log!H3:H102,D8,Protocol_Deviation_Log!C3:C102,"Material")</f>
        <v>0</v>
      </c>
      <c r="G8" s="1"/>
      <c r="H8" s="1"/>
      <c r="I8" s="1"/>
      <c r="J8" s="1"/>
      <c r="K8" s="1"/>
      <c r="L8" s="1"/>
      <c r="M8" s="1"/>
      <c r="N8" s="1"/>
      <c r="O8" s="1"/>
      <c r="P8" s="1"/>
      <c r="Q8" s="1"/>
      <c r="R8" s="1"/>
      <c r="S8" s="1"/>
      <c r="T8" s="1"/>
      <c r="U8" s="1"/>
      <c r="V8" s="1"/>
      <c r="W8" s="1"/>
      <c r="X8" s="1"/>
      <c r="Y8" s="1"/>
      <c r="Z8" s="1"/>
    </row>
    <row r="9" spans="1:26" ht="15">
      <c r="A9" s="3" t="s">
        <v>438</v>
      </c>
      <c r="B9" s="4">
        <f>COUNTIFS(Protocol_Deviation_Log!B3:B102,"Confirmed deviation",Protocol_Deviation_Log!N3:N102,"Completed")</f>
        <v>0</v>
      </c>
      <c r="C9" s="1"/>
      <c r="D9" s="4" t="s">
        <v>92</v>
      </c>
      <c r="E9" s="4">
        <f>COUNTIFS(Protocol_Deviation_Log!B3:B102,"Confirmed deviation",Protocol_Deviation_Log!H3:H102,D9)</f>
        <v>0</v>
      </c>
      <c r="F9" s="4">
        <f>COUNTIFS(Protocol_Deviation_Log!B3:B102,"Confirmed deviation",Protocol_Deviation_Log!H3:H102,D9,Protocol_Deviation_Log!C3:C102,"Material")</f>
        <v>0</v>
      </c>
      <c r="G9" s="1"/>
      <c r="H9" s="1"/>
      <c r="I9" s="1"/>
      <c r="J9" s="1"/>
      <c r="K9" s="1"/>
      <c r="L9" s="1"/>
      <c r="M9" s="1"/>
      <c r="N9" s="1"/>
      <c r="O9" s="1"/>
      <c r="P9" s="1"/>
      <c r="Q9" s="1"/>
      <c r="R9" s="1"/>
      <c r="S9" s="1"/>
      <c r="T9" s="1"/>
      <c r="U9" s="1"/>
      <c r="V9" s="1"/>
      <c r="W9" s="1"/>
      <c r="X9" s="1"/>
      <c r="Y9" s="1"/>
      <c r="Z9" s="1"/>
    </row>
    <row r="10" spans="1:26" ht="15">
      <c r="A10" s="3" t="s">
        <v>439</v>
      </c>
      <c r="B10" s="4">
        <f>COUNTIFS(Protocol_Deviation_Log!B3:B102,"Confirmed deviation",Protocol_Deviation_Log!R3:R102,"Yes")</f>
        <v>0</v>
      </c>
      <c r="C10" s="1"/>
      <c r="D10" s="4" t="s">
        <v>96</v>
      </c>
      <c r="E10" s="4">
        <f>COUNTIFS(Protocol_Deviation_Log!B3:B102,"Confirmed deviation",Protocol_Deviation_Log!H3:H102,D10)</f>
        <v>0</v>
      </c>
      <c r="F10" s="4">
        <f>COUNTIFS(Protocol_Deviation_Log!B3:B102,"Confirmed deviation",Protocol_Deviation_Log!H3:H102,D10,Protocol_Deviation_Log!C3:C102,"Material")</f>
        <v>0</v>
      </c>
      <c r="G10" s="1"/>
      <c r="H10" s="1"/>
      <c r="I10" s="1"/>
      <c r="J10" s="1"/>
      <c r="K10" s="1"/>
      <c r="L10" s="1"/>
      <c r="M10" s="1"/>
      <c r="N10" s="1"/>
      <c r="O10" s="1"/>
      <c r="P10" s="1"/>
      <c r="Q10" s="1"/>
      <c r="R10" s="1"/>
      <c r="S10" s="1"/>
      <c r="T10" s="1"/>
      <c r="U10" s="1"/>
      <c r="V10" s="1"/>
      <c r="W10" s="1"/>
      <c r="X10" s="1"/>
      <c r="Y10" s="1"/>
      <c r="Z10" s="1"/>
    </row>
    <row r="11" spans="1:26" ht="15">
      <c r="A11" s="3" t="s">
        <v>440</v>
      </c>
      <c r="B11" s="4">
        <f>SUMIFS(Protocol_Deviation_Log!K3:K102,Protocol_Deviation_Log!B3:B102,"Confirmed deviation")</f>
        <v>0</v>
      </c>
      <c r="C11" s="1"/>
      <c r="D11" s="4" t="s">
        <v>100</v>
      </c>
      <c r="E11" s="4">
        <f>COUNTIFS(Protocol_Deviation_Log!B3:B102,"Confirmed deviation",Protocol_Deviation_Log!H3:H102,D11)</f>
        <v>0</v>
      </c>
      <c r="F11" s="4">
        <f>COUNTIFS(Protocol_Deviation_Log!B3:B102,"Confirmed deviation",Protocol_Deviation_Log!H3:H102,D11,Protocol_Deviation_Log!C3:C102,"Material")</f>
        <v>0</v>
      </c>
      <c r="G11" s="1"/>
      <c r="H11" s="1"/>
      <c r="I11" s="1"/>
      <c r="J11" s="1"/>
      <c r="K11" s="1"/>
      <c r="L11" s="1"/>
      <c r="M11" s="1"/>
      <c r="N11" s="1"/>
      <c r="O11" s="1"/>
      <c r="P11" s="1"/>
      <c r="Q11" s="1"/>
      <c r="R11" s="1"/>
      <c r="S11" s="1"/>
      <c r="T11" s="1"/>
      <c r="U11" s="1"/>
      <c r="V11" s="1"/>
      <c r="W11" s="1"/>
      <c r="X11" s="1"/>
      <c r="Y11" s="1"/>
      <c r="Z11" s="1"/>
    </row>
    <row r="12" spans="1:26" ht="15">
      <c r="A12" s="3" t="s">
        <v>441</v>
      </c>
      <c r="B12" s="4">
        <f>COUNTIF(Candidate_Issues!G5:G10,"Pending decision")</f>
        <v>4</v>
      </c>
      <c r="C12" s="1"/>
      <c r="D12" s="4" t="s">
        <v>82</v>
      </c>
      <c r="E12" s="4">
        <f>COUNTIFS(Protocol_Deviation_Log!B3:B102,"Confirmed deviation",Protocol_Deviation_Log!H3:H102,D12)</f>
        <v>0</v>
      </c>
      <c r="F12" s="4">
        <f>COUNTIFS(Protocol_Deviation_Log!B3:B102,"Confirmed deviation",Protocol_Deviation_Log!H3:H102,D12,Protocol_Deviation_Log!C3:C102,"Material")</f>
        <v>0</v>
      </c>
      <c r="G12" s="1"/>
      <c r="H12" s="1"/>
      <c r="I12" s="1"/>
      <c r="J12" s="1"/>
      <c r="K12" s="1"/>
      <c r="L12" s="1"/>
      <c r="M12" s="1"/>
      <c r="N12" s="1"/>
      <c r="O12" s="1"/>
      <c r="P12" s="1"/>
      <c r="Q12" s="1"/>
      <c r="R12" s="1"/>
      <c r="S12" s="1"/>
      <c r="T12" s="1"/>
      <c r="U12" s="1"/>
      <c r="V12" s="1"/>
      <c r="W12" s="1"/>
      <c r="X12" s="1"/>
      <c r="Y12" s="1"/>
      <c r="Z12" s="1"/>
    </row>
    <row r="13" spans="1:26" ht="15">
      <c r="A13" s="1"/>
      <c r="B13" s="1"/>
      <c r="C13" s="1"/>
      <c r="D13" s="4" t="s">
        <v>103</v>
      </c>
      <c r="E13" s="4">
        <f>COUNTIFS(Protocol_Deviation_Log!B3:B102,"Confirmed deviation",Protocol_Deviation_Log!H3:H102,D13)</f>
        <v>0</v>
      </c>
      <c r="F13" s="4">
        <f>COUNTIFS(Protocol_Deviation_Log!B3:B102,"Confirmed deviation",Protocol_Deviation_Log!H3:H102,D13,Protocol_Deviation_Log!C3:C102,"Material")</f>
        <v>0</v>
      </c>
      <c r="G13" s="1"/>
      <c r="H13" s="1"/>
      <c r="I13" s="1"/>
      <c r="J13" s="1"/>
      <c r="K13" s="1"/>
      <c r="L13" s="1"/>
      <c r="M13" s="1"/>
      <c r="N13" s="1"/>
      <c r="O13" s="1"/>
      <c r="P13" s="1"/>
      <c r="Q13" s="1"/>
      <c r="R13" s="1"/>
      <c r="S13" s="1"/>
      <c r="T13" s="1"/>
      <c r="U13" s="1"/>
      <c r="V13" s="1"/>
      <c r="W13" s="1"/>
      <c r="X13" s="1"/>
      <c r="Y13" s="1"/>
      <c r="Z13" s="1"/>
    </row>
    <row r="14" spans="1:26" ht="15">
      <c r="A14" s="1"/>
      <c r="B14" s="1"/>
      <c r="C14" s="1"/>
      <c r="D14" s="4" t="s">
        <v>105</v>
      </c>
      <c r="E14" s="4">
        <f>COUNTIFS(Protocol_Deviation_Log!B3:B102,"Confirmed deviation",Protocol_Deviation_Log!H3:H102,D14)</f>
        <v>0</v>
      </c>
      <c r="F14" s="4">
        <f>COUNTIFS(Protocol_Deviation_Log!B3:B102,"Confirmed deviation",Protocol_Deviation_Log!H3:H102,D14,Protocol_Deviation_Log!C3:C102,"Material")</f>
        <v>0</v>
      </c>
      <c r="G14" s="1"/>
      <c r="H14" s="1"/>
      <c r="I14" s="1"/>
      <c r="J14" s="1"/>
      <c r="K14" s="1"/>
      <c r="L14" s="1"/>
      <c r="M14" s="1"/>
      <c r="N14" s="1"/>
      <c r="O14" s="1"/>
      <c r="P14" s="1"/>
      <c r="Q14" s="1"/>
      <c r="R14" s="1"/>
      <c r="S14" s="1"/>
      <c r="T14" s="1"/>
      <c r="U14" s="1"/>
      <c r="V14" s="1"/>
      <c r="W14" s="1"/>
      <c r="X14" s="1"/>
      <c r="Y14" s="1"/>
      <c r="Z14" s="1"/>
    </row>
    <row r="15" spans="1:26" ht="15">
      <c r="A15" s="15" t="s">
        <v>442</v>
      </c>
      <c r="B15" s="15" t="str">
        <f>IF(B5&gt;0,"Material deviations confirmed — manuscript summary required",IF(B12&gt;0,"Provisional: no material deviations confirmed, but "&amp;B12&amp;" candidate issues remain unresolved","Final: no material deviations confirmed and all candidate issues resolved"))</f>
        <v>Provisional: no material deviations confirmed, but 4 candidate issues remain unresolved</v>
      </c>
      <c r="C15" s="15"/>
      <c r="D15" s="16" t="s">
        <v>21</v>
      </c>
      <c r="E15" s="16">
        <f>COUNTIFS(Protocol_Deviation_Log!B3:B102,"Confirmed deviation",Protocol_Deviation_Log!H3:H102,D15)</f>
        <v>0</v>
      </c>
      <c r="F15" s="16">
        <f>COUNTIFS(Protocol_Deviation_Log!B3:B102,"Confirmed deviation",Protocol_Deviation_Log!H3:H102,D15,Protocol_Deviation_Log!C3:C102,"Material")</f>
        <v>0</v>
      </c>
      <c r="G15" s="15"/>
      <c r="H15" s="15"/>
      <c r="I15" s="1"/>
      <c r="J15" s="1"/>
      <c r="K15" s="1"/>
      <c r="L15" s="1"/>
      <c r="M15" s="1"/>
      <c r="N15" s="1"/>
      <c r="O15" s="1"/>
      <c r="P15" s="1"/>
      <c r="Q15" s="1"/>
      <c r="R15" s="1"/>
      <c r="S15" s="1"/>
      <c r="T15" s="1"/>
      <c r="U15" s="1"/>
      <c r="V15" s="1"/>
      <c r="W15" s="1"/>
      <c r="X15" s="1"/>
      <c r="Y15" s="1"/>
      <c r="Z15" s="1"/>
    </row>
    <row r="16" spans="1:26" ht="15">
      <c r="A16" s="17" t="str">
        <f>IF(B5&gt;0,"Material deviations from the finalized protocol were recorded and are summarized in the manuscript and Supplementary File S7.",IF(B12&gt;0,"No material deviations from the finalized protocol have been confirmed as of 10 August 2026; however, "&amp;B12&amp;" candidate issues remain unresolved and must be adjudicated before final manuscript lock.","No material deviations from the finalized protocol have been confirmed in Supplementary File S7, and all candidate issues have been resolved."))</f>
        <v>No material deviations from the finalized protocol have been confirmed as of 10 August 2026; however, 4 candidate issues remain unresolved and must be adjudicated before final manuscript lock.</v>
      </c>
      <c r="B16" s="17"/>
      <c r="C16" s="17"/>
      <c r="D16" s="17"/>
      <c r="E16" s="17"/>
      <c r="F16" s="17"/>
      <c r="G16" s="17"/>
      <c r="H16" s="17"/>
      <c r="I16" s="1"/>
      <c r="J16" s="1"/>
      <c r="K16" s="1"/>
      <c r="L16" s="1"/>
      <c r="M16" s="1"/>
      <c r="N16" s="1"/>
      <c r="O16" s="1"/>
      <c r="P16" s="1"/>
      <c r="Q16" s="1"/>
      <c r="R16" s="1"/>
      <c r="S16" s="1"/>
      <c r="T16" s="1"/>
      <c r="U16" s="1"/>
      <c r="V16" s="1"/>
      <c r="W16" s="1"/>
      <c r="X16" s="1"/>
      <c r="Y16" s="1"/>
      <c r="Z16" s="1"/>
    </row>
    <row r="17" spans="1:26" ht="15">
      <c r="A17" s="17"/>
      <c r="B17" s="17"/>
      <c r="C17" s="17"/>
      <c r="D17" s="17"/>
      <c r="E17" s="17"/>
      <c r="F17" s="17"/>
      <c r="G17" s="17"/>
      <c r="H17" s="17"/>
      <c r="I17" s="1"/>
      <c r="J17" s="1"/>
      <c r="K17" s="1"/>
      <c r="L17" s="1"/>
      <c r="M17" s="1"/>
      <c r="N17" s="1"/>
      <c r="O17" s="1"/>
      <c r="P17" s="1"/>
      <c r="Q17" s="1"/>
      <c r="R17" s="1"/>
      <c r="S17" s="1"/>
      <c r="T17" s="1"/>
      <c r="U17" s="1"/>
      <c r="V17" s="1"/>
      <c r="W17" s="1"/>
      <c r="X17" s="1"/>
      <c r="Y17" s="1"/>
      <c r="Z17" s="1"/>
    </row>
    <row r="18" spans="1:26" ht="15">
      <c r="A18" s="17"/>
      <c r="B18" s="17"/>
      <c r="C18" s="17"/>
      <c r="D18" s="17"/>
      <c r="E18" s="17"/>
      <c r="F18" s="17"/>
      <c r="G18" s="17"/>
      <c r="H18" s="17"/>
      <c r="I18" s="1"/>
      <c r="J18" s="1"/>
      <c r="K18" s="1"/>
      <c r="L18" s="1"/>
      <c r="M18" s="1"/>
      <c r="N18" s="1"/>
      <c r="O18" s="1"/>
      <c r="P18" s="1"/>
      <c r="Q18" s="1"/>
      <c r="R18" s="1"/>
      <c r="S18" s="1"/>
      <c r="T18" s="1"/>
      <c r="U18" s="1"/>
      <c r="V18" s="1"/>
      <c r="W18" s="1"/>
      <c r="X18" s="1"/>
      <c r="Y18" s="1"/>
      <c r="Z18" s="1"/>
    </row>
    <row r="19" spans="1:26" ht="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sheetData>
  <mergeCells count="3">
    <mergeCell ref="A1:H1"/>
    <mergeCell ref="A15:H15"/>
    <mergeCell ref="A16:H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Z118"/>
  <sheetViews>
    <sheetView workbookViewId="0">
      <selection activeCell="A2" sqref="A2:XFD2"/>
    </sheetView>
  </sheetViews>
  <sheetFormatPr defaultRowHeight="14.25"/>
  <cols>
    <col min="1" max="1" width="14" customWidth="1"/>
    <col min="2" max="3" width="58" customWidth="1"/>
    <col min="4" max="4" width="15" customWidth="1"/>
    <col min="5" max="5" width="28" customWidth="1"/>
    <col min="6" max="6" width="48" customWidth="1"/>
    <col min="7" max="7" width="58" customWidth="1"/>
    <col min="8" max="8" width="68" customWidth="1"/>
    <col min="9" max="9" width="32" customWidth="1"/>
  </cols>
  <sheetData>
    <row r="1" spans="1:26" ht="18.75">
      <c r="A1" s="11" t="s">
        <v>443</v>
      </c>
      <c r="B1" s="11"/>
      <c r="C1" s="11"/>
      <c r="D1" s="11"/>
      <c r="E1" s="11"/>
      <c r="F1" s="11"/>
      <c r="G1" s="11"/>
      <c r="H1" s="11"/>
      <c r="I1" s="11"/>
      <c r="J1" s="10"/>
      <c r="K1" s="10"/>
      <c r="L1" s="10"/>
      <c r="M1" s="10"/>
      <c r="N1" s="10"/>
      <c r="O1" s="10"/>
      <c r="P1" s="10"/>
      <c r="Q1" s="10"/>
      <c r="R1" s="10"/>
      <c r="S1" s="10"/>
      <c r="T1" s="10"/>
      <c r="U1" s="10"/>
      <c r="V1" s="10"/>
      <c r="W1" s="10"/>
      <c r="X1" s="10"/>
      <c r="Y1" s="10"/>
      <c r="Z1" s="10"/>
    </row>
    <row r="2" spans="1:26" ht="15">
      <c r="A2" s="2" t="s">
        <v>110</v>
      </c>
      <c r="B2" s="2" t="s">
        <v>444</v>
      </c>
      <c r="C2" s="2" t="s">
        <v>445</v>
      </c>
      <c r="D2" s="2" t="s">
        <v>446</v>
      </c>
      <c r="E2" s="2" t="s">
        <v>28</v>
      </c>
      <c r="F2" s="2" t="s">
        <v>244</v>
      </c>
      <c r="G2" s="2" t="s">
        <v>19</v>
      </c>
      <c r="H2" s="2" t="s">
        <v>447</v>
      </c>
      <c r="I2" s="2" t="s">
        <v>448</v>
      </c>
      <c r="J2" s="1"/>
      <c r="K2" s="1"/>
      <c r="L2" s="1"/>
      <c r="M2" s="1"/>
      <c r="N2" s="1"/>
      <c r="O2" s="1"/>
      <c r="P2" s="1"/>
      <c r="Q2" s="1"/>
      <c r="R2" s="1"/>
      <c r="S2" s="1"/>
      <c r="T2" s="1"/>
      <c r="U2" s="1"/>
      <c r="V2" s="1"/>
      <c r="W2" s="1"/>
      <c r="X2" s="1"/>
      <c r="Y2" s="1"/>
      <c r="Z2" s="1"/>
    </row>
    <row r="3" spans="1:26" ht="27">
      <c r="A3" s="4" t="s">
        <v>449</v>
      </c>
      <c r="B3" s="4" t="s">
        <v>65</v>
      </c>
      <c r="C3" s="4" t="s">
        <v>65</v>
      </c>
      <c r="D3" s="9" t="s">
        <v>65</v>
      </c>
      <c r="E3" s="4" t="s">
        <v>65</v>
      </c>
      <c r="F3" s="4" t="s">
        <v>65</v>
      </c>
      <c r="G3" s="4" t="s">
        <v>65</v>
      </c>
      <c r="H3" s="4" t="s">
        <v>450</v>
      </c>
      <c r="I3" s="4" t="s">
        <v>65</v>
      </c>
      <c r="J3" s="1"/>
      <c r="K3" s="1"/>
      <c r="L3" s="1"/>
      <c r="M3" s="1"/>
      <c r="N3" s="1"/>
      <c r="O3" s="1"/>
      <c r="P3" s="1"/>
      <c r="Q3" s="1"/>
      <c r="R3" s="1"/>
      <c r="S3" s="1"/>
      <c r="T3" s="1"/>
      <c r="U3" s="1"/>
      <c r="V3" s="1"/>
      <c r="W3" s="1"/>
      <c r="X3" s="1"/>
      <c r="Y3" s="1"/>
      <c r="Z3" s="1"/>
    </row>
    <row r="4" spans="1:26" ht="40.5">
      <c r="A4" s="4" t="s">
        <v>451</v>
      </c>
      <c r="B4" s="4" t="s">
        <v>65</v>
      </c>
      <c r="C4" s="4" t="s">
        <v>65</v>
      </c>
      <c r="D4" s="9" t="s">
        <v>65</v>
      </c>
      <c r="E4" s="4" t="s">
        <v>65</v>
      </c>
      <c r="F4" s="4" t="s">
        <v>65</v>
      </c>
      <c r="G4" s="4" t="s">
        <v>65</v>
      </c>
      <c r="H4" s="4" t="s">
        <v>65</v>
      </c>
      <c r="I4" s="4" t="s">
        <v>65</v>
      </c>
      <c r="J4" s="1"/>
      <c r="K4" s="1"/>
      <c r="L4" s="1"/>
      <c r="M4" s="1"/>
      <c r="N4" s="1"/>
      <c r="O4" s="1"/>
      <c r="P4" s="1"/>
      <c r="Q4" s="1"/>
      <c r="R4" s="1"/>
      <c r="S4" s="1"/>
      <c r="T4" s="1"/>
      <c r="U4" s="1"/>
      <c r="V4" s="1"/>
      <c r="W4" s="1"/>
      <c r="X4" s="1"/>
      <c r="Y4" s="1"/>
      <c r="Z4" s="1"/>
    </row>
    <row r="5" spans="1:26" ht="40.5">
      <c r="A5" s="4" t="s">
        <v>451</v>
      </c>
      <c r="B5" s="4" t="s">
        <v>65</v>
      </c>
      <c r="C5" s="4" t="s">
        <v>65</v>
      </c>
      <c r="D5" s="9" t="s">
        <v>65</v>
      </c>
      <c r="E5" s="4" t="s">
        <v>65</v>
      </c>
      <c r="F5" s="4" t="s">
        <v>65</v>
      </c>
      <c r="G5" s="4" t="s">
        <v>65</v>
      </c>
      <c r="H5" s="4" t="s">
        <v>65</v>
      </c>
      <c r="I5" s="4" t="s">
        <v>65</v>
      </c>
      <c r="J5" s="1"/>
      <c r="K5" s="1"/>
      <c r="L5" s="1"/>
      <c r="M5" s="1"/>
      <c r="N5" s="1"/>
      <c r="O5" s="1"/>
      <c r="P5" s="1"/>
      <c r="Q5" s="1"/>
      <c r="R5" s="1"/>
      <c r="S5" s="1"/>
      <c r="T5" s="1"/>
      <c r="U5" s="1"/>
      <c r="V5" s="1"/>
      <c r="W5" s="1"/>
      <c r="X5" s="1"/>
      <c r="Y5" s="1"/>
      <c r="Z5" s="1"/>
    </row>
    <row r="6" spans="1:26" ht="40.5">
      <c r="A6" s="4" t="s">
        <v>451</v>
      </c>
      <c r="B6" s="4" t="s">
        <v>65</v>
      </c>
      <c r="C6" s="4" t="s">
        <v>65</v>
      </c>
      <c r="D6" s="9" t="s">
        <v>65</v>
      </c>
      <c r="E6" s="4" t="s">
        <v>65</v>
      </c>
      <c r="F6" s="4" t="s">
        <v>65</v>
      </c>
      <c r="G6" s="4" t="s">
        <v>65</v>
      </c>
      <c r="H6" s="4" t="s">
        <v>65</v>
      </c>
      <c r="I6" s="4" t="s">
        <v>65</v>
      </c>
      <c r="J6" s="1"/>
      <c r="K6" s="1"/>
      <c r="L6" s="1"/>
      <c r="M6" s="1"/>
      <c r="N6" s="1"/>
      <c r="O6" s="1"/>
      <c r="P6" s="1"/>
      <c r="Q6" s="1"/>
      <c r="R6" s="1"/>
      <c r="S6" s="1"/>
      <c r="T6" s="1"/>
      <c r="U6" s="1"/>
      <c r="V6" s="1"/>
      <c r="W6" s="1"/>
      <c r="X6" s="1"/>
      <c r="Y6" s="1"/>
      <c r="Z6" s="1"/>
    </row>
    <row r="7" spans="1:26" ht="40.5">
      <c r="A7" s="4" t="s">
        <v>451</v>
      </c>
      <c r="B7" s="4" t="s">
        <v>65</v>
      </c>
      <c r="C7" s="4" t="s">
        <v>65</v>
      </c>
      <c r="D7" s="9" t="s">
        <v>65</v>
      </c>
      <c r="E7" s="4" t="s">
        <v>65</v>
      </c>
      <c r="F7" s="4" t="s">
        <v>65</v>
      </c>
      <c r="G7" s="4" t="s">
        <v>65</v>
      </c>
      <c r="H7" s="4" t="s">
        <v>65</v>
      </c>
      <c r="I7" s="4" t="s">
        <v>65</v>
      </c>
      <c r="J7" s="1"/>
      <c r="K7" s="1"/>
      <c r="L7" s="1"/>
      <c r="M7" s="1"/>
      <c r="N7" s="1"/>
      <c r="O7" s="1"/>
      <c r="P7" s="1"/>
      <c r="Q7" s="1"/>
      <c r="R7" s="1"/>
      <c r="S7" s="1"/>
      <c r="T7" s="1"/>
      <c r="U7" s="1"/>
      <c r="V7" s="1"/>
      <c r="W7" s="1"/>
      <c r="X7" s="1"/>
      <c r="Y7" s="1"/>
      <c r="Z7" s="1"/>
    </row>
    <row r="8" spans="1:26" ht="40.5">
      <c r="A8" s="4" t="s">
        <v>451</v>
      </c>
      <c r="B8" s="4" t="s">
        <v>65</v>
      </c>
      <c r="C8" s="4" t="s">
        <v>65</v>
      </c>
      <c r="D8" s="9" t="s">
        <v>65</v>
      </c>
      <c r="E8" s="4" t="s">
        <v>65</v>
      </c>
      <c r="F8" s="4" t="s">
        <v>65</v>
      </c>
      <c r="G8" s="4" t="s">
        <v>65</v>
      </c>
      <c r="H8" s="4" t="s">
        <v>65</v>
      </c>
      <c r="I8" s="4" t="s">
        <v>65</v>
      </c>
      <c r="J8" s="1"/>
      <c r="K8" s="1"/>
      <c r="L8" s="1"/>
      <c r="M8" s="1"/>
      <c r="N8" s="1"/>
      <c r="O8" s="1"/>
      <c r="P8" s="1"/>
      <c r="Q8" s="1"/>
      <c r="R8" s="1"/>
      <c r="S8" s="1"/>
      <c r="T8" s="1"/>
      <c r="U8" s="1"/>
      <c r="V8" s="1"/>
      <c r="W8" s="1"/>
      <c r="X8" s="1"/>
      <c r="Y8" s="1"/>
      <c r="Z8" s="1"/>
    </row>
    <row r="9" spans="1:26" ht="40.5">
      <c r="A9" s="4" t="s">
        <v>451</v>
      </c>
      <c r="B9" s="4" t="s">
        <v>65</v>
      </c>
      <c r="C9" s="4" t="s">
        <v>65</v>
      </c>
      <c r="D9" s="9" t="s">
        <v>65</v>
      </c>
      <c r="E9" s="4" t="s">
        <v>65</v>
      </c>
      <c r="F9" s="4" t="s">
        <v>65</v>
      </c>
      <c r="G9" s="4" t="s">
        <v>65</v>
      </c>
      <c r="H9" s="4" t="s">
        <v>65</v>
      </c>
      <c r="I9" s="4" t="s">
        <v>65</v>
      </c>
      <c r="J9" s="1"/>
      <c r="K9" s="1"/>
      <c r="L9" s="1"/>
      <c r="M9" s="1"/>
      <c r="N9" s="1"/>
      <c r="O9" s="1"/>
      <c r="P9" s="1"/>
      <c r="Q9" s="1"/>
      <c r="R9" s="1"/>
      <c r="S9" s="1"/>
      <c r="T9" s="1"/>
      <c r="U9" s="1"/>
      <c r="V9" s="1"/>
      <c r="W9" s="1"/>
      <c r="X9" s="1"/>
      <c r="Y9" s="1"/>
      <c r="Z9" s="1"/>
    </row>
    <row r="10" spans="1:26" ht="40.5">
      <c r="A10" s="4" t="s">
        <v>451</v>
      </c>
      <c r="B10" s="4" t="s">
        <v>65</v>
      </c>
      <c r="C10" s="4" t="s">
        <v>65</v>
      </c>
      <c r="D10" s="9" t="s">
        <v>65</v>
      </c>
      <c r="E10" s="4" t="s">
        <v>65</v>
      </c>
      <c r="F10" s="4" t="s">
        <v>65</v>
      </c>
      <c r="G10" s="4" t="s">
        <v>65</v>
      </c>
      <c r="H10" s="4" t="s">
        <v>65</v>
      </c>
      <c r="I10" s="4" t="s">
        <v>65</v>
      </c>
      <c r="J10" s="1"/>
      <c r="K10" s="1"/>
      <c r="L10" s="1"/>
      <c r="M10" s="1"/>
      <c r="N10" s="1"/>
      <c r="O10" s="1"/>
      <c r="P10" s="1"/>
      <c r="Q10" s="1"/>
      <c r="R10" s="1"/>
      <c r="S10" s="1"/>
      <c r="T10" s="1"/>
      <c r="U10" s="1"/>
      <c r="V10" s="1"/>
      <c r="W10" s="1"/>
      <c r="X10" s="1"/>
      <c r="Y10" s="1"/>
      <c r="Z10" s="1"/>
    </row>
    <row r="11" spans="1:26" ht="40.5">
      <c r="A11" s="4" t="s">
        <v>451</v>
      </c>
      <c r="B11" s="4" t="s">
        <v>65</v>
      </c>
      <c r="C11" s="4" t="s">
        <v>65</v>
      </c>
      <c r="D11" s="9" t="s">
        <v>65</v>
      </c>
      <c r="E11" s="4" t="s">
        <v>65</v>
      </c>
      <c r="F11" s="4" t="s">
        <v>65</v>
      </c>
      <c r="G11" s="4" t="s">
        <v>65</v>
      </c>
      <c r="H11" s="4" t="s">
        <v>65</v>
      </c>
      <c r="I11" s="4" t="s">
        <v>65</v>
      </c>
      <c r="J11" s="1"/>
      <c r="K11" s="1"/>
      <c r="L11" s="1"/>
      <c r="M11" s="1"/>
      <c r="N11" s="1"/>
      <c r="O11" s="1"/>
      <c r="P11" s="1"/>
      <c r="Q11" s="1"/>
      <c r="R11" s="1"/>
      <c r="S11" s="1"/>
      <c r="T11" s="1"/>
      <c r="U11" s="1"/>
      <c r="V11" s="1"/>
      <c r="W11" s="1"/>
      <c r="X11" s="1"/>
      <c r="Y11" s="1"/>
      <c r="Z11" s="1"/>
    </row>
    <row r="12" spans="1:26" ht="40.5">
      <c r="A12" s="4" t="s">
        <v>451</v>
      </c>
      <c r="B12" s="4" t="s">
        <v>65</v>
      </c>
      <c r="C12" s="4" t="s">
        <v>65</v>
      </c>
      <c r="D12" s="9" t="s">
        <v>65</v>
      </c>
      <c r="E12" s="4" t="s">
        <v>65</v>
      </c>
      <c r="F12" s="4" t="s">
        <v>65</v>
      </c>
      <c r="G12" s="4" t="s">
        <v>65</v>
      </c>
      <c r="H12" s="4" t="s">
        <v>65</v>
      </c>
      <c r="I12" s="4" t="s">
        <v>65</v>
      </c>
      <c r="J12" s="1"/>
      <c r="K12" s="1"/>
      <c r="L12" s="1"/>
      <c r="M12" s="1"/>
      <c r="N12" s="1"/>
      <c r="O12" s="1"/>
      <c r="P12" s="1"/>
      <c r="Q12" s="1"/>
      <c r="R12" s="1"/>
      <c r="S12" s="1"/>
      <c r="T12" s="1"/>
      <c r="U12" s="1"/>
      <c r="V12" s="1"/>
      <c r="W12" s="1"/>
      <c r="X12" s="1"/>
      <c r="Y12" s="1"/>
      <c r="Z12" s="1"/>
    </row>
    <row r="13" spans="1:26" ht="40.5">
      <c r="A13" s="4" t="s">
        <v>451</v>
      </c>
      <c r="B13" s="4" t="s">
        <v>65</v>
      </c>
      <c r="C13" s="4" t="s">
        <v>65</v>
      </c>
      <c r="D13" s="9" t="s">
        <v>65</v>
      </c>
      <c r="E13" s="4" t="s">
        <v>65</v>
      </c>
      <c r="F13" s="4" t="s">
        <v>65</v>
      </c>
      <c r="G13" s="4" t="s">
        <v>65</v>
      </c>
      <c r="H13" s="4" t="s">
        <v>65</v>
      </c>
      <c r="I13" s="4" t="s">
        <v>65</v>
      </c>
      <c r="J13" s="1"/>
      <c r="K13" s="1"/>
      <c r="L13" s="1"/>
      <c r="M13" s="1"/>
      <c r="N13" s="1"/>
      <c r="O13" s="1"/>
      <c r="P13" s="1"/>
      <c r="Q13" s="1"/>
      <c r="R13" s="1"/>
      <c r="S13" s="1"/>
      <c r="T13" s="1"/>
      <c r="U13" s="1"/>
      <c r="V13" s="1"/>
      <c r="W13" s="1"/>
      <c r="X13" s="1"/>
      <c r="Y13" s="1"/>
      <c r="Z13" s="1"/>
    </row>
    <row r="14" spans="1:26" ht="40.5">
      <c r="A14" s="4" t="s">
        <v>451</v>
      </c>
      <c r="B14" s="4" t="s">
        <v>65</v>
      </c>
      <c r="C14" s="4" t="s">
        <v>65</v>
      </c>
      <c r="D14" s="9" t="s">
        <v>65</v>
      </c>
      <c r="E14" s="4" t="s">
        <v>65</v>
      </c>
      <c r="F14" s="4" t="s">
        <v>65</v>
      </c>
      <c r="G14" s="4" t="s">
        <v>65</v>
      </c>
      <c r="H14" s="4" t="s">
        <v>65</v>
      </c>
      <c r="I14" s="4" t="s">
        <v>65</v>
      </c>
      <c r="J14" s="1"/>
      <c r="K14" s="1"/>
      <c r="L14" s="1"/>
      <c r="M14" s="1"/>
      <c r="N14" s="1"/>
      <c r="O14" s="1"/>
      <c r="P14" s="1"/>
      <c r="Q14" s="1"/>
      <c r="R14" s="1"/>
      <c r="S14" s="1"/>
      <c r="T14" s="1"/>
      <c r="U14" s="1"/>
      <c r="V14" s="1"/>
      <c r="W14" s="1"/>
      <c r="X14" s="1"/>
      <c r="Y14" s="1"/>
      <c r="Z14" s="1"/>
    </row>
    <row r="15" spans="1:26" ht="40.5">
      <c r="A15" s="4" t="s">
        <v>451</v>
      </c>
      <c r="B15" s="4" t="s">
        <v>65</v>
      </c>
      <c r="C15" s="4" t="s">
        <v>65</v>
      </c>
      <c r="D15" s="9" t="s">
        <v>65</v>
      </c>
      <c r="E15" s="4" t="s">
        <v>65</v>
      </c>
      <c r="F15" s="4" t="s">
        <v>65</v>
      </c>
      <c r="G15" s="4" t="s">
        <v>65</v>
      </c>
      <c r="H15" s="4" t="s">
        <v>65</v>
      </c>
      <c r="I15" s="4" t="s">
        <v>65</v>
      </c>
      <c r="J15" s="1"/>
      <c r="K15" s="1"/>
      <c r="L15" s="1"/>
      <c r="M15" s="1"/>
      <c r="N15" s="1"/>
      <c r="O15" s="1"/>
      <c r="P15" s="1"/>
      <c r="Q15" s="1"/>
      <c r="R15" s="1"/>
      <c r="S15" s="1"/>
      <c r="T15" s="1"/>
      <c r="U15" s="1"/>
      <c r="V15" s="1"/>
      <c r="W15" s="1"/>
      <c r="X15" s="1"/>
      <c r="Y15" s="1"/>
      <c r="Z15" s="1"/>
    </row>
    <row r="16" spans="1:26" ht="40.5">
      <c r="A16" s="4" t="s">
        <v>451</v>
      </c>
      <c r="B16" s="4" t="s">
        <v>65</v>
      </c>
      <c r="C16" s="4" t="s">
        <v>65</v>
      </c>
      <c r="D16" s="9" t="s">
        <v>65</v>
      </c>
      <c r="E16" s="4" t="s">
        <v>65</v>
      </c>
      <c r="F16" s="4" t="s">
        <v>65</v>
      </c>
      <c r="G16" s="4" t="s">
        <v>65</v>
      </c>
      <c r="H16" s="4" t="s">
        <v>65</v>
      </c>
      <c r="I16" s="4" t="s">
        <v>65</v>
      </c>
      <c r="J16" s="1"/>
      <c r="K16" s="1"/>
      <c r="L16" s="1"/>
      <c r="M16" s="1"/>
      <c r="N16" s="1"/>
      <c r="O16" s="1"/>
      <c r="P16" s="1"/>
      <c r="Q16" s="1"/>
      <c r="R16" s="1"/>
      <c r="S16" s="1"/>
      <c r="T16" s="1"/>
      <c r="U16" s="1"/>
      <c r="V16" s="1"/>
      <c r="W16" s="1"/>
      <c r="X16" s="1"/>
      <c r="Y16" s="1"/>
      <c r="Z16" s="1"/>
    </row>
    <row r="17" spans="1:26" ht="40.5">
      <c r="A17" s="4" t="s">
        <v>451</v>
      </c>
      <c r="B17" s="4" t="s">
        <v>65</v>
      </c>
      <c r="C17" s="4" t="s">
        <v>65</v>
      </c>
      <c r="D17" s="9" t="s">
        <v>65</v>
      </c>
      <c r="E17" s="4" t="s">
        <v>65</v>
      </c>
      <c r="F17" s="4" t="s">
        <v>65</v>
      </c>
      <c r="G17" s="4" t="s">
        <v>65</v>
      </c>
      <c r="H17" s="4" t="s">
        <v>65</v>
      </c>
      <c r="I17" s="4" t="s">
        <v>65</v>
      </c>
      <c r="J17" s="1"/>
      <c r="K17" s="1"/>
      <c r="L17" s="1"/>
      <c r="M17" s="1"/>
      <c r="N17" s="1"/>
      <c r="O17" s="1"/>
      <c r="P17" s="1"/>
      <c r="Q17" s="1"/>
      <c r="R17" s="1"/>
      <c r="S17" s="1"/>
      <c r="T17" s="1"/>
      <c r="U17" s="1"/>
      <c r="V17" s="1"/>
      <c r="W17" s="1"/>
      <c r="X17" s="1"/>
      <c r="Y17" s="1"/>
      <c r="Z17" s="1"/>
    </row>
    <row r="18" spans="1:26" ht="40.5">
      <c r="A18" s="4" t="s">
        <v>451</v>
      </c>
      <c r="B18" s="4" t="s">
        <v>65</v>
      </c>
      <c r="C18" s="4" t="s">
        <v>65</v>
      </c>
      <c r="D18" s="9" t="s">
        <v>65</v>
      </c>
      <c r="E18" s="4" t="s">
        <v>65</v>
      </c>
      <c r="F18" s="4" t="s">
        <v>65</v>
      </c>
      <c r="G18" s="4" t="s">
        <v>65</v>
      </c>
      <c r="H18" s="4" t="s">
        <v>65</v>
      </c>
      <c r="I18" s="4" t="s">
        <v>65</v>
      </c>
      <c r="J18" s="1"/>
      <c r="K18" s="1"/>
      <c r="L18" s="1"/>
      <c r="M18" s="1"/>
      <c r="N18" s="1"/>
      <c r="O18" s="1"/>
      <c r="P18" s="1"/>
      <c r="Q18" s="1"/>
      <c r="R18" s="1"/>
      <c r="S18" s="1"/>
      <c r="T18" s="1"/>
      <c r="U18" s="1"/>
      <c r="V18" s="1"/>
      <c r="W18" s="1"/>
      <c r="X18" s="1"/>
      <c r="Y18" s="1"/>
      <c r="Z18" s="1"/>
    </row>
    <row r="19" spans="1:26" ht="40.5">
      <c r="A19" s="4" t="s">
        <v>451</v>
      </c>
      <c r="B19" s="4" t="s">
        <v>65</v>
      </c>
      <c r="C19" s="4" t="s">
        <v>65</v>
      </c>
      <c r="D19" s="9" t="s">
        <v>65</v>
      </c>
      <c r="E19" s="4" t="s">
        <v>65</v>
      </c>
      <c r="F19" s="4" t="s">
        <v>65</v>
      </c>
      <c r="G19" s="4" t="s">
        <v>65</v>
      </c>
      <c r="H19" s="4" t="s">
        <v>65</v>
      </c>
      <c r="I19" s="4" t="s">
        <v>65</v>
      </c>
      <c r="J19" s="1"/>
      <c r="K19" s="1"/>
      <c r="L19" s="1"/>
      <c r="M19" s="1"/>
      <c r="N19" s="1"/>
      <c r="O19" s="1"/>
      <c r="P19" s="1"/>
      <c r="Q19" s="1"/>
      <c r="R19" s="1"/>
      <c r="S19" s="1"/>
      <c r="T19" s="1"/>
      <c r="U19" s="1"/>
      <c r="V19" s="1"/>
      <c r="W19" s="1"/>
      <c r="X19" s="1"/>
      <c r="Y19" s="1"/>
      <c r="Z19" s="1"/>
    </row>
    <row r="20" spans="1:26" ht="40.5">
      <c r="A20" s="4" t="s">
        <v>451</v>
      </c>
      <c r="B20" s="4" t="s">
        <v>65</v>
      </c>
      <c r="C20" s="4" t="s">
        <v>65</v>
      </c>
      <c r="D20" s="9" t="s">
        <v>65</v>
      </c>
      <c r="E20" s="4" t="s">
        <v>65</v>
      </c>
      <c r="F20" s="4" t="s">
        <v>65</v>
      </c>
      <c r="G20" s="4" t="s">
        <v>65</v>
      </c>
      <c r="H20" s="4" t="s">
        <v>65</v>
      </c>
      <c r="I20" s="4" t="s">
        <v>65</v>
      </c>
      <c r="J20" s="1"/>
      <c r="K20" s="1"/>
      <c r="L20" s="1"/>
      <c r="M20" s="1"/>
      <c r="N20" s="1"/>
      <c r="O20" s="1"/>
      <c r="P20" s="1"/>
      <c r="Q20" s="1"/>
      <c r="R20" s="1"/>
      <c r="S20" s="1"/>
      <c r="T20" s="1"/>
      <c r="U20" s="1"/>
      <c r="V20" s="1"/>
      <c r="W20" s="1"/>
      <c r="X20" s="1"/>
      <c r="Y20" s="1"/>
      <c r="Z20" s="1"/>
    </row>
    <row r="21" spans="1:26" ht="40.5">
      <c r="A21" s="4" t="s">
        <v>451</v>
      </c>
      <c r="B21" s="4" t="s">
        <v>65</v>
      </c>
      <c r="C21" s="4" t="s">
        <v>65</v>
      </c>
      <c r="D21" s="9" t="s">
        <v>65</v>
      </c>
      <c r="E21" s="4" t="s">
        <v>65</v>
      </c>
      <c r="F21" s="4" t="s">
        <v>65</v>
      </c>
      <c r="G21" s="4" t="s">
        <v>65</v>
      </c>
      <c r="H21" s="4" t="s">
        <v>65</v>
      </c>
      <c r="I21" s="4" t="s">
        <v>65</v>
      </c>
      <c r="J21" s="1"/>
      <c r="K21" s="1"/>
      <c r="L21" s="1"/>
      <c r="M21" s="1"/>
      <c r="N21" s="1"/>
      <c r="O21" s="1"/>
      <c r="P21" s="1"/>
      <c r="Q21" s="1"/>
      <c r="R21" s="1"/>
      <c r="S21" s="1"/>
      <c r="T21" s="1"/>
      <c r="U21" s="1"/>
      <c r="V21" s="1"/>
      <c r="W21" s="1"/>
      <c r="X21" s="1"/>
      <c r="Y21" s="1"/>
      <c r="Z21" s="1"/>
    </row>
    <row r="22" spans="1:26" ht="40.5">
      <c r="A22" s="4" t="s">
        <v>451</v>
      </c>
      <c r="B22" s="4" t="s">
        <v>65</v>
      </c>
      <c r="C22" s="4" t="s">
        <v>65</v>
      </c>
      <c r="D22" s="9" t="s">
        <v>65</v>
      </c>
      <c r="E22" s="4" t="s">
        <v>65</v>
      </c>
      <c r="F22" s="4" t="s">
        <v>65</v>
      </c>
      <c r="G22" s="4" t="s">
        <v>65</v>
      </c>
      <c r="H22" s="4" t="s">
        <v>65</v>
      </c>
      <c r="I22" s="4" t="s">
        <v>65</v>
      </c>
      <c r="J22" s="1"/>
      <c r="K22" s="1"/>
      <c r="L22" s="1"/>
      <c r="M22" s="1"/>
      <c r="N22" s="1"/>
      <c r="O22" s="1"/>
      <c r="P22" s="1"/>
      <c r="Q22" s="1"/>
      <c r="R22" s="1"/>
      <c r="S22" s="1"/>
      <c r="T22" s="1"/>
      <c r="U22" s="1"/>
      <c r="V22" s="1"/>
      <c r="W22" s="1"/>
      <c r="X22" s="1"/>
      <c r="Y22" s="1"/>
      <c r="Z22" s="1"/>
    </row>
    <row r="23" spans="1:26" ht="40.5">
      <c r="A23" s="4" t="s">
        <v>451</v>
      </c>
      <c r="B23" s="4" t="s">
        <v>65</v>
      </c>
      <c r="C23" s="4" t="s">
        <v>65</v>
      </c>
      <c r="D23" s="4" t="s">
        <v>65</v>
      </c>
      <c r="E23" s="4" t="s">
        <v>65</v>
      </c>
      <c r="F23" s="4" t="s">
        <v>65</v>
      </c>
      <c r="G23" s="4" t="s">
        <v>65</v>
      </c>
      <c r="H23" s="4" t="s">
        <v>65</v>
      </c>
      <c r="I23" s="4" t="s">
        <v>65</v>
      </c>
      <c r="J23" s="1"/>
      <c r="K23" s="1"/>
      <c r="L23" s="1"/>
      <c r="M23" s="1"/>
      <c r="N23" s="1"/>
      <c r="O23" s="1"/>
      <c r="P23" s="1"/>
      <c r="Q23" s="1"/>
      <c r="R23" s="1"/>
      <c r="S23" s="1"/>
      <c r="T23" s="1"/>
      <c r="U23" s="1"/>
      <c r="V23" s="1"/>
      <c r="W23" s="1"/>
      <c r="X23" s="1"/>
      <c r="Y23" s="1"/>
      <c r="Z23" s="1"/>
    </row>
    <row r="24" spans="1:26" ht="40.5">
      <c r="A24" s="4" t="s">
        <v>451</v>
      </c>
      <c r="B24" s="4" t="s">
        <v>65</v>
      </c>
      <c r="C24" s="4" t="s">
        <v>65</v>
      </c>
      <c r="D24" s="4" t="s">
        <v>65</v>
      </c>
      <c r="E24" s="4" t="s">
        <v>65</v>
      </c>
      <c r="F24" s="4" t="s">
        <v>65</v>
      </c>
      <c r="G24" s="4" t="s">
        <v>65</v>
      </c>
      <c r="H24" s="4" t="s">
        <v>65</v>
      </c>
      <c r="I24" s="4" t="s">
        <v>65</v>
      </c>
      <c r="J24" s="1"/>
      <c r="K24" s="1"/>
      <c r="L24" s="1"/>
      <c r="M24" s="1"/>
      <c r="N24" s="1"/>
      <c r="O24" s="1"/>
      <c r="P24" s="1"/>
      <c r="Q24" s="1"/>
      <c r="R24" s="1"/>
      <c r="S24" s="1"/>
      <c r="T24" s="1"/>
      <c r="U24" s="1"/>
      <c r="V24" s="1"/>
      <c r="W24" s="1"/>
      <c r="X24" s="1"/>
      <c r="Y24" s="1"/>
      <c r="Z24" s="1"/>
    </row>
    <row r="25" spans="1:26" ht="15">
      <c r="A25" s="16" t="s">
        <v>451</v>
      </c>
      <c r="B25" s="16" t="s">
        <v>65</v>
      </c>
      <c r="C25" s="16" t="s">
        <v>65</v>
      </c>
      <c r="D25" s="16" t="s">
        <v>65</v>
      </c>
      <c r="E25" s="16" t="s">
        <v>65</v>
      </c>
      <c r="F25" s="16" t="s">
        <v>65</v>
      </c>
      <c r="G25" s="16" t="s">
        <v>65</v>
      </c>
      <c r="H25" s="16" t="s">
        <v>65</v>
      </c>
      <c r="I25" s="16" t="s">
        <v>65</v>
      </c>
      <c r="J25" s="1"/>
      <c r="K25" s="1"/>
      <c r="L25" s="1"/>
      <c r="M25" s="1"/>
      <c r="N25" s="1"/>
      <c r="O25" s="1"/>
      <c r="P25" s="1"/>
      <c r="Q25" s="1"/>
      <c r="R25" s="1"/>
      <c r="S25" s="1"/>
      <c r="T25" s="1"/>
      <c r="U25" s="1"/>
      <c r="V25" s="1"/>
      <c r="W25" s="1"/>
      <c r="X25" s="1"/>
      <c r="Y25" s="1"/>
      <c r="Z25" s="1"/>
    </row>
    <row r="26" spans="1:26" ht="15">
      <c r="A26" s="17" t="s">
        <v>451</v>
      </c>
      <c r="B26" s="17" t="s">
        <v>65</v>
      </c>
      <c r="C26" s="17" t="s">
        <v>65</v>
      </c>
      <c r="D26" s="17" t="s">
        <v>65</v>
      </c>
      <c r="E26" s="17" t="s">
        <v>65</v>
      </c>
      <c r="F26" s="17" t="s">
        <v>65</v>
      </c>
      <c r="G26" s="17" t="s">
        <v>65</v>
      </c>
      <c r="H26" s="17" t="s">
        <v>65</v>
      </c>
      <c r="I26" s="17" t="s">
        <v>65</v>
      </c>
      <c r="J26" s="1"/>
      <c r="K26" s="1"/>
      <c r="L26" s="1"/>
      <c r="M26" s="1"/>
      <c r="N26" s="1"/>
      <c r="O26" s="1"/>
      <c r="P26" s="1"/>
      <c r="Q26" s="1"/>
      <c r="R26" s="1"/>
      <c r="S26" s="1"/>
      <c r="T26" s="1"/>
      <c r="U26" s="1"/>
      <c r="V26" s="1"/>
      <c r="W26" s="1"/>
      <c r="X26" s="1"/>
      <c r="Y26" s="1"/>
      <c r="Z26" s="1"/>
    </row>
    <row r="27" spans="1:26" ht="15">
      <c r="A27" s="17"/>
      <c r="B27" s="17"/>
      <c r="C27" s="17"/>
      <c r="D27" s="17"/>
      <c r="E27" s="17"/>
      <c r="F27" s="17"/>
      <c r="G27" s="17"/>
      <c r="H27" s="17"/>
      <c r="I27" s="17"/>
      <c r="J27" s="1"/>
      <c r="K27" s="1"/>
      <c r="L27" s="1"/>
      <c r="M27" s="1"/>
      <c r="N27" s="1"/>
      <c r="O27" s="1"/>
      <c r="P27" s="1"/>
      <c r="Q27" s="1"/>
      <c r="R27" s="1"/>
      <c r="S27" s="1"/>
      <c r="T27" s="1"/>
      <c r="U27" s="1"/>
      <c r="V27" s="1"/>
      <c r="W27" s="1"/>
      <c r="X27" s="1"/>
      <c r="Y27" s="1"/>
      <c r="Z27" s="1"/>
    </row>
    <row r="28" spans="1:26" ht="15">
      <c r="A28" s="17"/>
      <c r="B28" s="17"/>
      <c r="C28" s="17"/>
      <c r="D28" s="17"/>
      <c r="E28" s="17"/>
      <c r="F28" s="17"/>
      <c r="G28" s="17"/>
      <c r="H28" s="17"/>
      <c r="I28" s="17"/>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sheetData>
  <mergeCells count="3">
    <mergeCell ref="A1:I1"/>
    <mergeCell ref="A25:I25"/>
    <mergeCell ref="A26:I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Z120"/>
  <sheetViews>
    <sheetView tabSelected="1" workbookViewId="0">
      <selection sqref="A1:D1"/>
    </sheetView>
  </sheetViews>
  <sheetFormatPr defaultRowHeight="14.25"/>
  <cols>
    <col min="1" max="1" width="38" customWidth="1"/>
    <col min="2" max="2" width="90" customWidth="1"/>
    <col min="3" max="3" width="16" customWidth="1"/>
    <col min="4" max="4" width="55" customWidth="1"/>
  </cols>
  <sheetData>
    <row r="1" spans="1:26" ht="18.75">
      <c r="A1" s="11" t="s">
        <v>452</v>
      </c>
      <c r="B1" s="11"/>
      <c r="C1" s="11"/>
      <c r="D1" s="11"/>
      <c r="E1" s="10"/>
      <c r="F1" s="10"/>
      <c r="G1" s="10"/>
      <c r="H1" s="10"/>
      <c r="I1" s="10"/>
      <c r="J1" s="10"/>
      <c r="K1" s="10"/>
      <c r="L1" s="10"/>
      <c r="M1" s="10"/>
      <c r="N1" s="10"/>
      <c r="O1" s="10"/>
      <c r="P1" s="10"/>
      <c r="Q1" s="10"/>
      <c r="R1" s="10"/>
      <c r="S1" s="10"/>
      <c r="T1" s="10"/>
      <c r="U1" s="10"/>
      <c r="V1" s="10"/>
      <c r="W1" s="10"/>
      <c r="X1" s="10"/>
      <c r="Y1" s="10"/>
      <c r="Z1" s="10"/>
    </row>
    <row r="2" spans="1:26" ht="15">
      <c r="A2" s="1"/>
      <c r="B2" s="1"/>
      <c r="C2" s="1"/>
      <c r="D2" s="1"/>
      <c r="E2" s="1"/>
      <c r="F2" s="1"/>
      <c r="G2" s="1"/>
      <c r="H2" s="1"/>
      <c r="I2" s="1"/>
      <c r="J2" s="1"/>
      <c r="K2" s="1"/>
      <c r="L2" s="1"/>
      <c r="M2" s="1"/>
      <c r="N2" s="1"/>
      <c r="O2" s="1"/>
      <c r="P2" s="1"/>
      <c r="Q2" s="1"/>
      <c r="R2" s="1"/>
      <c r="S2" s="1"/>
      <c r="T2" s="1"/>
      <c r="U2" s="1"/>
      <c r="V2" s="1"/>
      <c r="W2" s="1"/>
      <c r="X2" s="1"/>
      <c r="Y2" s="1"/>
      <c r="Z2" s="1"/>
    </row>
    <row r="3" spans="1:26" ht="15">
      <c r="A3" s="2" t="s">
        <v>453</v>
      </c>
      <c r="B3" s="2" t="s">
        <v>454</v>
      </c>
      <c r="C3" s="2" t="s">
        <v>455</v>
      </c>
      <c r="D3" s="2" t="s">
        <v>456</v>
      </c>
      <c r="E3" s="1"/>
      <c r="F3" s="1"/>
      <c r="G3" s="1"/>
      <c r="H3" s="1"/>
      <c r="I3" s="1"/>
      <c r="J3" s="1"/>
      <c r="K3" s="1"/>
      <c r="L3" s="1"/>
      <c r="M3" s="1"/>
      <c r="N3" s="1"/>
      <c r="O3" s="1"/>
      <c r="P3" s="1"/>
      <c r="Q3" s="1"/>
      <c r="R3" s="1"/>
      <c r="S3" s="1"/>
      <c r="T3" s="1"/>
      <c r="U3" s="1"/>
      <c r="V3" s="1"/>
      <c r="W3" s="1"/>
      <c r="X3" s="1"/>
      <c r="Y3" s="1"/>
      <c r="Z3" s="1"/>
    </row>
    <row r="4" spans="1:26" ht="27">
      <c r="A4" s="4" t="s">
        <v>457</v>
      </c>
      <c r="B4" s="4" t="s">
        <v>458</v>
      </c>
      <c r="C4" s="4" t="s">
        <v>54</v>
      </c>
      <c r="D4" s="4" t="s">
        <v>459</v>
      </c>
      <c r="E4" s="1"/>
      <c r="F4" s="1"/>
      <c r="G4" s="1"/>
      <c r="H4" s="1"/>
      <c r="I4" s="1"/>
      <c r="J4" s="1"/>
      <c r="K4" s="1"/>
      <c r="L4" s="1"/>
      <c r="M4" s="1"/>
      <c r="N4" s="1"/>
      <c r="O4" s="1"/>
      <c r="P4" s="1"/>
      <c r="Q4" s="1"/>
      <c r="R4" s="1"/>
      <c r="S4" s="1"/>
      <c r="T4" s="1"/>
      <c r="U4" s="1"/>
      <c r="V4" s="1"/>
      <c r="W4" s="1"/>
      <c r="X4" s="1"/>
      <c r="Y4" s="1"/>
      <c r="Z4" s="1"/>
    </row>
    <row r="5" spans="1:26" ht="15">
      <c r="A5" s="4" t="s">
        <v>460</v>
      </c>
      <c r="B5" s="4" t="s">
        <v>461</v>
      </c>
      <c r="C5" s="4" t="s">
        <v>65</v>
      </c>
      <c r="D5" s="4" t="s">
        <v>462</v>
      </c>
      <c r="E5" s="1"/>
      <c r="F5" s="1"/>
      <c r="G5" s="1"/>
      <c r="H5" s="1"/>
      <c r="I5" s="1"/>
      <c r="J5" s="1"/>
      <c r="K5" s="1"/>
      <c r="L5" s="1"/>
      <c r="M5" s="1"/>
      <c r="N5" s="1"/>
      <c r="O5" s="1"/>
      <c r="P5" s="1"/>
      <c r="Q5" s="1"/>
      <c r="R5" s="1"/>
      <c r="S5" s="1"/>
      <c r="T5" s="1"/>
      <c r="U5" s="1"/>
      <c r="V5" s="1"/>
      <c r="W5" s="1"/>
      <c r="X5" s="1"/>
      <c r="Y5" s="1"/>
      <c r="Z5" s="1"/>
    </row>
    <row r="6" spans="1:26" ht="27">
      <c r="A6" s="4" t="s">
        <v>463</v>
      </c>
      <c r="B6" s="4" t="s">
        <v>464</v>
      </c>
      <c r="C6" s="4" t="s">
        <v>65</v>
      </c>
      <c r="D6" s="4" t="s">
        <v>465</v>
      </c>
      <c r="E6" s="1"/>
      <c r="F6" s="1"/>
      <c r="G6" s="1"/>
      <c r="H6" s="1"/>
      <c r="I6" s="1"/>
      <c r="J6" s="1"/>
      <c r="K6" s="1"/>
      <c r="L6" s="1"/>
      <c r="M6" s="1"/>
      <c r="N6" s="1"/>
      <c r="O6" s="1"/>
      <c r="P6" s="1"/>
      <c r="Q6" s="1"/>
      <c r="R6" s="1"/>
      <c r="S6" s="1"/>
      <c r="T6" s="1"/>
      <c r="U6" s="1"/>
      <c r="V6" s="1"/>
      <c r="W6" s="1"/>
      <c r="X6" s="1"/>
      <c r="Y6" s="1"/>
      <c r="Z6" s="1"/>
    </row>
    <row r="7" spans="1:26" ht="27">
      <c r="A7" s="4" t="s">
        <v>466</v>
      </c>
      <c r="B7" s="4" t="s">
        <v>467</v>
      </c>
      <c r="C7" s="4" t="s">
        <v>65</v>
      </c>
      <c r="D7" s="4" t="s">
        <v>468</v>
      </c>
      <c r="E7" s="1"/>
      <c r="F7" s="1"/>
      <c r="G7" s="1"/>
      <c r="H7" s="1"/>
      <c r="I7" s="1"/>
      <c r="J7" s="1"/>
      <c r="K7" s="1"/>
      <c r="L7" s="1"/>
      <c r="M7" s="1"/>
      <c r="N7" s="1"/>
      <c r="O7" s="1"/>
      <c r="P7" s="1"/>
      <c r="Q7" s="1"/>
      <c r="R7" s="1"/>
      <c r="S7" s="1"/>
      <c r="T7" s="1"/>
      <c r="U7" s="1"/>
      <c r="V7" s="1"/>
      <c r="W7" s="1"/>
      <c r="X7" s="1"/>
      <c r="Y7" s="1"/>
      <c r="Z7" s="1"/>
    </row>
    <row r="8" spans="1:26" ht="27">
      <c r="A8" s="4" t="s">
        <v>469</v>
      </c>
      <c r="B8" s="4" t="s">
        <v>470</v>
      </c>
      <c r="C8" s="4" t="s">
        <v>65</v>
      </c>
      <c r="D8" s="4" t="s">
        <v>471</v>
      </c>
      <c r="E8" s="1"/>
      <c r="F8" s="1"/>
      <c r="G8" s="1"/>
      <c r="H8" s="1"/>
      <c r="I8" s="1"/>
      <c r="J8" s="1"/>
      <c r="K8" s="1"/>
      <c r="L8" s="1"/>
      <c r="M8" s="1"/>
      <c r="N8" s="1"/>
      <c r="O8" s="1"/>
      <c r="P8" s="1"/>
      <c r="Q8" s="1"/>
      <c r="R8" s="1"/>
      <c r="S8" s="1"/>
      <c r="T8" s="1"/>
      <c r="U8" s="1"/>
      <c r="V8" s="1"/>
      <c r="W8" s="1"/>
      <c r="X8" s="1"/>
      <c r="Y8" s="1"/>
      <c r="Z8" s="1"/>
    </row>
    <row r="9" spans="1:26" ht="15">
      <c r="A9" s="4" t="s">
        <v>472</v>
      </c>
      <c r="B9" s="4" t="s">
        <v>473</v>
      </c>
      <c r="C9" s="4" t="s">
        <v>65</v>
      </c>
      <c r="D9" s="4" t="s">
        <v>474</v>
      </c>
      <c r="E9" s="1"/>
      <c r="F9" s="1"/>
      <c r="G9" s="1"/>
      <c r="H9" s="1"/>
      <c r="I9" s="1"/>
      <c r="J9" s="1"/>
      <c r="K9" s="1"/>
      <c r="L9" s="1"/>
      <c r="M9" s="1"/>
      <c r="N9" s="1"/>
      <c r="O9" s="1"/>
      <c r="P9" s="1"/>
      <c r="Q9" s="1"/>
      <c r="R9" s="1"/>
      <c r="S9" s="1"/>
      <c r="T9" s="1"/>
      <c r="U9" s="1"/>
      <c r="V9" s="1"/>
      <c r="W9" s="1"/>
      <c r="X9" s="1"/>
      <c r="Y9" s="1"/>
      <c r="Z9" s="1"/>
    </row>
    <row r="10" spans="1:26" ht="15">
      <c r="A10" s="4" t="s">
        <v>475</v>
      </c>
      <c r="B10" s="4" t="s">
        <v>476</v>
      </c>
      <c r="C10" s="4" t="s">
        <v>65</v>
      </c>
      <c r="D10" s="4" t="s">
        <v>477</v>
      </c>
      <c r="E10" s="1"/>
      <c r="F10" s="1"/>
      <c r="G10" s="1"/>
      <c r="H10" s="1"/>
      <c r="I10" s="1"/>
      <c r="J10" s="1"/>
      <c r="K10" s="1"/>
      <c r="L10" s="1"/>
      <c r="M10" s="1"/>
      <c r="N10" s="1"/>
      <c r="O10" s="1"/>
      <c r="P10" s="1"/>
      <c r="Q10" s="1"/>
      <c r="R10" s="1"/>
      <c r="S10" s="1"/>
      <c r="T10" s="1"/>
      <c r="U10" s="1"/>
      <c r="V10" s="1"/>
      <c r="W10" s="1"/>
      <c r="X10" s="1"/>
      <c r="Y10" s="1"/>
      <c r="Z10" s="1"/>
    </row>
    <row r="11" spans="1:26" ht="27">
      <c r="A11" s="4" t="s">
        <v>478</v>
      </c>
      <c r="B11" s="4" t="s">
        <v>479</v>
      </c>
      <c r="C11" s="4" t="s">
        <v>65</v>
      </c>
      <c r="D11" s="4" t="s">
        <v>480</v>
      </c>
      <c r="E11" s="1"/>
      <c r="F11" s="1"/>
      <c r="G11" s="1"/>
      <c r="H11" s="1"/>
      <c r="I11" s="1"/>
      <c r="J11" s="1"/>
      <c r="K11" s="1"/>
      <c r="L11" s="1"/>
      <c r="M11" s="1"/>
      <c r="N11" s="1"/>
      <c r="O11" s="1"/>
      <c r="P11" s="1"/>
      <c r="Q11" s="1"/>
      <c r="R11" s="1"/>
      <c r="S11" s="1"/>
      <c r="T11" s="1"/>
      <c r="U11" s="1"/>
      <c r="V11" s="1"/>
      <c r="W11" s="1"/>
      <c r="X11" s="1"/>
      <c r="Y11" s="1"/>
      <c r="Z11" s="1"/>
    </row>
    <row r="12" spans="1:26" ht="27">
      <c r="A12" s="4" t="s">
        <v>481</v>
      </c>
      <c r="B12" s="4" t="s">
        <v>482</v>
      </c>
      <c r="C12" s="4" t="s">
        <v>65</v>
      </c>
      <c r="D12" s="4" t="s">
        <v>483</v>
      </c>
      <c r="E12" s="1"/>
      <c r="F12" s="1"/>
      <c r="G12" s="1"/>
      <c r="H12" s="1"/>
      <c r="I12" s="1"/>
      <c r="J12" s="1"/>
      <c r="K12" s="1"/>
      <c r="L12" s="1"/>
      <c r="M12" s="1"/>
      <c r="N12" s="1"/>
      <c r="O12" s="1"/>
      <c r="P12" s="1"/>
      <c r="Q12" s="1"/>
      <c r="R12" s="1"/>
      <c r="S12" s="1"/>
      <c r="T12" s="1"/>
      <c r="U12" s="1"/>
      <c r="V12" s="1"/>
      <c r="W12" s="1"/>
      <c r="X12" s="1"/>
      <c r="Y12" s="1"/>
      <c r="Z12" s="1"/>
    </row>
    <row r="13" spans="1:26" ht="27">
      <c r="A13" s="4" t="s">
        <v>484</v>
      </c>
      <c r="B13" s="4" t="s">
        <v>485</v>
      </c>
      <c r="C13" s="4" t="s">
        <v>54</v>
      </c>
      <c r="D13" s="4" t="s">
        <v>486</v>
      </c>
      <c r="E13" s="1"/>
      <c r="F13" s="1"/>
      <c r="G13" s="1"/>
      <c r="H13" s="1"/>
      <c r="I13" s="1"/>
      <c r="J13" s="1"/>
      <c r="K13" s="1"/>
      <c r="L13" s="1"/>
      <c r="M13" s="1"/>
      <c r="N13" s="1"/>
      <c r="O13" s="1"/>
      <c r="P13" s="1"/>
      <c r="Q13" s="1"/>
      <c r="R13" s="1"/>
      <c r="S13" s="1"/>
      <c r="T13" s="1"/>
      <c r="U13" s="1"/>
      <c r="V13" s="1"/>
      <c r="W13" s="1"/>
      <c r="X13" s="1"/>
      <c r="Y13" s="1"/>
      <c r="Z13" s="1"/>
    </row>
    <row r="14" spans="1:26" ht="27">
      <c r="A14" s="4" t="s">
        <v>487</v>
      </c>
      <c r="B14" s="4" t="s">
        <v>488</v>
      </c>
      <c r="C14" s="4" t="s">
        <v>44</v>
      </c>
      <c r="D14" s="4" t="s">
        <v>489</v>
      </c>
      <c r="E14" s="1"/>
      <c r="F14" s="1"/>
      <c r="G14" s="1"/>
      <c r="H14" s="1"/>
      <c r="I14" s="1"/>
      <c r="J14" s="1"/>
      <c r="K14" s="1"/>
      <c r="L14" s="1"/>
      <c r="M14" s="1"/>
      <c r="N14" s="1"/>
      <c r="O14" s="1"/>
      <c r="P14" s="1"/>
      <c r="Q14" s="1"/>
      <c r="R14" s="1"/>
      <c r="S14" s="1"/>
      <c r="T14" s="1"/>
      <c r="U14" s="1"/>
      <c r="V14" s="1"/>
      <c r="W14" s="1"/>
      <c r="X14" s="1"/>
      <c r="Y14" s="1"/>
      <c r="Z14" s="1"/>
    </row>
    <row r="15" spans="1:26" ht="27">
      <c r="A15" s="4" t="s">
        <v>490</v>
      </c>
      <c r="B15" s="4" t="s">
        <v>491</v>
      </c>
      <c r="C15" s="4" t="s">
        <v>44</v>
      </c>
      <c r="D15" s="4" t="s">
        <v>492</v>
      </c>
      <c r="E15" s="1"/>
      <c r="F15" s="1"/>
      <c r="G15" s="1"/>
      <c r="H15" s="1"/>
      <c r="I15" s="1"/>
      <c r="J15" s="1"/>
      <c r="K15" s="1"/>
      <c r="L15" s="1"/>
      <c r="M15" s="1"/>
      <c r="N15" s="1"/>
      <c r="O15" s="1"/>
      <c r="P15" s="1"/>
      <c r="Q15" s="1"/>
      <c r="R15" s="1"/>
      <c r="S15" s="1"/>
      <c r="T15" s="1"/>
      <c r="U15" s="1"/>
      <c r="V15" s="1"/>
      <c r="W15" s="1"/>
      <c r="X15" s="1"/>
      <c r="Y15" s="1"/>
      <c r="Z15" s="1"/>
    </row>
    <row r="16" spans="1:26" ht="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sheetData>
  <mergeCells count="1">
    <mergeCell ref="A1:D1"/>
  </mergeCells>
  <conditionalFormatting sqref="C4:C15">
    <cfRule type="expression" dxfId="1" priority="1">
      <formula>C4="Yes"</formula>
    </cfRule>
    <cfRule type="expression" dxfId="0" priority="2">
      <formula>C4="No"</formula>
    </cfRule>
  </conditionalFormatting>
  <dataValidations count="1">
    <dataValidation type="list" sqref="C4:C15" xr:uid="{00000000-0002-0000-0800-000000000000}">
      <formula1>"Yes,No,NA"</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Z120"/>
  <sheetViews>
    <sheetView workbookViewId="0">
      <selection sqref="A1:D1"/>
    </sheetView>
  </sheetViews>
  <sheetFormatPr defaultRowHeight="14.25"/>
  <cols>
    <col min="1" max="1" width="38" customWidth="1"/>
    <col min="2" max="2" width="52" customWidth="1"/>
    <col min="3" max="3" width="58" customWidth="1"/>
    <col min="4" max="4" width="80" customWidth="1"/>
  </cols>
  <sheetData>
    <row r="1" spans="1:26" ht="18.75">
      <c r="A1" s="11" t="s">
        <v>493</v>
      </c>
      <c r="B1" s="11"/>
      <c r="C1" s="11"/>
      <c r="D1" s="11"/>
      <c r="E1" s="10"/>
      <c r="F1" s="10"/>
      <c r="G1" s="10"/>
      <c r="H1" s="10"/>
      <c r="I1" s="10"/>
      <c r="J1" s="10"/>
      <c r="K1" s="10"/>
      <c r="L1" s="10"/>
      <c r="M1" s="10"/>
      <c r="N1" s="10"/>
      <c r="O1" s="10"/>
      <c r="P1" s="10"/>
      <c r="Q1" s="10"/>
      <c r="R1" s="10"/>
      <c r="S1" s="10"/>
      <c r="T1" s="10"/>
      <c r="U1" s="10"/>
      <c r="V1" s="10"/>
      <c r="W1" s="10"/>
      <c r="X1" s="10"/>
      <c r="Y1" s="10"/>
      <c r="Z1" s="10"/>
    </row>
    <row r="2" spans="1:26" ht="15">
      <c r="A2" s="1"/>
      <c r="B2" s="1"/>
      <c r="C2" s="1"/>
      <c r="D2" s="1"/>
      <c r="E2" s="1"/>
      <c r="F2" s="1"/>
      <c r="G2" s="1"/>
      <c r="H2" s="1"/>
      <c r="I2" s="1"/>
      <c r="J2" s="1"/>
      <c r="K2" s="1"/>
      <c r="L2" s="1"/>
      <c r="M2" s="1"/>
      <c r="N2" s="1"/>
      <c r="O2" s="1"/>
      <c r="P2" s="1"/>
      <c r="Q2" s="1"/>
      <c r="R2" s="1"/>
      <c r="S2" s="1"/>
      <c r="T2" s="1"/>
      <c r="U2" s="1"/>
      <c r="V2" s="1"/>
      <c r="W2" s="1"/>
      <c r="X2" s="1"/>
      <c r="Y2" s="1"/>
      <c r="Z2" s="1"/>
    </row>
    <row r="3" spans="1:26" ht="15">
      <c r="A3" s="2" t="s">
        <v>494</v>
      </c>
      <c r="B3" s="2" t="s">
        <v>495</v>
      </c>
      <c r="C3" s="2" t="s">
        <v>496</v>
      </c>
      <c r="D3" s="2" t="s">
        <v>497</v>
      </c>
      <c r="E3" s="1"/>
      <c r="F3" s="1"/>
      <c r="G3" s="1"/>
      <c r="H3" s="1"/>
      <c r="I3" s="1"/>
      <c r="J3" s="1"/>
      <c r="K3" s="1"/>
      <c r="L3" s="1"/>
      <c r="M3" s="1"/>
      <c r="N3" s="1"/>
      <c r="O3" s="1"/>
      <c r="P3" s="1"/>
      <c r="Q3" s="1"/>
      <c r="R3" s="1"/>
      <c r="S3" s="1"/>
      <c r="T3" s="1"/>
      <c r="U3" s="1"/>
      <c r="V3" s="1"/>
      <c r="W3" s="1"/>
      <c r="X3" s="1"/>
      <c r="Y3" s="1"/>
      <c r="Z3" s="1"/>
    </row>
    <row r="4" spans="1:26" ht="27">
      <c r="A4" s="4" t="s">
        <v>498</v>
      </c>
      <c r="B4" s="4" t="s">
        <v>499</v>
      </c>
      <c r="C4" s="4" t="s">
        <v>500</v>
      </c>
      <c r="D4" s="4" t="s">
        <v>501</v>
      </c>
      <c r="E4" s="1"/>
      <c r="F4" s="1"/>
      <c r="G4" s="1"/>
      <c r="H4" s="1"/>
      <c r="I4" s="1"/>
      <c r="J4" s="1"/>
      <c r="K4" s="1"/>
      <c r="L4" s="1"/>
      <c r="M4" s="1"/>
      <c r="N4" s="1"/>
      <c r="O4" s="1"/>
      <c r="P4" s="1"/>
      <c r="Q4" s="1"/>
      <c r="R4" s="1"/>
      <c r="S4" s="1"/>
      <c r="T4" s="1"/>
      <c r="U4" s="1"/>
      <c r="V4" s="1"/>
      <c r="W4" s="1"/>
      <c r="X4" s="1"/>
      <c r="Y4" s="1"/>
      <c r="Z4" s="1"/>
    </row>
    <row r="5" spans="1:26" ht="15">
      <c r="A5" s="4" t="s">
        <v>502</v>
      </c>
      <c r="B5" s="4" t="s">
        <v>503</v>
      </c>
      <c r="C5" s="4" t="s">
        <v>504</v>
      </c>
      <c r="D5" s="4" t="s">
        <v>505</v>
      </c>
      <c r="E5" s="1"/>
      <c r="F5" s="1"/>
      <c r="G5" s="1"/>
      <c r="H5" s="1"/>
      <c r="I5" s="1"/>
      <c r="J5" s="1"/>
      <c r="K5" s="1"/>
      <c r="L5" s="1"/>
      <c r="M5" s="1"/>
      <c r="N5" s="1"/>
      <c r="O5" s="1"/>
      <c r="P5" s="1"/>
      <c r="Q5" s="1"/>
      <c r="R5" s="1"/>
      <c r="S5" s="1"/>
      <c r="T5" s="1"/>
      <c r="U5" s="1"/>
      <c r="V5" s="1"/>
      <c r="W5" s="1"/>
      <c r="X5" s="1"/>
      <c r="Y5" s="1"/>
      <c r="Z5" s="1"/>
    </row>
    <row r="6" spans="1:26" ht="15">
      <c r="A6" s="4" t="s">
        <v>506</v>
      </c>
      <c r="B6" s="4" t="s">
        <v>507</v>
      </c>
      <c r="C6" s="4" t="s">
        <v>508</v>
      </c>
      <c r="D6" s="4" t="s">
        <v>509</v>
      </c>
      <c r="E6" s="1"/>
      <c r="F6" s="1"/>
      <c r="G6" s="1"/>
      <c r="H6" s="1"/>
      <c r="I6" s="1"/>
      <c r="J6" s="1"/>
      <c r="K6" s="1"/>
      <c r="L6" s="1"/>
      <c r="M6" s="1"/>
      <c r="N6" s="1"/>
      <c r="O6" s="1"/>
      <c r="P6" s="1"/>
      <c r="Q6" s="1"/>
      <c r="R6" s="1"/>
      <c r="S6" s="1"/>
      <c r="T6" s="1"/>
      <c r="U6" s="1"/>
      <c r="V6" s="1"/>
      <c r="W6" s="1"/>
      <c r="X6" s="1"/>
      <c r="Y6" s="1"/>
      <c r="Z6" s="1"/>
    </row>
    <row r="7" spans="1:26" ht="15">
      <c r="A7" s="4" t="s">
        <v>510</v>
      </c>
      <c r="B7" s="4" t="s">
        <v>511</v>
      </c>
      <c r="C7" s="4" t="s">
        <v>512</v>
      </c>
      <c r="D7" s="4" t="s">
        <v>513</v>
      </c>
      <c r="E7" s="1"/>
      <c r="F7" s="1"/>
      <c r="G7" s="1"/>
      <c r="H7" s="1"/>
      <c r="I7" s="1"/>
      <c r="J7" s="1"/>
      <c r="K7" s="1"/>
      <c r="L7" s="1"/>
      <c r="M7" s="1"/>
      <c r="N7" s="1"/>
      <c r="O7" s="1"/>
      <c r="P7" s="1"/>
      <c r="Q7" s="1"/>
      <c r="R7" s="1"/>
      <c r="S7" s="1"/>
      <c r="T7" s="1"/>
      <c r="U7" s="1"/>
      <c r="V7" s="1"/>
      <c r="W7" s="1"/>
      <c r="X7" s="1"/>
      <c r="Y7" s="1"/>
      <c r="Z7" s="1"/>
    </row>
    <row r="8" spans="1:26" ht="15">
      <c r="A8" s="4" t="s">
        <v>514</v>
      </c>
      <c r="B8" s="4" t="s">
        <v>515</v>
      </c>
      <c r="C8" s="4" t="s">
        <v>516</v>
      </c>
      <c r="D8" s="4" t="s">
        <v>517</v>
      </c>
      <c r="E8" s="1"/>
      <c r="F8" s="1"/>
      <c r="G8" s="1"/>
      <c r="H8" s="1"/>
      <c r="I8" s="1"/>
      <c r="J8" s="1"/>
      <c r="K8" s="1"/>
      <c r="L8" s="1"/>
      <c r="M8" s="1"/>
      <c r="N8" s="1"/>
      <c r="O8" s="1"/>
      <c r="P8" s="1"/>
      <c r="Q8" s="1"/>
      <c r="R8" s="1"/>
      <c r="S8" s="1"/>
      <c r="T8" s="1"/>
      <c r="U8" s="1"/>
      <c r="V8" s="1"/>
      <c r="W8" s="1"/>
      <c r="X8" s="1"/>
      <c r="Y8" s="1"/>
      <c r="Z8" s="1"/>
    </row>
    <row r="9" spans="1:26" ht="15">
      <c r="A9" s="4" t="s">
        <v>518</v>
      </c>
      <c r="B9" s="4" t="s">
        <v>519</v>
      </c>
      <c r="C9" s="4" t="s">
        <v>520</v>
      </c>
      <c r="D9" s="4" t="s">
        <v>521</v>
      </c>
      <c r="E9" s="1"/>
      <c r="F9" s="1"/>
      <c r="G9" s="1"/>
      <c r="H9" s="1"/>
      <c r="I9" s="1"/>
      <c r="J9" s="1"/>
      <c r="K9" s="1"/>
      <c r="L9" s="1"/>
      <c r="M9" s="1"/>
      <c r="N9" s="1"/>
      <c r="O9" s="1"/>
      <c r="P9" s="1"/>
      <c r="Q9" s="1"/>
      <c r="R9" s="1"/>
      <c r="S9" s="1"/>
      <c r="T9" s="1"/>
      <c r="U9" s="1"/>
      <c r="V9" s="1"/>
      <c r="W9" s="1"/>
      <c r="X9" s="1"/>
      <c r="Y9" s="1"/>
      <c r="Z9" s="1"/>
    </row>
    <row r="10" spans="1:26" ht="27">
      <c r="A10" s="4" t="s">
        <v>522</v>
      </c>
      <c r="B10" s="4" t="s">
        <v>523</v>
      </c>
      <c r="C10" s="4" t="s">
        <v>524</v>
      </c>
      <c r="D10" s="4" t="s">
        <v>525</v>
      </c>
      <c r="E10" s="1"/>
      <c r="F10" s="1"/>
      <c r="G10" s="1"/>
      <c r="H10" s="1"/>
      <c r="I10" s="1"/>
      <c r="J10" s="1"/>
      <c r="K10" s="1"/>
      <c r="L10" s="1"/>
      <c r="M10" s="1"/>
      <c r="N10" s="1"/>
      <c r="O10" s="1"/>
      <c r="P10" s="1"/>
      <c r="Q10" s="1"/>
      <c r="R10" s="1"/>
      <c r="S10" s="1"/>
      <c r="T10" s="1"/>
      <c r="U10" s="1"/>
      <c r="V10" s="1"/>
      <c r="W10" s="1"/>
      <c r="X10" s="1"/>
      <c r="Y10" s="1"/>
      <c r="Z10" s="1"/>
    </row>
    <row r="11" spans="1:26" ht="15">
      <c r="A11" s="4" t="s">
        <v>526</v>
      </c>
      <c r="B11" s="4" t="s">
        <v>527</v>
      </c>
      <c r="C11" s="4" t="s">
        <v>528</v>
      </c>
      <c r="D11" s="4" t="s">
        <v>529</v>
      </c>
      <c r="E11" s="1"/>
      <c r="F11" s="1"/>
      <c r="G11" s="1"/>
      <c r="H11" s="1"/>
      <c r="I11" s="1"/>
      <c r="J11" s="1"/>
      <c r="K11" s="1"/>
      <c r="L11" s="1"/>
      <c r="M11" s="1"/>
      <c r="N11" s="1"/>
      <c r="O11" s="1"/>
      <c r="P11" s="1"/>
      <c r="Q11" s="1"/>
      <c r="R11" s="1"/>
      <c r="S11" s="1"/>
      <c r="T11" s="1"/>
      <c r="U11" s="1"/>
      <c r="V11" s="1"/>
      <c r="W11" s="1"/>
      <c r="X11" s="1"/>
      <c r="Y11" s="1"/>
      <c r="Z11" s="1"/>
    </row>
    <row r="12" spans="1:26" ht="27">
      <c r="A12" s="4" t="s">
        <v>530</v>
      </c>
      <c r="B12" s="4" t="s">
        <v>531</v>
      </c>
      <c r="C12" s="4" t="s">
        <v>532</v>
      </c>
      <c r="D12" s="4" t="s">
        <v>533</v>
      </c>
      <c r="E12" s="1"/>
      <c r="F12" s="1"/>
      <c r="G12" s="1"/>
      <c r="H12" s="1"/>
      <c r="I12" s="1"/>
      <c r="J12" s="1"/>
      <c r="K12" s="1"/>
      <c r="L12" s="1"/>
      <c r="M12" s="1"/>
      <c r="N12" s="1"/>
      <c r="O12" s="1"/>
      <c r="P12" s="1"/>
      <c r="Q12" s="1"/>
      <c r="R12" s="1"/>
      <c r="S12" s="1"/>
      <c r="T12" s="1"/>
      <c r="U12" s="1"/>
      <c r="V12" s="1"/>
      <c r="W12" s="1"/>
      <c r="X12" s="1"/>
      <c r="Y12" s="1"/>
      <c r="Z12" s="1"/>
    </row>
    <row r="13" spans="1:26" ht="15">
      <c r="A13" s="4" t="s">
        <v>534</v>
      </c>
      <c r="B13" s="4" t="s">
        <v>535</v>
      </c>
      <c r="C13" s="4" t="s">
        <v>536</v>
      </c>
      <c r="D13" s="4" t="s">
        <v>537</v>
      </c>
      <c r="E13" s="1"/>
      <c r="F13" s="1"/>
      <c r="G13" s="1"/>
      <c r="H13" s="1"/>
      <c r="I13" s="1"/>
      <c r="J13" s="1"/>
      <c r="K13" s="1"/>
      <c r="L13" s="1"/>
      <c r="M13" s="1"/>
      <c r="N13" s="1"/>
      <c r="O13" s="1"/>
      <c r="P13" s="1"/>
      <c r="Q13" s="1"/>
      <c r="R13" s="1"/>
      <c r="S13" s="1"/>
      <c r="T13" s="1"/>
      <c r="U13" s="1"/>
      <c r="V13" s="1"/>
      <c r="W13" s="1"/>
      <c r="X13" s="1"/>
      <c r="Y13" s="1"/>
      <c r="Z13" s="1"/>
    </row>
    <row r="14" spans="1:26" ht="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S7_ReadMe</vt:lpstr>
      <vt:lpstr>Controlled_Vocab</vt:lpstr>
      <vt:lpstr>Protocol_Deviation_Log</vt:lpstr>
      <vt:lpstr>Search_Change_Log</vt:lpstr>
      <vt:lpstr>Classification_Change_Log</vt:lpstr>
      <vt:lpstr>Candidate_Issues</vt:lpstr>
      <vt:lpstr>Deviation_Summary</vt:lpstr>
      <vt:lpstr>Manuscript_Summary</vt:lpstr>
      <vt:lpstr>Reporting_Checklist</vt:lpstr>
      <vt:lpstr>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Muntasir Yakubu</cp:lastModifiedBy>
  <dcterms:modified xsi:type="dcterms:W3CDTF">2026-08-16T08:14:10Z</dcterms:modified>
</cp:coreProperties>
</file>