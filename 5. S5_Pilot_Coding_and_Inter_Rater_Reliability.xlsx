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New Publications\Systematic Mapping Study\Database Search\"/>
    </mc:Choice>
  </mc:AlternateContent>
  <xr:revisionPtr revIDLastSave="0" documentId="13_ncr:1_{F20F8C02-8FA3-4FB4-BA2E-35139A4CC046}" xr6:coauthVersionLast="47" xr6:coauthVersionMax="47" xr10:uidLastSave="{00000000-0000-0000-0000-000000000000}"/>
  <bookViews>
    <workbookView xWindow="-120" yWindow="-120" windowWidth="29040" windowHeight="15720" firstSheet="10" activeTab="15" xr2:uid="{00000000-000D-0000-FFFF-FFFF00000000}"/>
  </bookViews>
  <sheets>
    <sheet name="S5_ReadMe" sheetId="1" r:id="rId1"/>
    <sheet name="Pilot_Sample_25" sheetId="2" r:id="rId2"/>
    <sheet name="Controlled_Vocab" sheetId="3" r:id="rId3"/>
    <sheet name="Pilot_R1" sheetId="4" r:id="rId4"/>
    <sheet name="Pilot_R2" sheetId="5" r:id="rId5"/>
    <sheet name="Screening_Title_Abstract" sheetId="6" r:id="rId6"/>
    <sheet name="Screening_Full_Text" sheetId="7" r:id="rId7"/>
    <sheet name="MultiLabel_Reliability" sheetId="8" r:id="rId8"/>
    <sheet name="Ordinal_Reliability" sheetId="9" r:id="rId9"/>
    <sheet name="Codebook_Refinement_Log" sheetId="10" r:id="rId10"/>
    <sheet name="Adjudication_Log" sheetId="11" r:id="rId11"/>
    <sheet name="Reliability_Summary" sheetId="12" r:id="rId12"/>
    <sheet name="Reporting_Checklist" sheetId="13" r:id="rId13"/>
    <sheet name="MultiLabel_R1" sheetId="14" r:id="rId14"/>
    <sheet name="MultiLabel_R2" sheetId="15" r:id="rId15"/>
    <sheet name="Jaccard_By_Study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6" l="1"/>
  <c r="F27" i="16"/>
  <c r="E27" i="16"/>
  <c r="D27" i="16"/>
  <c r="C27" i="16"/>
  <c r="G26" i="16"/>
  <c r="F26" i="16"/>
  <c r="E26" i="16"/>
  <c r="D26" i="16"/>
  <c r="C26" i="16"/>
  <c r="G25" i="16"/>
  <c r="F25" i="16"/>
  <c r="E25" i="16"/>
  <c r="D25" i="16"/>
  <c r="C25" i="16"/>
  <c r="G24" i="16"/>
  <c r="F24" i="16"/>
  <c r="E24" i="16"/>
  <c r="D24" i="16"/>
  <c r="C24" i="16"/>
  <c r="G23" i="16"/>
  <c r="F23" i="16"/>
  <c r="E23" i="16"/>
  <c r="D23" i="16"/>
  <c r="C23" i="16"/>
  <c r="G22" i="16"/>
  <c r="F22" i="16"/>
  <c r="E22" i="16"/>
  <c r="D22" i="16"/>
  <c r="C22" i="16"/>
  <c r="G21" i="16"/>
  <c r="F21" i="16"/>
  <c r="E21" i="16"/>
  <c r="D21" i="16"/>
  <c r="C21" i="16"/>
  <c r="G20" i="16"/>
  <c r="F20" i="16"/>
  <c r="E20" i="16"/>
  <c r="D20" i="16"/>
  <c r="C20" i="16"/>
  <c r="G19" i="16"/>
  <c r="F19" i="16"/>
  <c r="E19" i="16"/>
  <c r="D19" i="16"/>
  <c r="C19" i="16"/>
  <c r="G18" i="16"/>
  <c r="F18" i="16"/>
  <c r="E18" i="16"/>
  <c r="D18" i="16"/>
  <c r="C18" i="16"/>
  <c r="G17" i="16"/>
  <c r="F17" i="16"/>
  <c r="E17" i="16"/>
  <c r="D17" i="16"/>
  <c r="C17" i="16"/>
  <c r="G16" i="16"/>
  <c r="F16" i="16"/>
  <c r="E16" i="16"/>
  <c r="D16" i="16"/>
  <c r="C16" i="16"/>
  <c r="G15" i="16"/>
  <c r="F15" i="16"/>
  <c r="E15" i="16"/>
  <c r="D15" i="16"/>
  <c r="C15" i="16"/>
  <c r="G14" i="16"/>
  <c r="F14" i="16"/>
  <c r="E14" i="16"/>
  <c r="D14" i="16"/>
  <c r="C14" i="16"/>
  <c r="G13" i="16"/>
  <c r="F13" i="16"/>
  <c r="E13" i="16"/>
  <c r="D13" i="16"/>
  <c r="C13" i="16"/>
  <c r="G12" i="16"/>
  <c r="F12" i="16"/>
  <c r="E12" i="16"/>
  <c r="D12" i="16"/>
  <c r="C12" i="16"/>
  <c r="G11" i="16"/>
  <c r="F11" i="16"/>
  <c r="E11" i="16"/>
  <c r="D11" i="16"/>
  <c r="C11" i="16"/>
  <c r="G10" i="16"/>
  <c r="F10" i="16"/>
  <c r="E10" i="16"/>
  <c r="D10" i="16"/>
  <c r="C10" i="16"/>
  <c r="G9" i="16"/>
  <c r="F9" i="16"/>
  <c r="E9" i="16"/>
  <c r="D9" i="16"/>
  <c r="C9" i="16"/>
  <c r="G8" i="16"/>
  <c r="F8" i="16"/>
  <c r="E8" i="16"/>
  <c r="D8" i="16"/>
  <c r="C8" i="16"/>
  <c r="G7" i="16"/>
  <c r="F7" i="16"/>
  <c r="E7" i="16"/>
  <c r="D7" i="16"/>
  <c r="C7" i="16"/>
  <c r="G6" i="16"/>
  <c r="F6" i="16"/>
  <c r="E6" i="16"/>
  <c r="D6" i="16"/>
  <c r="C6" i="16"/>
  <c r="G5" i="16"/>
  <c r="F5" i="16"/>
  <c r="E5" i="16"/>
  <c r="D5" i="16"/>
  <c r="C5" i="16"/>
  <c r="G4" i="16"/>
  <c r="F4" i="16"/>
  <c r="E4" i="16"/>
  <c r="D4" i="16"/>
  <c r="C4" i="16"/>
  <c r="G3" i="16"/>
  <c r="F3" i="16"/>
  <c r="E3" i="16"/>
  <c r="D3" i="16"/>
  <c r="C3" i="16"/>
  <c r="J47" i="8"/>
  <c r="J46" i="8"/>
  <c r="J45" i="8"/>
  <c r="L45" i="8" s="1"/>
  <c r="I45" i="8"/>
  <c r="H45" i="8"/>
  <c r="J44" i="8"/>
  <c r="L44" i="8" s="1"/>
  <c r="I44" i="8"/>
  <c r="H44" i="8"/>
  <c r="I43" i="8"/>
  <c r="H43" i="8"/>
  <c r="J43" i="8" s="1"/>
  <c r="L43" i="8" s="1"/>
  <c r="I42" i="8"/>
  <c r="H42" i="8"/>
  <c r="J42" i="8" s="1"/>
  <c r="L42" i="8" s="1"/>
  <c r="I41" i="8"/>
  <c r="H41" i="8"/>
  <c r="J41" i="8" s="1"/>
  <c r="L41" i="8" s="1"/>
  <c r="I40" i="8"/>
  <c r="J40" i="8" s="1"/>
  <c r="L40" i="8" s="1"/>
  <c r="H40" i="8"/>
  <c r="I39" i="8"/>
  <c r="H39" i="8"/>
  <c r="J39" i="8" s="1"/>
  <c r="L39" i="8" s="1"/>
  <c r="I38" i="8"/>
  <c r="H38" i="8"/>
  <c r="J38" i="8" s="1"/>
  <c r="L38" i="8" s="1"/>
  <c r="J37" i="8"/>
  <c r="L37" i="8" s="1"/>
  <c r="I37" i="8"/>
  <c r="H37" i="8"/>
  <c r="J36" i="8"/>
  <c r="L36" i="8" s="1"/>
  <c r="I36" i="8"/>
  <c r="H36" i="8"/>
  <c r="I35" i="8"/>
  <c r="H35" i="8"/>
  <c r="J35" i="8" s="1"/>
  <c r="L35" i="8" s="1"/>
  <c r="I34" i="8"/>
  <c r="H34" i="8"/>
  <c r="J34" i="8" s="1"/>
  <c r="L34" i="8" s="1"/>
  <c r="I33" i="8"/>
  <c r="H33" i="8"/>
  <c r="J33" i="8" s="1"/>
  <c r="L33" i="8" s="1"/>
  <c r="I32" i="8"/>
  <c r="J32" i="8" s="1"/>
  <c r="L32" i="8" s="1"/>
  <c r="H32" i="8"/>
  <c r="I31" i="8"/>
  <c r="H31" i="8"/>
  <c r="J31" i="8" s="1"/>
  <c r="L31" i="8" s="1"/>
  <c r="I30" i="8"/>
  <c r="H30" i="8"/>
  <c r="J30" i="8" s="1"/>
  <c r="L30" i="8" s="1"/>
  <c r="J29" i="8"/>
  <c r="L29" i="8" s="1"/>
  <c r="I29" i="8"/>
  <c r="H29" i="8"/>
  <c r="J28" i="8"/>
  <c r="L28" i="8" s="1"/>
  <c r="I28" i="8"/>
  <c r="H28" i="8"/>
  <c r="I27" i="8"/>
  <c r="H27" i="8"/>
  <c r="J27" i="8" s="1"/>
  <c r="L27" i="8" s="1"/>
  <c r="I26" i="8"/>
  <c r="H26" i="8"/>
  <c r="J26" i="8" s="1"/>
  <c r="L26" i="8" s="1"/>
  <c r="I25" i="8"/>
  <c r="H25" i="8"/>
  <c r="J25" i="8" s="1"/>
  <c r="L25" i="8" s="1"/>
  <c r="I24" i="8"/>
  <c r="J24" i="8" s="1"/>
  <c r="L24" i="8" s="1"/>
  <c r="H24" i="8"/>
  <c r="I23" i="8"/>
  <c r="H23" i="8"/>
  <c r="J23" i="8" s="1"/>
  <c r="L23" i="8" s="1"/>
  <c r="I22" i="8"/>
  <c r="H22" i="8"/>
  <c r="J22" i="8" s="1"/>
  <c r="L22" i="8" s="1"/>
  <c r="J21" i="8"/>
  <c r="L21" i="8" s="1"/>
  <c r="I21" i="8"/>
  <c r="H21" i="8"/>
  <c r="J20" i="8"/>
  <c r="L20" i="8" s="1"/>
  <c r="I20" i="8"/>
  <c r="H20" i="8"/>
  <c r="I19" i="8"/>
  <c r="H19" i="8"/>
  <c r="J19" i="8" s="1"/>
  <c r="L19" i="8" s="1"/>
  <c r="I18" i="8"/>
  <c r="H18" i="8"/>
  <c r="J18" i="8" s="1"/>
  <c r="L18" i="8" s="1"/>
  <c r="J17" i="8"/>
  <c r="L17" i="8" s="1"/>
  <c r="I17" i="8"/>
  <c r="H17" i="8"/>
  <c r="I16" i="8"/>
  <c r="J16" i="8" s="1"/>
  <c r="L16" i="8" s="1"/>
  <c r="H16" i="8"/>
  <c r="I15" i="8"/>
  <c r="H15" i="8"/>
  <c r="J15" i="8" s="1"/>
  <c r="L15" i="8" s="1"/>
  <c r="I14" i="8"/>
  <c r="H14" i="8"/>
  <c r="J14" i="8" s="1"/>
  <c r="L14" i="8" s="1"/>
  <c r="J13" i="8"/>
  <c r="L13" i="8" s="1"/>
  <c r="I13" i="8"/>
  <c r="H13" i="8"/>
  <c r="I12" i="8"/>
  <c r="J12" i="8" s="1"/>
  <c r="L12" i="8" s="1"/>
  <c r="H12" i="8"/>
  <c r="I11" i="8"/>
  <c r="H11" i="8"/>
  <c r="J11" i="8" s="1"/>
  <c r="L11" i="8" s="1"/>
  <c r="I10" i="8"/>
  <c r="H10" i="8"/>
  <c r="J10" i="8" s="1"/>
  <c r="L10" i="8" s="1"/>
  <c r="J9" i="8"/>
  <c r="L9" i="8" s="1"/>
  <c r="I9" i="8"/>
  <c r="H9" i="8"/>
  <c r="I8" i="8"/>
  <c r="J8" i="8" s="1"/>
  <c r="L8" i="8" s="1"/>
  <c r="H8" i="8"/>
  <c r="I7" i="8"/>
  <c r="H7" i="8"/>
  <c r="J7" i="8" s="1"/>
  <c r="L7" i="8" s="1"/>
  <c r="I6" i="8"/>
  <c r="H6" i="8"/>
  <c r="J6" i="8" s="1"/>
  <c r="L6" i="8" s="1"/>
  <c r="J5" i="8"/>
  <c r="L5" i="8" s="1"/>
  <c r="I5" i="8"/>
  <c r="H5" i="8"/>
  <c r="I4" i="8"/>
  <c r="J4" i="8" s="1"/>
  <c r="L4" i="8" s="1"/>
  <c r="H4" i="8"/>
  <c r="D103" i="7"/>
  <c r="D102" i="7"/>
  <c r="D101" i="7"/>
  <c r="D100" i="7"/>
  <c r="D99" i="7"/>
  <c r="D98" i="7"/>
  <c r="D97" i="7"/>
  <c r="D96" i="7"/>
  <c r="D95" i="7"/>
  <c r="D94" i="7"/>
  <c r="D93" i="7"/>
  <c r="D92" i="7"/>
  <c r="D91" i="7"/>
  <c r="D90" i="7"/>
  <c r="D89" i="7"/>
  <c r="D88" i="7"/>
  <c r="D87" i="7"/>
  <c r="D86" i="7"/>
  <c r="D85" i="7"/>
  <c r="D84" i="7"/>
  <c r="D83" i="7"/>
  <c r="D82" i="7"/>
  <c r="D81" i="7"/>
  <c r="D80" i="7"/>
  <c r="D79" i="7"/>
  <c r="D78" i="7"/>
  <c r="D77" i="7"/>
  <c r="D76" i="7"/>
  <c r="D75" i="7"/>
  <c r="D74" i="7"/>
  <c r="D73" i="7"/>
  <c r="D72" i="7"/>
  <c r="D71" i="7"/>
  <c r="D70" i="7"/>
  <c r="D69" i="7"/>
  <c r="D68" i="7"/>
  <c r="D67" i="7"/>
  <c r="D66" i="7"/>
  <c r="D65" i="7"/>
  <c r="D64" i="7"/>
  <c r="D63" i="7"/>
  <c r="D62" i="7"/>
  <c r="D61" i="7"/>
  <c r="D60" i="7"/>
  <c r="D59" i="7"/>
  <c r="D58" i="7"/>
  <c r="D57" i="7"/>
  <c r="D56" i="7"/>
  <c r="D55" i="7"/>
  <c r="D54" i="7"/>
  <c r="D53" i="7"/>
  <c r="D52" i="7"/>
  <c r="D51" i="7"/>
  <c r="D50" i="7"/>
  <c r="D49" i="7"/>
  <c r="D48" i="7"/>
  <c r="D47" i="7"/>
  <c r="D46" i="7"/>
  <c r="D45" i="7"/>
  <c r="D44" i="7"/>
  <c r="D43" i="7"/>
  <c r="D42" i="7"/>
  <c r="D41" i="7"/>
  <c r="D40" i="7"/>
  <c r="D39" i="7"/>
  <c r="D38" i="7"/>
  <c r="D37" i="7"/>
  <c r="D36" i="7"/>
  <c r="D35" i="7"/>
  <c r="D34" i="7"/>
  <c r="D33" i="7"/>
  <c r="D32" i="7"/>
  <c r="D31" i="7"/>
  <c r="D30" i="7"/>
  <c r="D29" i="7"/>
  <c r="D28" i="7"/>
  <c r="D27" i="7"/>
  <c r="D26" i="7"/>
  <c r="D25" i="7"/>
  <c r="D24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D9" i="7"/>
  <c r="G8" i="7"/>
  <c r="D8" i="7"/>
  <c r="G7" i="7"/>
  <c r="D7" i="7"/>
  <c r="G6" i="7"/>
  <c r="D6" i="7"/>
  <c r="G5" i="7"/>
  <c r="G4" i="7" s="1"/>
  <c r="G9" i="7" s="1"/>
  <c r="D5" i="7"/>
  <c r="D4" i="7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G8" i="6"/>
  <c r="D8" i="6"/>
  <c r="G7" i="6"/>
  <c r="D7" i="6"/>
  <c r="G6" i="6"/>
  <c r="D6" i="6"/>
  <c r="G5" i="6"/>
  <c r="G4" i="6" s="1"/>
  <c r="D5" i="6"/>
  <c r="D4" i="6"/>
  <c r="N13" i="2"/>
  <c r="P13" i="2" s="1"/>
  <c r="P12" i="2"/>
  <c r="N12" i="2"/>
  <c r="N11" i="2"/>
  <c r="P11" i="2" s="1"/>
  <c r="P10" i="2"/>
  <c r="N10" i="2"/>
  <c r="N7" i="2"/>
  <c r="P7" i="2" s="1"/>
  <c r="P6" i="2"/>
  <c r="N6" i="2"/>
  <c r="N5" i="2"/>
  <c r="P5" i="2" s="1"/>
  <c r="N4" i="2"/>
  <c r="P4" i="2" s="1"/>
  <c r="K3" i="16" l="1"/>
  <c r="K4" i="16"/>
  <c r="K5" i="16"/>
  <c r="K6" i="16"/>
  <c r="K7" i="16"/>
  <c r="G10" i="7"/>
  <c r="G11" i="7" s="1"/>
  <c r="G9" i="6"/>
  <c r="J7" i="16"/>
  <c r="J6" i="16"/>
  <c r="J5" i="16"/>
  <c r="G10" i="6"/>
  <c r="J4" i="16"/>
  <c r="J3" i="16"/>
  <c r="G11" i="6" l="1"/>
</calcChain>
</file>

<file path=xl/sharedStrings.xml><?xml version="1.0" encoding="utf-8"?>
<sst xmlns="http://schemas.openxmlformats.org/spreadsheetml/2006/main" count="4213" uniqueCount="589">
  <si>
    <t>Supplementary File S5 — Pilot Coding and Inter-Rater Reliability Procedures</t>
  </si>
  <si>
    <t>Item</t>
  </si>
  <si>
    <t>Procedure / rule</t>
  </si>
  <si>
    <t>Purpose</t>
  </si>
  <si>
    <t>Document the 25-study pilot-coding sample, independent reviewer forms, disagreement/refinement process, and inter-rater reliability calculations described in Section 3.8.</t>
  </si>
  <si>
    <t>Integrity rule</t>
  </si>
  <si>
    <t>Pilot sample</t>
  </si>
  <si>
    <t>Maximum-variation stratified purposive sample of 25 eligible studies. It stress-tests the codebook rather than estimating population proportions.</t>
  </si>
  <si>
    <t>Coverage</t>
  </si>
  <si>
    <t>All four engineering domains, four publication periods, multiple architectures, contribution types, evaluation methods, and low/high or non-applicable maturity cases.</t>
  </si>
  <si>
    <t>Screening reliability</t>
  </si>
  <si>
    <t>Title/abstract and full-text screening require separate reliability samples containing both Include and Exclude decisions. The 25 eligible pilot studies cannot be used to estimate binary screening kappa.</t>
  </si>
  <si>
    <t>Nominal variables</t>
  </si>
  <si>
    <t>Use raw agreement and Cohen’s kappa for binary/nominal primary decisions.</t>
  </si>
  <si>
    <t>Multi-label variables</t>
  </si>
  <si>
    <t>Use per-label binary Cohen’s kappa and Jaccard agreement for ED, RT, CT, LC, and EV.</t>
  </si>
  <si>
    <t>Ordinal variables</t>
  </si>
  <si>
    <t>Use weighted kappa for EM and reviewer-inferred TRL. For TRL ranges, assess lower and upper bounds separately; do not collapse to a midpoint.</t>
  </si>
  <si>
    <t>Weighting</t>
  </si>
  <si>
    <t>This supplement records both linear and quadratic weighted-kappa procedures. The manuscript must pre-specify which weighting is primary before final analysis.</t>
  </si>
  <si>
    <t>Targets</t>
  </si>
  <si>
    <t>Study-specific targets: ≥80% raw agreement and kappa ≥0.70 for core variables.</t>
  </si>
  <si>
    <t>Below-target response</t>
  </si>
  <si>
    <t>Inspect disagreement cases, refine definitions/decision rules, independently recode the pilot, recalculate agreement, and use third-reviewer adjudication only for unresolved cases.</t>
  </si>
  <si>
    <t>Reporting rule</t>
  </si>
  <si>
    <t>Stratified Pilot-Coding Sample (25 Eligible Studies)</t>
  </si>
  <si>
    <t>Pilot ID</t>
  </si>
  <si>
    <t>Study ID</t>
  </si>
  <si>
    <t>Year</t>
  </si>
  <si>
    <t>Title</t>
  </si>
  <si>
    <t>Engineering stratum</t>
  </si>
  <si>
    <t>Period</t>
  </si>
  <si>
    <t>Architecture/context</t>
  </si>
  <si>
    <t>Contribution stratum</t>
  </si>
  <si>
    <t>Evaluation stratum</t>
  </si>
  <si>
    <t>Maturity coverage</t>
  </si>
  <si>
    <t>Selection rationale</t>
  </si>
  <si>
    <t>Domain</t>
  </si>
  <si>
    <t>Count</t>
  </si>
  <si>
    <t>Target</t>
  </si>
  <si>
    <t>Status</t>
  </si>
  <si>
    <t>P01</t>
  </si>
  <si>
    <t>PS001</t>
  </si>
  <si>
    <t>BLOCKBENCH: A Framework for Analyzing Private Blockchains</t>
  </si>
  <si>
    <t>ED1</t>
  </si>
  <si>
    <t>2016–2019</t>
  </si>
  <si>
    <t>Private / permissioned</t>
  </si>
  <si>
    <t>Framework; benchmark</t>
  </si>
  <si>
    <t>Benchmark + controlled experiment</t>
  </si>
  <si>
    <t>Realistic experimental evidence</t>
  </si>
  <si>
    <t>Foundational performance benchmark.</t>
  </si>
  <si>
    <t>P02</t>
  </si>
  <si>
    <t>PS004</t>
  </si>
  <si>
    <t>Reputation-Based Coalition Formation for Secure Self-Organized and Scalable Sharding in IoT Blockchains With Mobile-Edge Computing</t>
  </si>
  <si>
    <t>2020–2022</t>
  </si>
  <si>
    <t>IoT / edge / sharding</t>
  </si>
  <si>
    <t>Architecture; algorithm</t>
  </si>
  <si>
    <t>Simulation</t>
  </si>
  <si>
    <t>Low–mid maturity</t>
  </si>
  <si>
    <t>Tests simulation and hybrid-context boundaries.</t>
  </si>
  <si>
    <t>ED2</t>
  </si>
  <si>
    <t>P03</t>
  </si>
  <si>
    <t>PS010</t>
  </si>
  <si>
    <t>A Vehicular Trust Blockchain Framework With Scalable Byzantine Consensus</t>
  </si>
  <si>
    <t>2023–2024</t>
  </si>
  <si>
    <t>Vehicular / multi-shard</t>
  </si>
  <si>
    <t>Framework; protocol</t>
  </si>
  <si>
    <t>Controlled testbed</t>
  </si>
  <si>
    <t>Mid maturity</t>
  </si>
  <si>
    <t>Tests protocol/framework overlap and realistic testbed coding.</t>
  </si>
  <si>
    <t>ED3</t>
  </si>
  <si>
    <t>P04</t>
  </si>
  <si>
    <t>PS013</t>
  </si>
  <si>
    <t>Lightweight, geo-scalable deterministic blockchain design for 5G networks sliced applications with hierarchical CFT/BFT consensus groups, IPFS and novel hardware design</t>
  </si>
  <si>
    <t>5G / IPFS hybrid</t>
  </si>
  <si>
    <t>Architecture; proof of concept</t>
  </si>
  <si>
    <t>5G testbed + benchmark</t>
  </si>
  <si>
    <t>Complex hybrid architecture and lifecycle coding.</t>
  </si>
  <si>
    <t>ED4</t>
  </si>
  <si>
    <t>P05</t>
  </si>
  <si>
    <t>PS019</t>
  </si>
  <si>
    <t>JUMBO: Fully Asynchronous BFT Consensus Made Truly Scalable</t>
  </si>
  <si>
    <t>2025–2026</t>
  </si>
  <si>
    <t>BFT blockchain consensus</t>
  </si>
  <si>
    <t>Protocol; algorithm</t>
  </si>
  <si>
    <t>Large-scale AWS experiments</t>
  </si>
  <si>
    <t>Recent formal + large-scale empirical protocol.</t>
  </si>
  <si>
    <t>P06</t>
  </si>
  <si>
    <t>PS025</t>
  </si>
  <si>
    <t>A Novel Dual-Layer Multi-Shard Blockchain Architecture for Vehicle Data Sharing</t>
  </si>
  <si>
    <t>Architecture; protocol</t>
  </si>
  <si>
    <t>Veins + MATLAB simulation</t>
  </si>
  <si>
    <t>Tests simulation versus readiness boundaries.</t>
  </si>
  <si>
    <t>Minimum</t>
  </si>
  <si>
    <t>P07</t>
  </si>
  <si>
    <t>PS026</t>
  </si>
  <si>
    <t>Atomic Cross-Chain Swaps</t>
  </si>
  <si>
    <t>Public heterogeneous chains</t>
  </si>
  <si>
    <t>Protocol; formal model</t>
  </si>
  <si>
    <t>Formal/theoretical</t>
  </si>
  <si>
    <t>Conceptual / proof</t>
  </si>
  <si>
    <t>Low-maturity cross-chain formal protocol.</t>
  </si>
  <si>
    <t>P08</t>
  </si>
  <si>
    <t>PS027</t>
  </si>
  <si>
    <t>HyperService: Interoperability and Programmability Across Heterogeneous Blockchains</t>
  </si>
  <si>
    <t>Heterogeneous cross-chain</t>
  </si>
  <si>
    <t>Framework; tool; protocol</t>
  </si>
  <si>
    <t>Prototype + experiment</t>
  </si>
  <si>
    <t>Realistic prototype</t>
  </si>
  <si>
    <t>Complex multi-contribution interoperability study.</t>
  </si>
  <si>
    <t>P09</t>
  </si>
  <si>
    <t>PS028</t>
  </si>
  <si>
    <t>XCLAIM: Trustless, Interoperable, Cryptocurrency-Backed Assets</t>
  </si>
  <si>
    <t>Bitcoin–Ethereum</t>
  </si>
  <si>
    <t>Implemented cross-chain evaluation</t>
  </si>
  <si>
    <t>Formal security plus implemented cross-chain evidence.</t>
  </si>
  <si>
    <t>P10</t>
  </si>
  <si>
    <t>PS030</t>
  </si>
  <si>
    <t>Towards Cross-Blockchain Smart Contracts</t>
  </si>
  <si>
    <t>Cross-chain smart contracts</t>
  </si>
  <si>
    <t>Framework; tool</t>
  </si>
  <si>
    <t>Live testnet proof of concept</t>
  </si>
  <si>
    <t>Laboratory / realistic</t>
  </si>
  <si>
    <t>Tests testnet-versus-operational boundary.</t>
  </si>
  <si>
    <t>P11</t>
  </si>
  <si>
    <t>PS035</t>
  </si>
  <si>
    <t>Automated Gateways: A Smart Contract-Powered Solution for Interoperability Across Blockchains</t>
  </si>
  <si>
    <t>Fabric cross-network</t>
  </si>
  <si>
    <t>Production-mode cloud testbed</t>
  </si>
  <si>
    <t>Realistic experimental</t>
  </si>
  <si>
    <t>Enterprise-style interoperability context.</t>
  </si>
  <si>
    <t>P12</t>
  </si>
  <si>
    <t>PS038</t>
  </si>
  <si>
    <t>EquiLink Bridge: A Semi-Custodial Approach to Cross-Chain Transactions via TEE</t>
  </si>
  <si>
    <t>Bridge + trusted execution</t>
  </si>
  <si>
    <t>Protocol; bridge; tool</t>
  </si>
  <si>
    <t>Cloud/SGX + attack tests</t>
  </si>
  <si>
    <t>Security/privacy and cross-chain boundary case.</t>
  </si>
  <si>
    <t>P13</t>
  </si>
  <si>
    <t>PS042</t>
  </si>
  <si>
    <t>Blockchain-Oriented Software Engineering: Challenges and New Directions</t>
  </si>
  <si>
    <t>Software repositories</t>
  </si>
  <si>
    <t>Empirical evidence; agenda</t>
  </si>
  <si>
    <t>Repository mining</t>
  </si>
  <si>
    <t>EM applicability stress</t>
  </si>
  <si>
    <t>Tests empirical evidence versus technology maturity.</t>
  </si>
  <si>
    <t>P14</t>
  </si>
  <si>
    <t>PS043</t>
  </si>
  <si>
    <t>Understanding the Motivations, Challenges and Needs of Blockchain Software Developers: A Survey</t>
  </si>
  <si>
    <t>Developer practice</t>
  </si>
  <si>
    <t>Empirical evidence</t>
  </si>
  <si>
    <t>Developer survey</t>
  </si>
  <si>
    <t>Tests practitioner evidence and maturity applicability.</t>
  </si>
  <si>
    <t>P15</t>
  </si>
  <si>
    <t>PS044</t>
  </si>
  <si>
    <t>ABCDE—Agile Block Chain DApp Engineering</t>
  </si>
  <si>
    <t>DApp lifecycle</t>
  </si>
  <si>
    <t>Method; process</t>
  </si>
  <si>
    <t>Case + developer survey</t>
  </si>
  <si>
    <t>Tests lifecycle multi-label coding.</t>
  </si>
  <si>
    <t>P16</t>
  </si>
  <si>
    <t>PS045</t>
  </si>
  <si>
    <t>ChainIDE 2.0: Facilitating Smart Contract Development for Consortium Blockchain</t>
  </si>
  <si>
    <t>Cloud IDE / multichain</t>
  </si>
  <si>
    <t>Tool</t>
  </si>
  <si>
    <t>Operational service statistics</t>
  </si>
  <si>
    <t>Operational stress case</t>
  </si>
  <si>
    <t>Tests operational evidence and TRL scope.</t>
  </si>
  <si>
    <t>P17</t>
  </si>
  <si>
    <t>PS048</t>
  </si>
  <si>
    <t>Integrated Model-Driven Engineering of Blockchain Applications for Business Processes and Asset Management</t>
  </si>
  <si>
    <t>Enterprise process / assets</t>
  </si>
  <si>
    <t>Method; tool; framework</t>
  </si>
  <si>
    <t>Case studies + correctness/cost</t>
  </si>
  <si>
    <t>Industry/government-derived cases.</t>
  </si>
  <si>
    <t>P18</t>
  </si>
  <si>
    <t>PS059</t>
  </si>
  <si>
    <t>Characterizing Smart Contract Evolution</t>
  </si>
  <si>
    <t>Maintenance / evolution</t>
  </si>
  <si>
    <t>Empirical evidence; algorithm</t>
  </si>
  <si>
    <t>Repository/on-chain + survey</t>
  </si>
  <si>
    <t>Tests LC7 and mixed empirical methods.</t>
  </si>
  <si>
    <t>P19</t>
  </si>
  <si>
    <t>PS065</t>
  </si>
  <si>
    <t>Making Smart Contracts Smarter</t>
  </si>
  <si>
    <t>Ethereum assurance</t>
  </si>
  <si>
    <t>Tool; method</t>
  </si>
  <si>
    <t>Large-corpus security analysis</t>
  </si>
  <si>
    <t>Foundational vulnerability analysis.</t>
  </si>
  <si>
    <t>P20</t>
  </si>
  <si>
    <t>PS066</t>
  </si>
  <si>
    <t>Securify: Practical Security Analysis of Smart Contracts</t>
  </si>
  <si>
    <t>Real-world contract analysis</t>
  </si>
  <si>
    <t>Practice-oriented</t>
  </si>
  <si>
    <t>Tests tool evaluation and readiness boundary.</t>
  </si>
  <si>
    <t>P21</t>
  </si>
  <si>
    <t>PS067</t>
  </si>
  <si>
    <t>ZEUS: Analyzing Safety of Smart Contracts</t>
  </si>
  <si>
    <t>Ethereum / Fabric verification</t>
  </si>
  <si>
    <t>Framework; tool; method</t>
  </si>
  <si>
    <t>Large-corpus formal analysis</t>
  </si>
  <si>
    <t>Cross-platform formal verification.</t>
  </si>
  <si>
    <t>P22</t>
  </si>
  <si>
    <t>PS082</t>
  </si>
  <si>
    <t>Correct-by-Design Interacting Smart Contracts and a Systematic Approach for Verifying ERC20 and ERC721 Contracts With VeriSolid</t>
  </si>
  <si>
    <t>Ethereum verification</t>
  </si>
  <si>
    <t>Method; tool</t>
  </si>
  <si>
    <t>Formal verification + deployed contracts</t>
  </si>
  <si>
    <t>Tests verification plus deployment workflow.</t>
  </si>
  <si>
    <t>P23</t>
  </si>
  <si>
    <t>PS087</t>
  </si>
  <si>
    <t>Smart Contract Vulnerability Detection Techniques for Hyperledger Fabric</t>
  </si>
  <si>
    <t>Fabric chaincode</t>
  </si>
  <si>
    <t>Limited technical evaluation</t>
  </si>
  <si>
    <t>Low maturity</t>
  </si>
  <si>
    <t>Deliberately weaker evaluation for boundary testing.</t>
  </si>
  <si>
    <t>P24</t>
  </si>
  <si>
    <t>PS089</t>
  </si>
  <si>
    <t>SGDL: Smart Contract Vulnerability Generation via Deep Learning</t>
  </si>
  <si>
    <t>Ethereum testing</t>
  </si>
  <si>
    <t>Tool; dataset; method</t>
  </si>
  <si>
    <t>Benchmark + comparison</t>
  </si>
  <si>
    <t>Tests tool/dataset/method multi-label coding.</t>
  </si>
  <si>
    <t>P25</t>
  </si>
  <si>
    <t>PS093</t>
  </si>
  <si>
    <t>VULSEYE: Detect Smart Contract Vulnerabilities via Stateful Directed Graybox Fuzzing</t>
  </si>
  <si>
    <t>Ethereum / DApps</t>
  </si>
  <si>
    <t>Controlled + large real-world evaluation</t>
  </si>
  <si>
    <t>High realistic evidence</t>
  </si>
  <si>
    <t>Recent high-evidence fuzzing study.</t>
  </si>
  <si>
    <t>Controlled Codes — Use Supplementary File S3 for Definitions</t>
  </si>
  <si>
    <t>ED</t>
  </si>
  <si>
    <t>RT</t>
  </si>
  <si>
    <t>CT</t>
  </si>
  <si>
    <t>LC</t>
  </si>
  <si>
    <t>EV</t>
  </si>
  <si>
    <t>EM</t>
  </si>
  <si>
    <t>EM applicability</t>
  </si>
  <si>
    <t>TRL scope</t>
  </si>
  <si>
    <t>Binary</t>
  </si>
  <si>
    <t>Screening</t>
  </si>
  <si>
    <t>RT1</t>
  </si>
  <si>
    <t>CT1</t>
  </si>
  <si>
    <t>LC1</t>
  </si>
  <si>
    <t>EV0</t>
  </si>
  <si>
    <t>EM0</t>
  </si>
  <si>
    <t>Applicable</t>
  </si>
  <si>
    <t>Component/Subsystem</t>
  </si>
  <si>
    <t>0</t>
  </si>
  <si>
    <t>Include</t>
  </si>
  <si>
    <t>RT2</t>
  </si>
  <si>
    <t>CT2</t>
  </si>
  <si>
    <t>LC2</t>
  </si>
  <si>
    <t>EV1</t>
  </si>
  <si>
    <t>EM1</t>
  </si>
  <si>
    <t>Not applicable</t>
  </si>
  <si>
    <t>Integrated System</t>
  </si>
  <si>
    <t>1</t>
  </si>
  <si>
    <t>Exclude</t>
  </si>
  <si>
    <t>RT3</t>
  </si>
  <si>
    <t>CT3</t>
  </si>
  <si>
    <t>LC3</t>
  </si>
  <si>
    <t>EV2</t>
  </si>
  <si>
    <t>EM2</t>
  </si>
  <si>
    <t>UNC</t>
  </si>
  <si>
    <t>RT4</t>
  </si>
  <si>
    <t>CT4</t>
  </si>
  <si>
    <t>LC4</t>
  </si>
  <si>
    <t>EV3</t>
  </si>
  <si>
    <t>EM3</t>
  </si>
  <si>
    <t>RT5</t>
  </si>
  <si>
    <t>CT5</t>
  </si>
  <si>
    <t>LC5</t>
  </si>
  <si>
    <t>EV4</t>
  </si>
  <si>
    <t>EM4</t>
  </si>
  <si>
    <t>RT6</t>
  </si>
  <si>
    <t>CT6</t>
  </si>
  <si>
    <t>LC6</t>
  </si>
  <si>
    <t>EV5</t>
  </si>
  <si>
    <t>EM5</t>
  </si>
  <si>
    <t>CT7</t>
  </si>
  <si>
    <t>LC7</t>
  </si>
  <si>
    <t>EV6</t>
  </si>
  <si>
    <t>EM6</t>
  </si>
  <si>
    <t>CT8</t>
  </si>
  <si>
    <t>LC8</t>
  </si>
  <si>
    <t>EV7</t>
  </si>
  <si>
    <t>EM7</t>
  </si>
  <si>
    <t>CT9</t>
  </si>
  <si>
    <t>EV8</t>
  </si>
  <si>
    <t>CT10</t>
  </si>
  <si>
    <t>EV9</t>
  </si>
  <si>
    <t>CT11</t>
  </si>
  <si>
    <t>EV10</t>
  </si>
  <si>
    <t>CT12</t>
  </si>
  <si>
    <t>EV11</t>
  </si>
  <si>
    <t>ED primary</t>
  </si>
  <si>
    <t>ED additional</t>
  </si>
  <si>
    <t>RT primary</t>
  </si>
  <si>
    <t>RT additional</t>
  </si>
  <si>
    <t>CT primary</t>
  </si>
  <si>
    <t>CT additional</t>
  </si>
  <si>
    <t>LC primary</t>
  </si>
  <si>
    <t>LC additional</t>
  </si>
  <si>
    <t>EV primary</t>
  </si>
  <si>
    <t>EV additional</t>
  </si>
  <si>
    <t>EM code</t>
  </si>
  <si>
    <t>TRL lower</t>
  </si>
  <si>
    <t>TRL upper</t>
  </si>
  <si>
    <t>Ambiguity / notes</t>
  </si>
  <si>
    <t>Evidence page(s)</t>
  </si>
  <si>
    <t>Title-and-Abstract Screening Reliability</t>
  </si>
  <si>
    <t>Record ID</t>
  </si>
  <si>
    <t>Reviewer 1</t>
  </si>
  <si>
    <t>Reviewer 2</t>
  </si>
  <si>
    <t>Agreement?</t>
  </si>
  <si>
    <t>Metric</t>
  </si>
  <si>
    <t>Value</t>
  </si>
  <si>
    <t>Paired N</t>
  </si>
  <si>
    <t>Both Include</t>
  </si>
  <si>
    <t>R1 Include/R2 Exclude</t>
  </si>
  <si>
    <t>R1 Exclude/R2 Include</t>
  </si>
  <si>
    <t>Both Exclude</t>
  </si>
  <si>
    <t>Raw agreement</t>
  </si>
  <si>
    <t>Expected agreement</t>
  </si>
  <si>
    <t>Cohen kappa</t>
  </si>
  <si>
    <t>Raw target</t>
  </si>
  <si>
    <t>Kappa target</t>
  </si>
  <si>
    <t>Full-Text Eligibility Reliability</t>
  </si>
  <si>
    <t>Multi-Label Reliability — Per-Label Binary Kappa and Jaccard Procedure</t>
  </si>
  <si>
    <t>Facet</t>
  </si>
  <si>
    <t>Label</t>
  </si>
  <si>
    <t>N</t>
  </si>
  <si>
    <t>1/1</t>
  </si>
  <si>
    <t>1/0</t>
  </si>
  <si>
    <t>0/1</t>
  </si>
  <si>
    <t>0/0</t>
  </si>
  <si>
    <t>Binary kappa</t>
  </si>
  <si>
    <t>≥0.70</t>
  </si>
  <si>
    <t>Jaccard reporting</t>
  </si>
  <si>
    <t>Formula</t>
  </si>
  <si>
    <t>Interpretation</t>
  </si>
  <si>
    <t>Recommendation</t>
  </si>
  <si>
    <t>Per-study/facet</t>
  </si>
  <si>
    <t>intersection / union</t>
  </si>
  <si>
    <t>0=no shared labels; 1=identical non-empty sets</t>
  </si>
  <si>
    <t>Report distribution or mean/median by facet</t>
  </si>
  <si>
    <t>Both sets empty</t>
  </si>
  <si>
    <t>NA</t>
  </si>
  <si>
    <t>No substantive label was assigned by either reviewer</t>
  </si>
  <si>
    <t>Do not count this as perfect agreement</t>
  </si>
  <si>
    <t>Use with kappa</t>
  </si>
  <si>
    <t>Complementary</t>
  </si>
  <si>
    <t>Jaccard captures set overlap; per-label kappa adjusts for chance</t>
  </si>
  <si>
    <t>Report both for multi-label variables</t>
  </si>
  <si>
    <t>Ordinal Reliability — Evidence Maturity and Reviewer-Inferred TRL</t>
  </si>
  <si>
    <t>Variable</t>
  </si>
  <si>
    <t>Categories</t>
  </si>
  <si>
    <t>Agreement statistic</t>
  </si>
  <si>
    <t>Primary calculation unit</t>
  </si>
  <si>
    <t>Decision rule</t>
  </si>
  <si>
    <t>Reporting note</t>
  </si>
  <si>
    <t>Evidence maturity</t>
  </si>
  <si>
    <t>EM0–EM7</t>
  </si>
  <si>
    <t>Weighted Cohen kappa</t>
  </si>
  <si>
    <t>One EM level per applicable study</t>
  </si>
  <si>
    <t>Compare only paired applicable EM codes</t>
  </si>
  <si>
    <t>Reviewer-inferred TRL lower bound</t>
  </si>
  <si>
    <t>1–9</t>
  </si>
  <si>
    <t>Lower bound of reviewer range</t>
  </si>
  <si>
    <t>Compare lower bounds separately</t>
  </si>
  <si>
    <t>Reviewer-inferred TRL upper bound</t>
  </si>
  <si>
    <t>Upper bound of reviewer range</t>
  </si>
  <si>
    <t>Compare upper bounds separately</t>
  </si>
  <si>
    <t>Weight formula</t>
  </si>
  <si>
    <t>Use</t>
  </si>
  <si>
    <t>Linear</t>
  </si>
  <si>
    <t>w_ij = 1 - |i-j|/(k-1)</t>
  </si>
  <si>
    <t>Penalizes disagreement in direct proportion to category distance</t>
  </si>
  <si>
    <t>Available</t>
  </si>
  <si>
    <t>Quadratic</t>
  </si>
  <si>
    <t>w_ij = 1 - (|i-j|/(k-1))^2</t>
  </si>
  <si>
    <t>Penalizes large category disagreements more strongly</t>
  </si>
  <si>
    <t>Weighted kappa equation</t>
  </si>
  <si>
    <t>Observed weighted agreement</t>
  </si>
  <si>
    <t>Expected weighted agreement</t>
  </si>
  <si>
    <t>Pre-specification rule</t>
  </si>
  <si>
    <t>κw = (P_o,w - P_e,w) / (1 - P_e,w)</t>
  </si>
  <si>
    <t>P_o,w = Σ_i Σ_j w_ij p_ij</t>
  </si>
  <si>
    <t>P_e,w = Σ_i Σ_j w_ij p_i. p_.j</t>
  </si>
  <si>
    <t>Choose and state the primary weighting before seeing the final reliability results.</t>
  </si>
  <si>
    <t>Pilot-Codebook Refinement Log</t>
  </si>
  <si>
    <t>Round</t>
  </si>
  <si>
    <t>Date</t>
  </si>
  <si>
    <t>Study ID(s)</t>
  </si>
  <si>
    <t>Facet/variable</t>
  </si>
  <si>
    <t>Ambiguous case / disagreement</t>
  </si>
  <si>
    <t>Original rule</t>
  </si>
  <si>
    <t>Revised rule / clarification</t>
  </si>
  <si>
    <t>Change type</t>
  </si>
  <si>
    <t>Reason</t>
  </si>
  <si>
    <t>Earlier studies affected?</t>
  </si>
  <si>
    <t>Recoding completed?</t>
  </si>
  <si>
    <t>Protocol-deviation ref</t>
  </si>
  <si>
    <t>Disagreement and Third-Reviewer Adjudication Log</t>
  </si>
  <si>
    <t>Reviewer 1 code</t>
  </si>
  <si>
    <t>Reviewer 2 code</t>
  </si>
  <si>
    <t>R1 rationale</t>
  </si>
  <si>
    <t>R2 rationale</t>
  </si>
  <si>
    <t>Consensus reached?</t>
  </si>
  <si>
    <t>Consensus code</t>
  </si>
  <si>
    <t>Third reviewer?</t>
  </si>
  <si>
    <t>Third-reviewer decision</t>
  </si>
  <si>
    <t>Resolution note</t>
  </si>
  <si>
    <t>Inter-Rater Reliability Reporting Summary</t>
  </si>
  <si>
    <t>Method</t>
  </si>
  <si>
    <t>Sample / N</t>
  </si>
  <si>
    <t>Kappa / Jaccard</t>
  </si>
  <si>
    <t>Additional round?</t>
  </si>
  <si>
    <t>Final manuscript value</t>
  </si>
  <si>
    <t>Notes</t>
  </si>
  <si>
    <t>Pilot Coding and Reliability Reporting Checklist</t>
  </si>
  <si>
    <t>Required disclosure</t>
  </si>
  <si>
    <t>Completed?</t>
  </si>
  <si>
    <t>Location / note</t>
  </si>
  <si>
    <t>Jaccard Agreement for Multi-Label Facets</t>
  </si>
  <si>
    <t>ED Jaccard</t>
  </si>
  <si>
    <t>RT Jaccard</t>
  </si>
  <si>
    <t>CT Jaccard</t>
  </si>
  <si>
    <t>LC Jaccard</t>
  </si>
  <si>
    <t>EV Jaccard</t>
  </si>
  <si>
    <t>Mean Jaccard</t>
  </si>
  <si>
    <t>N non-empty</t>
  </si>
  <si>
    <t>Report with per-label binary kappa; empty/empty sets are excluded (NA), not treated as perfect agreement.</t>
  </si>
  <si>
    <t>Current workbook completion uses finalized S3 Reviewer-1 coding plus AI-assisted second-pass evidence verification for Reviewer-2 fields. These R2 values are NOT blind independent human coding and must not be reported as formal inter-rater-reliability results until human Reviewer 2 independently codes/signs off.</t>
  </si>
  <si>
    <t>Report formal reliability by variable/facet only after independent human Reviewer-2 coding. Verification-only agreement values in this completed workbook are descriptive workflow checks, not manuscript IRR estimates.</t>
  </si>
  <si>
    <t>Coverage summary</t>
  </si>
  <si>
    <t>Pilot coding status</t>
  </si>
  <si>
    <t>R1 final S3 recode populated</t>
  </si>
  <si>
    <t>R2 verification populated</t>
  </si>
  <si>
    <t>Human independent R2 pending</t>
  </si>
  <si>
    <t>Formal IRR pending</t>
  </si>
  <si>
    <t>Not supplied</t>
  </si>
  <si>
    <t>Pending</t>
  </si>
  <si>
    <t>Pilot Coding — Reviewer 1 (Final S3 Recode)</t>
  </si>
  <si>
    <t>Values are populated from the finalized S3 Classification_Coding for the 25-study pilot sample.</t>
  </si>
  <si>
    <t>—</t>
  </si>
  <si>
    <t>Final S3 pilot recode using the current decision rules.</t>
  </si>
  <si>
    <t>pp. 1–2, Abstract/Introduction; pp. 4–7, Section 3; pp. 7–12, Sections 4–5; pp. 6–8, Sections 3.4–4; pp. 6–12, Sections 3.4–5; pp. 8–12, Sections 4–5; pp. 12–13, Discussion/Conclusion; pp. 1, 13, Abstract/References</t>
  </si>
  <si>
    <t>CT1; CT4</t>
  </si>
  <si>
    <t>LC3; LC4</t>
  </si>
  <si>
    <t>pp. 1–3, Abstract/Introduction; pp. 3–15, Sections III–V; pp. 15–19, Sections V–VI; pp. 15–16, Section VI-A; pp. 17–19, Section VI; pp. 15–19, Section VI; p. 1 and pp. 15–19</t>
  </si>
  <si>
    <t>CT4; CT6</t>
  </si>
  <si>
    <t>pp. 1–2, Abstract/Introduction; pp. 2–10, Sections II–V; pp. 10–12, Section VI; pp. 10–11, Section VI; pp. 11–12, Sections VII–VIII; pp. 10–12</t>
  </si>
  <si>
    <t>pp. 1–2, Abstract/Introduction; pp. 2–14, Sections 1–4; pp. 14–20, Section 5; p. 14, Experimental setup; pp. 15–20, Section 5; p. 26, Section 7; pp. 14–20, 26</t>
  </si>
  <si>
    <t>pp. 1–3, Introduction; pp. 3–15, protocol sections; pp. 15–17, Section VII; pp. 15–16, experimental setup; pp. 16–17, Section VII; pp. 15–17; artifact references and supplementary material</t>
  </si>
  <si>
    <t>pp. 1–3; pp. 2–13; pp. 13–17, Section VI; pp. 13–14; pp. 14–17; pp. 13–17</t>
  </si>
  <si>
    <t>pp. 1–3, Motivation/Contributions; pp. 3–8, model/protocol; pp. 3–9; pp. 5–9; pp. 2–10</t>
  </si>
  <si>
    <t>pp. 1–2, Introduction; pp. 2–11; pp. 11–13, evaluation; p. 12, setup; pp. 12–13; pp. 11–13; artifact/reference section</t>
  </si>
  <si>
    <t>pp. 1–2, Introduction; pp. 2–11; pp. 11–12, Section VIII; p. 11, implementation/evaluation; p. 12; pp. 11–13; pp. 11–12</t>
  </si>
  <si>
    <t>pp. 2–3, Introduction; pp. 4–9; pp. 9–10, Section VI; p. 10, Section VI; pp. 10–11; pp. 9–11</t>
  </si>
  <si>
    <t>CT6; CT7</t>
  </si>
  <si>
    <t>pp. 1–2; pp. 3–6; pp. 6–7; p. 6, Section IV-A/B; pp. 6–8; p. 6, footnote 1</t>
  </si>
  <si>
    <t>pp. 1–2; pp. 4–9; pp. 9–13; pp. 10–12; pp. 9–12; pp. 10–13; p. 2, contributions/artifact</t>
  </si>
  <si>
    <t>LC2; LC3; LC4</t>
  </si>
  <si>
    <t>Final S3 pilot recode using the current decision rules. EM is not applicable because the study does not evaluate a demonstrable technology/system/intervention.</t>
  </si>
  <si>
    <t>pp. 1–2; pp. 2–3; pp. 3–4; p. 3, Section IV</t>
  </si>
  <si>
    <t>pp. 1–7; methodology sections; methodology/demographics sections; methodology/results sections; results sections; discussion/conclusion; appendix/methodology</t>
  </si>
  <si>
    <t>LC2; LC3; LC4; LC5</t>
  </si>
  <si>
    <t>EV7; EV6</t>
  </si>
  <si>
    <t>pp. 1–2; pp. 2–10; pp. 4–15; pp. 10–15, Table 4/Section 5; p. 11, Table 4; pp. 10–16; pp. 4–16</t>
  </si>
  <si>
    <t>pp. 1–2; pp. 2–4; pp. 3–5; pp. 4–5; pp. 4–5, Tables I–II; pp. 2–5</t>
  </si>
  <si>
    <t>LC3; LC4; LC5</t>
  </si>
  <si>
    <t>pp. 1–3; pp. 3–16; pp. 17–24; pp. 17–23; pp. 20–24; pp. 23–24; pp. 15–24</t>
  </si>
  <si>
    <t>CT5; CT7</t>
  </si>
  <si>
    <t>pp. 1–4; pp. 3–18; pp. 4–18; pp. 4–16; pp. 7–17; pp. 11–18; pp. 18–20; p. 4</t>
  </si>
  <si>
    <t>Abstract; Sec. 1; Secs. 3–5; Sec. 6; Secs. 6–7; Abstract; Sec. 6; Secs. 1, 5–6</t>
  </si>
  <si>
    <t>RT2; RT1</t>
  </si>
  <si>
    <t>Abstract; Sec. 1; Secs. 3–6; Sec. 7; Secs. 1 and 7; Sec. 1; Abstract; Secs. 1 and 7</t>
  </si>
  <si>
    <t>Abstract; Sec. I; Secs. III–V; Sec. VI; Sec. VI-A; Abstract; Sec. VI; Secs. I and VI; full text</t>
  </si>
  <si>
    <t>CT7; CT10</t>
  </si>
  <si>
    <t>LC2; LC3</t>
  </si>
  <si>
    <t>PDF pp. 1–2; PDF pp. 2–9; PDF pp. 2–10; PDF pp. 13–16; PDF pp. 13–17; PDF pp. 2 and 18</t>
  </si>
  <si>
    <t>PDF pp. 1–2; PDF pp. 2–5; PDF pp. 5–6; PDF p. 6; PDF pp. 6–7; PDF pp. 2–6</t>
  </si>
  <si>
    <t>PDF pp. 1–2; PDF pp. 2–13; PDF pp. 7, 13–19; PDF pp. 7 and 13–19; PDF pp. 13–19; PDF pp. 14–20; PDF pp. 16–20; PDF pp. 13 and 22</t>
  </si>
  <si>
    <t>PDF pp. 1–4; PDF pp. 4–8; PDF pp. 6–9; PDF pp. 9–12; PDF pp. 11–13; PDF p. 2</t>
  </si>
  <si>
    <t>Pilot Coding — Reviewer 2 Evidence Verification (NOT Independent IRR Coding)</t>
  </si>
  <si>
    <t>AI-assisted second-pass evidence verification reproduces the finalized S3 coding. This is not blind independent human Reviewer-2 coding; human R2 sign-off is pending.</t>
  </si>
  <si>
    <t>AI-assisted second-pass evidence verification reproduces the finalized S3 coding. This is not blind independent human Reviewer-2 coding; human R2 sign-off is pending. EM not-applicable status was also verified from the recorded evidence.</t>
  </si>
  <si>
    <t>Not supplied 01</t>
  </si>
  <si>
    <t>Not supplied 02</t>
  </si>
  <si>
    <t>Not supplied 03</t>
  </si>
  <si>
    <t>Not supplied 04</t>
  </si>
  <si>
    <t>Not supplied 05</t>
  </si>
  <si>
    <t>Not supplied 06</t>
  </si>
  <si>
    <t>Not supplied 07</t>
  </si>
  <si>
    <t>Not supplied 08</t>
  </si>
  <si>
    <t>Not supplied 09</t>
  </si>
  <si>
    <t>Not supplied 10</t>
  </si>
  <si>
    <t>Pending independent sample</t>
  </si>
  <si>
    <t>Verification-only; not formal IRR</t>
  </si>
  <si>
    <t>Observed verification-only exact agreement = 1.00 across 23 EM-applicable pilot studies; not formal IRR.</t>
  </si>
  <si>
    <t>Observed verification-only exact agreement = 1.00 across 23 paired TRL lower bounds; not formal IRR.</t>
  </si>
  <si>
    <t>Observed verification-only exact agreement = 1.00 across 23 paired TRL upper bounds; not formal IRR.</t>
  </si>
  <si>
    <t>Not independently documented</t>
  </si>
  <si>
    <t>P01–P25</t>
  </si>
  <si>
    <t>All S3 facets / EM / TRL</t>
  </si>
  <si>
    <t>No independently documented post-pilot disagreement/refinement event was supplied in the current materials.</t>
  </si>
  <si>
    <t>Current S3 codebook and decision rules</t>
  </si>
  <si>
    <t>No new rule change is asserted in S5; use the finalized S3 rules already applied to the pilot recode.</t>
  </si>
  <si>
    <t>Administrative status record</t>
  </si>
  <si>
    <t>Prevents a blank log from being misread as evidence of an undocumented refinement event.</t>
  </si>
  <si>
    <t>No</t>
  </si>
  <si>
    <t>R1 final recode available; independent human R2 recoding pending</t>
  </si>
  <si>
    <t>None</t>
  </si>
  <si>
    <t>All pilot variables</t>
  </si>
  <si>
    <t>Finalized S3 R1 codes</t>
  </si>
  <si>
    <t>AI-assisted evidence-verification values; not independent human R2 codes</t>
  </si>
  <si>
    <t>R1 values are grounded in the finalized S3 classification.</t>
  </si>
  <si>
    <t>Verification pass reproduced the finalized values; this cannot substitute for independent coding.</t>
  </si>
  <si>
    <t>Not formally evaluable</t>
  </si>
  <si>
    <t>Pending independent human R2</t>
  </si>
  <si>
    <t>Not triggered</t>
  </si>
  <si>
    <t>No formal disagreement/adjudication result is claimed until independent human Reviewer-2 coding is completed.</t>
  </si>
  <si>
    <t>Title/abstract screening</t>
  </si>
  <si>
    <t>Binary Cohen kappa</t>
  </si>
  <si>
    <t>Not calculable</t>
  </si>
  <si>
    <t>Raw ≥0.80; κ ≥0.70</t>
  </si>
  <si>
    <t>Yes — obtain independent screening sample</t>
  </si>
  <si>
    <t>No title/abstract reliability sample containing Include + Exclude decisions was supplied.</t>
  </si>
  <si>
    <t>Full-text eligibility</t>
  </si>
  <si>
    <t>No full-text reliability sample containing Include + Exclude decisions was supplied.</t>
  </si>
  <si>
    <t>Engineering domain</t>
  </si>
  <si>
    <t>Primary nominal kappa + per-label kappa + Jaccard</t>
  </si>
  <si>
    <t>25</t>
  </si>
  <si>
    <t>1.00</t>
  </si>
  <si>
    <t>κ(primary)=1.00; Jaccard=1.00 (verification-only)</t>
  </si>
  <si>
    <t>Verification-only — NOT formal IRR</t>
  </si>
  <si>
    <t>Yes — independent human R2 required</t>
  </si>
  <si>
    <t>Observed perfect agreement reflects verification of finalized coding, not independent reviewer coding.</t>
  </si>
  <si>
    <t>Research type</t>
  </si>
  <si>
    <t>Contribution type</t>
  </si>
  <si>
    <t>Lifecycle phase</t>
  </si>
  <si>
    <t>Evaluation method</t>
  </si>
  <si>
    <t>Weighted kappa</t>
  </si>
  <si>
    <t>23 applicable pilot studies</t>
  </si>
  <si>
    <t>κw not reportable from non-independent verification</t>
  </si>
  <si>
    <t>Raw ≥0.80; κw ≥0.70</t>
  </si>
  <si>
    <t>EM applicability remains separate; 23/25 pilot studies are EM-applicable.</t>
  </si>
  <si>
    <t>Reviewer TRL lower</t>
  </si>
  <si>
    <t>23 paired inferred ranges</t>
  </si>
  <si>
    <t>Lower bound assessed separately; no midpoint collapse.</t>
  </si>
  <si>
    <t>Reviewer TRL upper</t>
  </si>
  <si>
    <t>Upper bound assessed separately; no midpoint collapse.</t>
  </si>
  <si>
    <t>Report the 25-study stratified pilot and coverage dimensions.</t>
  </si>
  <si>
    <t>Yes</t>
  </si>
  <si>
    <t>Pilot_Sample_25; 25 studies spanning ED1–ED4 and all four publication periods.</t>
  </si>
  <si>
    <t>Independent coding</t>
  </si>
  <si>
    <t>Confirm both reviewers coded independently before reconciliation.</t>
  </si>
  <si>
    <t>R1 final coding is populated; R2 currently contains AI-assisted evidence verification only. Human independent R2 coding/sign-off is pending.</t>
  </si>
  <si>
    <t>Initial codebook</t>
  </si>
  <si>
    <t>Identify the S3 version used in first pilot round.</t>
  </si>
  <si>
    <t>Partial</t>
  </si>
  <si>
    <t>Current finalized S3 codebook is referenced; a separately archived pre-refinement pilot version is not supplied here.</t>
  </si>
  <si>
    <t>Refinement</t>
  </si>
  <si>
    <t>Summarize material rule/category changes.</t>
  </si>
  <si>
    <t>Codebook_Refinement_Log records that no independently documented post-pilot refinement event was supplied; do not invent changes.</t>
  </si>
  <si>
    <t>Recoding</t>
  </si>
  <si>
    <t>Confirm all 25 pilot studies were recoded after refinement.</t>
  </si>
  <si>
    <t>Final S3 R1 recode is populated for all 25; independent human R2 recoding remains pending.</t>
  </si>
  <si>
    <t>Report title/abstract and full-text sample sizes, raw agreement and kappa.</t>
  </si>
  <si>
    <t>No independent screening-reliability samples were supplied; both screening sheets explicitly show N=0 / not calculable.</t>
  </si>
  <si>
    <t>Multi-label reliability</t>
  </si>
  <si>
    <t>Report per-label kappa and Jaccard by facet.</t>
  </si>
  <si>
    <t>Verification-only binary matrices and descriptive agreement are populated; formal IRR awaits independent human R2.</t>
  </si>
  <si>
    <t>Ordinal reliability</t>
  </si>
  <si>
    <t>State weighting and report EM and TRL weighted kappa.</t>
  </si>
  <si>
    <t>Linear/quadratic procedures are documented; verification-only raw agreement is populated, but formal weighted kappa awaits independent human R2.</t>
  </si>
  <si>
    <t>Report ≥80% raw agreement and ≥0.70 kappa targets.</t>
  </si>
  <si>
    <t>Targets are retained in Screening sheets, MultiLabel_Reliability, Ordinal_Reliability and Reliability_Summary.</t>
  </si>
  <si>
    <t>Below-target action</t>
  </si>
  <si>
    <t>Document extra rounds where targets were not met.</t>
  </si>
  <si>
    <t>No valid independent IRR statistics have yet been calculated, so below-target action cannot be evaluated.</t>
  </si>
  <si>
    <t>Adjudication</t>
  </si>
  <si>
    <t>Report unresolved cases and third-reviewer use.</t>
  </si>
  <si>
    <t>No formal independent disagreement/adjudication dataset exists yet; Adjudication_Log records this status explicitly.</t>
  </si>
  <si>
    <t>Multi-Label Binary Coding — Reviewer 1 Final S3 Recode</t>
  </si>
  <si>
    <t>Binary 0/1 labels are generated from the final S3 primary + additional codes.</t>
  </si>
  <si>
    <t>Multi-Label Binary Coding — Reviewer 2 Evidence Verification (NOT Independent)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</si>
</sst>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>
    <font>
      <sz val="11"/>
      <name val="Carlito"/>
    </font>
    <font>
      <sz val="10"/>
      <name val="Aptos"/>
    </font>
    <font>
      <b/>
      <sz val="14"/>
      <color rgb="FFFFFFFF"/>
      <name val="Aptos"/>
    </font>
    <font>
      <b/>
      <sz val="14"/>
      <color rgb="FFFFFFFF"/>
      <name val="Times New Roman"/>
    </font>
    <font>
      <sz val="11"/>
      <name val="Times New Roman"/>
    </font>
    <font>
      <sz val="10"/>
      <name val="Times New Roman"/>
    </font>
    <font>
      <b/>
      <sz val="12"/>
      <color rgb="FFFFFFFF"/>
      <name val="Times New Roman"/>
    </font>
    <font>
      <sz val="12"/>
      <name val="Times New Roman"/>
    </font>
    <font>
      <b/>
      <sz val="12"/>
      <name val="Times New Roman"/>
    </font>
    <font>
      <sz val="14"/>
      <name val="Times New Roman"/>
    </font>
    <font>
      <b/>
      <sz val="16"/>
      <color rgb="FFFFFFFF"/>
      <name val="Times New Roman"/>
    </font>
    <font>
      <sz val="16"/>
      <name val="Times New Roman"/>
    </font>
    <font>
      <i/>
      <sz val="11"/>
      <name val="Carlito"/>
    </font>
    <font>
      <b/>
      <sz val="12"/>
      <color rgb="FFFFFFFF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6" fillId="2" borderId="0" xfId="0" applyFont="1" applyFill="1" applyAlignment="1">
      <alignment horizontal="center" vertical="center" wrapText="1"/>
    </xf>
    <xf numFmtId="0" fontId="8" fillId="3" borderId="0" xfId="0" applyFont="1" applyFill="1" applyAlignment="1">
      <alignment vertical="top" wrapText="1"/>
    </xf>
    <xf numFmtId="0" fontId="7" fillId="0" borderId="0" xfId="0" applyFont="1" applyAlignment="1">
      <alignment wrapText="1"/>
    </xf>
    <xf numFmtId="0" fontId="3" fillId="2" borderId="0" xfId="0" applyFont="1" applyFill="1" applyAlignment="1">
      <alignment horizontal="center" vertical="center" wrapText="1"/>
    </xf>
    <xf numFmtId="0" fontId="9" fillId="0" borderId="0" xfId="0" applyFont="1"/>
    <xf numFmtId="0" fontId="11" fillId="0" borderId="0" xfId="0" applyFont="1"/>
    <xf numFmtId="0" fontId="7" fillId="0" borderId="0" xfId="0" applyFont="1" applyAlignment="1">
      <alignment vertical="top" wrapText="1"/>
    </xf>
    <xf numFmtId="0" fontId="10" fillId="0" borderId="0" xfId="0" applyFont="1"/>
    <xf numFmtId="164" fontId="5" fillId="0" borderId="0" xfId="0" applyNumberFormat="1" applyFont="1"/>
    <xf numFmtId="164" fontId="7" fillId="0" borderId="0" xfId="0" applyNumberFormat="1" applyFont="1"/>
    <xf numFmtId="164" fontId="7" fillId="0" borderId="0" xfId="0" applyNumberFormat="1" applyFont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2" fontId="7" fillId="0" borderId="0" xfId="0" applyNumberFormat="1" applyFont="1" applyAlignment="1">
      <alignment wrapText="1"/>
    </xf>
    <xf numFmtId="0" fontId="10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2" fillId="5" borderId="0" xfId="0" applyFont="1" applyFill="1" applyAlignment="1">
      <alignment wrapText="1"/>
    </xf>
    <xf numFmtId="0" fontId="6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wrapText="1"/>
    </xf>
    <xf numFmtId="0" fontId="13" fillId="2" borderId="0" xfId="0" applyFont="1" applyFill="1" applyAlignment="1">
      <alignment horizontal="center" vertical="center"/>
    </xf>
    <xf numFmtId="0" fontId="14" fillId="0" borderId="0" xfId="0" applyFont="1"/>
  </cellXfs>
  <cellStyles count="1">
    <cellStyle name="Normal" xfId="0" builtinId="0"/>
  </cellStyles>
  <dxfs count="14"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D15"/>
  <sheetViews>
    <sheetView workbookViewId="0">
      <selection sqref="A1:D1"/>
    </sheetView>
  </sheetViews>
  <sheetFormatPr defaultRowHeight="15.75"/>
  <cols>
    <col min="1" max="1" width="28" style="4" customWidth="1"/>
    <col min="2" max="2" width="105" style="4" customWidth="1"/>
    <col min="3" max="16384" width="9" style="4"/>
  </cols>
  <sheetData>
    <row r="1" spans="1:4" s="10" customFormat="1" ht="20.25">
      <c r="A1" s="21" t="s">
        <v>0</v>
      </c>
      <c r="B1" s="21"/>
      <c r="C1" s="22"/>
      <c r="D1" s="22"/>
    </row>
    <row r="2" spans="1:4">
      <c r="A2" s="18"/>
      <c r="B2" s="18"/>
    </row>
    <row r="3" spans="1:4" s="9" customFormat="1" ht="18.75">
      <c r="A3" s="8" t="s">
        <v>1</v>
      </c>
      <c r="B3" s="8" t="s">
        <v>2</v>
      </c>
    </row>
    <row r="4" spans="1:4" ht="31.5">
      <c r="A4" s="6" t="s">
        <v>3</v>
      </c>
      <c r="B4" s="7" t="s">
        <v>4</v>
      </c>
    </row>
    <row r="5" spans="1:4" ht="47.25">
      <c r="A5" s="6" t="s">
        <v>5</v>
      </c>
      <c r="B5" s="7" t="s">
        <v>434</v>
      </c>
    </row>
    <row r="6" spans="1:4" ht="31.5">
      <c r="A6" s="6" t="s">
        <v>6</v>
      </c>
      <c r="B6" s="7" t="s">
        <v>7</v>
      </c>
    </row>
    <row r="7" spans="1:4" ht="31.5">
      <c r="A7" s="6" t="s">
        <v>8</v>
      </c>
      <c r="B7" s="7" t="s">
        <v>9</v>
      </c>
    </row>
    <row r="8" spans="1:4" ht="31.5">
      <c r="A8" s="6" t="s">
        <v>10</v>
      </c>
      <c r="B8" s="7" t="s">
        <v>11</v>
      </c>
    </row>
    <row r="9" spans="1:4">
      <c r="A9" s="6" t="s">
        <v>12</v>
      </c>
      <c r="B9" s="7" t="s">
        <v>13</v>
      </c>
    </row>
    <row r="10" spans="1:4">
      <c r="A10" s="6" t="s">
        <v>14</v>
      </c>
      <c r="B10" s="7" t="s">
        <v>15</v>
      </c>
    </row>
    <row r="11" spans="1:4" ht="31.5">
      <c r="A11" s="6" t="s">
        <v>16</v>
      </c>
      <c r="B11" s="7" t="s">
        <v>17</v>
      </c>
    </row>
    <row r="12" spans="1:4" ht="31.5">
      <c r="A12" s="6" t="s">
        <v>18</v>
      </c>
      <c r="B12" s="7" t="s">
        <v>19</v>
      </c>
    </row>
    <row r="13" spans="1:4">
      <c r="A13" s="6" t="s">
        <v>20</v>
      </c>
      <c r="B13" s="7" t="s">
        <v>21</v>
      </c>
    </row>
    <row r="14" spans="1:4" ht="31.5">
      <c r="A14" s="6" t="s">
        <v>22</v>
      </c>
      <c r="B14" s="7" t="s">
        <v>23</v>
      </c>
    </row>
    <row r="15" spans="1:4" ht="31.5">
      <c r="A15" s="6" t="s">
        <v>24</v>
      </c>
      <c r="B15" s="7" t="s">
        <v>435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P28"/>
  <sheetViews>
    <sheetView topLeftCell="J3" workbookViewId="0">
      <selection sqref="A1:K1"/>
    </sheetView>
  </sheetViews>
  <sheetFormatPr defaultRowHeight="15.75"/>
  <cols>
    <col min="1" max="1" width="10" style="4" customWidth="1"/>
    <col min="2" max="2" width="11" style="4" customWidth="1"/>
    <col min="3" max="3" width="9" style="4" customWidth="1"/>
    <col min="4" max="4" width="52" style="4" customWidth="1"/>
    <col min="5" max="5" width="20" style="4" customWidth="1"/>
    <col min="6" max="6" width="18" style="4" customWidth="1"/>
    <col min="7" max="7" width="38" style="4" customWidth="1"/>
    <col min="8" max="8" width="32" style="4" customWidth="1"/>
    <col min="9" max="9" width="36" style="4" customWidth="1"/>
    <col min="10" max="10" width="28" style="4" customWidth="1"/>
    <col min="11" max="11" width="52" style="4" customWidth="1"/>
    <col min="12" max="16384" width="9" style="4"/>
  </cols>
  <sheetData>
    <row r="1" spans="1:16" s="10" customFormat="1" ht="20.25">
      <c r="A1" s="22" t="s">
        <v>25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12"/>
      <c r="M1" s="12"/>
      <c r="N1" s="12"/>
      <c r="O1" s="12"/>
      <c r="P1" s="12"/>
    </row>
    <row r="3" spans="1:16" s="9" customFormat="1" ht="37.5">
      <c r="A3" s="8" t="s">
        <v>26</v>
      </c>
      <c r="B3" s="8" t="s">
        <v>27</v>
      </c>
      <c r="C3" s="8" t="s">
        <v>28</v>
      </c>
      <c r="D3" s="8" t="s">
        <v>29</v>
      </c>
      <c r="E3" s="8" t="s">
        <v>30</v>
      </c>
      <c r="F3" s="8" t="s">
        <v>31</v>
      </c>
      <c r="G3" s="8" t="s">
        <v>32</v>
      </c>
      <c r="H3" s="8" t="s">
        <v>33</v>
      </c>
      <c r="I3" s="8" t="s">
        <v>34</v>
      </c>
      <c r="J3" s="8" t="s">
        <v>35</v>
      </c>
      <c r="K3" s="8" t="s">
        <v>36</v>
      </c>
      <c r="L3" s="18" t="s">
        <v>436</v>
      </c>
      <c r="M3" s="8" t="s">
        <v>37</v>
      </c>
      <c r="N3" s="8" t="s">
        <v>38</v>
      </c>
      <c r="O3" s="8" t="s">
        <v>39</v>
      </c>
      <c r="P3" s="8" t="s">
        <v>40</v>
      </c>
    </row>
    <row r="4" spans="1:16" ht="31.5">
      <c r="A4" s="11" t="s">
        <v>41</v>
      </c>
      <c r="B4" s="11" t="s">
        <v>42</v>
      </c>
      <c r="C4" s="11">
        <v>2017</v>
      </c>
      <c r="D4" s="11" t="s">
        <v>43</v>
      </c>
      <c r="E4" s="11" t="s">
        <v>44</v>
      </c>
      <c r="F4" s="11" t="s">
        <v>45</v>
      </c>
      <c r="G4" s="11" t="s">
        <v>46</v>
      </c>
      <c r="H4" s="11" t="s">
        <v>47</v>
      </c>
      <c r="I4" s="11" t="s">
        <v>48</v>
      </c>
      <c r="J4" s="11" t="s">
        <v>49</v>
      </c>
      <c r="K4" s="11" t="s">
        <v>50</v>
      </c>
      <c r="M4" s="4" t="s">
        <v>44</v>
      </c>
      <c r="N4" s="4">
        <f>COUNTIF(E4:E28,"ED1")</f>
        <v>6</v>
      </c>
      <c r="O4" s="4">
        <v>6</v>
      </c>
      <c r="P4" s="4" t="str">
        <f>IF(N4=O4,"OK","CHECK")</f>
        <v>OK</v>
      </c>
    </row>
    <row r="5" spans="1:16" ht="47.25">
      <c r="A5" s="11" t="s">
        <v>51</v>
      </c>
      <c r="B5" s="11" t="s">
        <v>52</v>
      </c>
      <c r="C5" s="11">
        <v>2020</v>
      </c>
      <c r="D5" s="11" t="s">
        <v>53</v>
      </c>
      <c r="E5" s="11" t="s">
        <v>44</v>
      </c>
      <c r="F5" s="11" t="s">
        <v>54</v>
      </c>
      <c r="G5" s="11" t="s">
        <v>55</v>
      </c>
      <c r="H5" s="11" t="s">
        <v>56</v>
      </c>
      <c r="I5" s="11" t="s">
        <v>57</v>
      </c>
      <c r="J5" s="11" t="s">
        <v>58</v>
      </c>
      <c r="K5" s="11" t="s">
        <v>59</v>
      </c>
      <c r="M5" s="4" t="s">
        <v>60</v>
      </c>
      <c r="N5" s="4">
        <f>COUNTIF(E4:E28,"ED2")</f>
        <v>6</v>
      </c>
      <c r="O5" s="4">
        <v>6</v>
      </c>
      <c r="P5" s="4" t="str">
        <f>IF(N5=O5,"OK","CHECK")</f>
        <v>OK</v>
      </c>
    </row>
    <row r="6" spans="1:16" ht="31.5">
      <c r="A6" s="11" t="s">
        <v>61</v>
      </c>
      <c r="B6" s="11" t="s">
        <v>62</v>
      </c>
      <c r="C6" s="11">
        <v>2024</v>
      </c>
      <c r="D6" s="11" t="s">
        <v>63</v>
      </c>
      <c r="E6" s="11" t="s">
        <v>44</v>
      </c>
      <c r="F6" s="11" t="s">
        <v>64</v>
      </c>
      <c r="G6" s="11" t="s">
        <v>65</v>
      </c>
      <c r="H6" s="11" t="s">
        <v>66</v>
      </c>
      <c r="I6" s="11" t="s">
        <v>67</v>
      </c>
      <c r="J6" s="11" t="s">
        <v>68</v>
      </c>
      <c r="K6" s="11" t="s">
        <v>69</v>
      </c>
      <c r="M6" s="4" t="s">
        <v>70</v>
      </c>
      <c r="N6" s="4">
        <f>COUNTIF(E4:E28,"ED3")</f>
        <v>6</v>
      </c>
      <c r="O6" s="4">
        <v>6</v>
      </c>
      <c r="P6" s="4" t="str">
        <f>IF(N6=O6,"OK","CHECK")</f>
        <v>OK</v>
      </c>
    </row>
    <row r="7" spans="1:16" ht="47.25">
      <c r="A7" s="11" t="s">
        <v>71</v>
      </c>
      <c r="B7" s="11" t="s">
        <v>72</v>
      </c>
      <c r="C7" s="11">
        <v>2024</v>
      </c>
      <c r="D7" s="11" t="s">
        <v>73</v>
      </c>
      <c r="E7" s="11" t="s">
        <v>44</v>
      </c>
      <c r="F7" s="11" t="s">
        <v>64</v>
      </c>
      <c r="G7" s="11" t="s">
        <v>74</v>
      </c>
      <c r="H7" s="11" t="s">
        <v>75</v>
      </c>
      <c r="I7" s="11" t="s">
        <v>76</v>
      </c>
      <c r="J7" s="11" t="s">
        <v>68</v>
      </c>
      <c r="K7" s="11" t="s">
        <v>77</v>
      </c>
      <c r="M7" s="4" t="s">
        <v>78</v>
      </c>
      <c r="N7" s="4">
        <f>COUNTIF(E4:E28,"ED4")</f>
        <v>7</v>
      </c>
      <c r="O7" s="4">
        <v>7</v>
      </c>
      <c r="P7" s="4" t="str">
        <f>IF(N7=O7,"OK","CHECK")</f>
        <v>OK</v>
      </c>
    </row>
    <row r="8" spans="1:16" ht="31.5">
      <c r="A8" s="11" t="s">
        <v>79</v>
      </c>
      <c r="B8" s="11" t="s">
        <v>80</v>
      </c>
      <c r="C8" s="11">
        <v>2025</v>
      </c>
      <c r="D8" s="11" t="s">
        <v>81</v>
      </c>
      <c r="E8" s="11" t="s">
        <v>44</v>
      </c>
      <c r="F8" s="11" t="s">
        <v>82</v>
      </c>
      <c r="G8" s="11" t="s">
        <v>83</v>
      </c>
      <c r="H8" s="11" t="s">
        <v>84</v>
      </c>
      <c r="I8" s="11" t="s">
        <v>85</v>
      </c>
      <c r="J8" s="11" t="s">
        <v>49</v>
      </c>
      <c r="K8" s="11" t="s">
        <v>86</v>
      </c>
    </row>
    <row r="9" spans="1:16" ht="31.5">
      <c r="A9" s="11" t="s">
        <v>87</v>
      </c>
      <c r="B9" s="11" t="s">
        <v>88</v>
      </c>
      <c r="C9" s="11">
        <v>2026</v>
      </c>
      <c r="D9" s="11" t="s">
        <v>89</v>
      </c>
      <c r="E9" s="11" t="s">
        <v>44</v>
      </c>
      <c r="F9" s="11" t="s">
        <v>82</v>
      </c>
      <c r="G9" s="11" t="s">
        <v>65</v>
      </c>
      <c r="H9" s="11" t="s">
        <v>90</v>
      </c>
      <c r="I9" s="11" t="s">
        <v>91</v>
      </c>
      <c r="J9" s="11" t="s">
        <v>58</v>
      </c>
      <c r="K9" s="11" t="s">
        <v>92</v>
      </c>
      <c r="M9" s="5" t="s">
        <v>31</v>
      </c>
      <c r="N9" s="5" t="s">
        <v>38</v>
      </c>
      <c r="O9" s="5" t="s">
        <v>93</v>
      </c>
      <c r="P9" s="5" t="s">
        <v>40</v>
      </c>
    </row>
    <row r="10" spans="1:16">
      <c r="A10" s="11" t="s">
        <v>94</v>
      </c>
      <c r="B10" s="11" t="s">
        <v>95</v>
      </c>
      <c r="C10" s="11">
        <v>2018</v>
      </c>
      <c r="D10" s="11" t="s">
        <v>96</v>
      </c>
      <c r="E10" s="11" t="s">
        <v>60</v>
      </c>
      <c r="F10" s="11" t="s">
        <v>45</v>
      </c>
      <c r="G10" s="11" t="s">
        <v>97</v>
      </c>
      <c r="H10" s="11" t="s">
        <v>98</v>
      </c>
      <c r="I10" s="11" t="s">
        <v>99</v>
      </c>
      <c r="J10" s="11" t="s">
        <v>100</v>
      </c>
      <c r="K10" s="11" t="s">
        <v>101</v>
      </c>
      <c r="M10" s="4" t="s">
        <v>45</v>
      </c>
      <c r="N10" s="4">
        <f>COUNTIF(F4:F28,"2016–2019")</f>
        <v>9</v>
      </c>
      <c r="O10" s="4">
        <v>3</v>
      </c>
      <c r="P10" s="4" t="str">
        <f>IF(N10&gt;=O10,"OK","CHECK")</f>
        <v>OK</v>
      </c>
    </row>
    <row r="11" spans="1:16" ht="31.5">
      <c r="A11" s="11" t="s">
        <v>102</v>
      </c>
      <c r="B11" s="11" t="s">
        <v>103</v>
      </c>
      <c r="C11" s="11">
        <v>2019</v>
      </c>
      <c r="D11" s="11" t="s">
        <v>104</v>
      </c>
      <c r="E11" s="11" t="s">
        <v>60</v>
      </c>
      <c r="F11" s="11" t="s">
        <v>45</v>
      </c>
      <c r="G11" s="11" t="s">
        <v>105</v>
      </c>
      <c r="H11" s="11" t="s">
        <v>106</v>
      </c>
      <c r="I11" s="11" t="s">
        <v>107</v>
      </c>
      <c r="J11" s="11" t="s">
        <v>108</v>
      </c>
      <c r="K11" s="11" t="s">
        <v>109</v>
      </c>
      <c r="M11" s="4" t="s">
        <v>54</v>
      </c>
      <c r="N11" s="4">
        <f>COUNTIF(F4:F28,"2020–2022")</f>
        <v>5</v>
      </c>
      <c r="O11" s="4">
        <v>3</v>
      </c>
      <c r="P11" s="4" t="str">
        <f>IF(N11&gt;=O11,"OK","CHECK")</f>
        <v>OK</v>
      </c>
    </row>
    <row r="12" spans="1:16" ht="31.5">
      <c r="A12" s="11" t="s">
        <v>110</v>
      </c>
      <c r="B12" s="11" t="s">
        <v>111</v>
      </c>
      <c r="C12" s="11">
        <v>2019</v>
      </c>
      <c r="D12" s="11" t="s">
        <v>112</v>
      </c>
      <c r="E12" s="11" t="s">
        <v>60</v>
      </c>
      <c r="F12" s="11" t="s">
        <v>45</v>
      </c>
      <c r="G12" s="11" t="s">
        <v>113</v>
      </c>
      <c r="H12" s="11" t="s">
        <v>66</v>
      </c>
      <c r="I12" s="11" t="s">
        <v>114</v>
      </c>
      <c r="J12" s="11" t="s">
        <v>108</v>
      </c>
      <c r="K12" s="11" t="s">
        <v>115</v>
      </c>
      <c r="M12" s="4" t="s">
        <v>64</v>
      </c>
      <c r="N12" s="4">
        <f>COUNTIF(F4:F28,"2023–2024")</f>
        <v>6</v>
      </c>
      <c r="O12" s="4">
        <v>3</v>
      </c>
      <c r="P12" s="4" t="str">
        <f>IF(N12&gt;=O12,"OK","CHECK")</f>
        <v>OK</v>
      </c>
    </row>
    <row r="13" spans="1:16">
      <c r="A13" s="11" t="s">
        <v>116</v>
      </c>
      <c r="B13" s="11" t="s">
        <v>117</v>
      </c>
      <c r="C13" s="11">
        <v>2021</v>
      </c>
      <c r="D13" s="11" t="s">
        <v>118</v>
      </c>
      <c r="E13" s="11" t="s">
        <v>60</v>
      </c>
      <c r="F13" s="11" t="s">
        <v>54</v>
      </c>
      <c r="G13" s="11" t="s">
        <v>119</v>
      </c>
      <c r="H13" s="11" t="s">
        <v>120</v>
      </c>
      <c r="I13" s="11" t="s">
        <v>121</v>
      </c>
      <c r="J13" s="11" t="s">
        <v>122</v>
      </c>
      <c r="K13" s="11" t="s">
        <v>123</v>
      </c>
      <c r="M13" s="4" t="s">
        <v>82</v>
      </c>
      <c r="N13" s="4">
        <f>COUNTIF(F4:F28,"2025–2026")</f>
        <v>5</v>
      </c>
      <c r="O13" s="4">
        <v>3</v>
      </c>
      <c r="P13" s="4" t="str">
        <f>IF(N13&gt;=O13,"OK","CHECK")</f>
        <v>OK</v>
      </c>
    </row>
    <row r="14" spans="1:16" ht="31.5">
      <c r="A14" s="11" t="s">
        <v>124</v>
      </c>
      <c r="B14" s="11" t="s">
        <v>125</v>
      </c>
      <c r="C14" s="11">
        <v>2024</v>
      </c>
      <c r="D14" s="11" t="s">
        <v>126</v>
      </c>
      <c r="E14" s="11" t="s">
        <v>60</v>
      </c>
      <c r="F14" s="11" t="s">
        <v>64</v>
      </c>
      <c r="G14" s="11" t="s">
        <v>127</v>
      </c>
      <c r="H14" s="11" t="s">
        <v>120</v>
      </c>
      <c r="I14" s="11" t="s">
        <v>128</v>
      </c>
      <c r="J14" s="11" t="s">
        <v>129</v>
      </c>
      <c r="K14" s="11" t="s">
        <v>130</v>
      </c>
    </row>
    <row r="15" spans="1:16" ht="31.5">
      <c r="A15" s="11" t="s">
        <v>131</v>
      </c>
      <c r="B15" s="11" t="s">
        <v>132</v>
      </c>
      <c r="C15" s="11">
        <v>2026</v>
      </c>
      <c r="D15" s="11" t="s">
        <v>133</v>
      </c>
      <c r="E15" s="11" t="s">
        <v>60</v>
      </c>
      <c r="F15" s="11" t="s">
        <v>82</v>
      </c>
      <c r="G15" s="11" t="s">
        <v>134</v>
      </c>
      <c r="H15" s="11" t="s">
        <v>135</v>
      </c>
      <c r="I15" s="11" t="s">
        <v>136</v>
      </c>
      <c r="J15" s="11" t="s">
        <v>129</v>
      </c>
      <c r="K15" s="11" t="s">
        <v>137</v>
      </c>
    </row>
    <row r="16" spans="1:16" ht="31.5">
      <c r="A16" s="11" t="s">
        <v>138</v>
      </c>
      <c r="B16" s="11" t="s">
        <v>139</v>
      </c>
      <c r="C16" s="11">
        <v>2017</v>
      </c>
      <c r="D16" s="11" t="s">
        <v>140</v>
      </c>
      <c r="E16" s="11" t="s">
        <v>70</v>
      </c>
      <c r="F16" s="11" t="s">
        <v>45</v>
      </c>
      <c r="G16" s="11" t="s">
        <v>141</v>
      </c>
      <c r="H16" s="11" t="s">
        <v>142</v>
      </c>
      <c r="I16" s="11" t="s">
        <v>143</v>
      </c>
      <c r="J16" s="11" t="s">
        <v>144</v>
      </c>
      <c r="K16" s="11" t="s">
        <v>145</v>
      </c>
    </row>
    <row r="17" spans="1:16" ht="31.5">
      <c r="A17" s="11" t="s">
        <v>146</v>
      </c>
      <c r="B17" s="11" t="s">
        <v>147</v>
      </c>
      <c r="C17" s="11">
        <v>2019</v>
      </c>
      <c r="D17" s="11" t="s">
        <v>148</v>
      </c>
      <c r="E17" s="11" t="s">
        <v>70</v>
      </c>
      <c r="F17" s="11" t="s">
        <v>45</v>
      </c>
      <c r="G17" s="11" t="s">
        <v>149</v>
      </c>
      <c r="H17" s="11" t="s">
        <v>150</v>
      </c>
      <c r="I17" s="11" t="s">
        <v>151</v>
      </c>
      <c r="J17" s="11" t="s">
        <v>144</v>
      </c>
      <c r="K17" s="11" t="s">
        <v>152</v>
      </c>
    </row>
    <row r="18" spans="1:16">
      <c r="A18" s="11" t="s">
        <v>153</v>
      </c>
      <c r="B18" s="11" t="s">
        <v>154</v>
      </c>
      <c r="C18" s="11">
        <v>2020</v>
      </c>
      <c r="D18" s="11" t="s">
        <v>155</v>
      </c>
      <c r="E18" s="11" t="s">
        <v>70</v>
      </c>
      <c r="F18" s="11" t="s">
        <v>54</v>
      </c>
      <c r="G18" s="11" t="s">
        <v>156</v>
      </c>
      <c r="H18" s="11" t="s">
        <v>157</v>
      </c>
      <c r="I18" s="11" t="s">
        <v>158</v>
      </c>
      <c r="J18" s="11" t="s">
        <v>58</v>
      </c>
      <c r="K18" s="11" t="s">
        <v>159</v>
      </c>
    </row>
    <row r="19" spans="1:16" ht="31.5">
      <c r="A19" s="11" t="s">
        <v>160</v>
      </c>
      <c r="B19" s="11" t="s">
        <v>161</v>
      </c>
      <c r="C19" s="11">
        <v>2020</v>
      </c>
      <c r="D19" s="11" t="s">
        <v>162</v>
      </c>
      <c r="E19" s="11" t="s">
        <v>70</v>
      </c>
      <c r="F19" s="11" t="s">
        <v>54</v>
      </c>
      <c r="G19" s="11" t="s">
        <v>163</v>
      </c>
      <c r="H19" s="11" t="s">
        <v>164</v>
      </c>
      <c r="I19" s="11" t="s">
        <v>165</v>
      </c>
      <c r="J19" s="11" t="s">
        <v>166</v>
      </c>
      <c r="K19" s="11" t="s">
        <v>167</v>
      </c>
    </row>
    <row r="20" spans="1:16" ht="31.5">
      <c r="A20" s="11" t="s">
        <v>168</v>
      </c>
      <c r="B20" s="11" t="s">
        <v>169</v>
      </c>
      <c r="C20" s="11">
        <v>2021</v>
      </c>
      <c r="D20" s="11" t="s">
        <v>170</v>
      </c>
      <c r="E20" s="11" t="s">
        <v>70</v>
      </c>
      <c r="F20" s="11" t="s">
        <v>54</v>
      </c>
      <c r="G20" s="11" t="s">
        <v>171</v>
      </c>
      <c r="H20" s="11" t="s">
        <v>172</v>
      </c>
      <c r="I20" s="11" t="s">
        <v>173</v>
      </c>
      <c r="J20" s="11" t="s">
        <v>129</v>
      </c>
      <c r="K20" s="11" t="s">
        <v>174</v>
      </c>
    </row>
    <row r="21" spans="1:16">
      <c r="A21" s="11" t="s">
        <v>175</v>
      </c>
      <c r="B21" s="11" t="s">
        <v>176</v>
      </c>
      <c r="C21" s="11">
        <v>2025</v>
      </c>
      <c r="D21" s="11" t="s">
        <v>177</v>
      </c>
      <c r="E21" s="11" t="s">
        <v>70</v>
      </c>
      <c r="F21" s="11" t="s">
        <v>82</v>
      </c>
      <c r="G21" s="11" t="s">
        <v>178</v>
      </c>
      <c r="H21" s="11" t="s">
        <v>179</v>
      </c>
      <c r="I21" s="11" t="s">
        <v>180</v>
      </c>
      <c r="J21" s="11" t="s">
        <v>144</v>
      </c>
      <c r="K21" s="11" t="s">
        <v>181</v>
      </c>
    </row>
    <row r="22" spans="1:16">
      <c r="A22" s="11" t="s">
        <v>182</v>
      </c>
      <c r="B22" s="11" t="s">
        <v>183</v>
      </c>
      <c r="C22" s="11">
        <v>2016</v>
      </c>
      <c r="D22" s="11" t="s">
        <v>184</v>
      </c>
      <c r="E22" s="11" t="s">
        <v>78</v>
      </c>
      <c r="F22" s="11" t="s">
        <v>45</v>
      </c>
      <c r="G22" s="11" t="s">
        <v>185</v>
      </c>
      <c r="H22" s="11" t="s">
        <v>186</v>
      </c>
      <c r="I22" s="11" t="s">
        <v>187</v>
      </c>
      <c r="J22" s="11" t="s">
        <v>129</v>
      </c>
      <c r="K22" s="11" t="s">
        <v>188</v>
      </c>
    </row>
    <row r="23" spans="1:16">
      <c r="A23" s="11" t="s">
        <v>189</v>
      </c>
      <c r="B23" s="11" t="s">
        <v>190</v>
      </c>
      <c r="C23" s="11">
        <v>2018</v>
      </c>
      <c r="D23" s="11" t="s">
        <v>191</v>
      </c>
      <c r="E23" s="11" t="s">
        <v>78</v>
      </c>
      <c r="F23" s="11" t="s">
        <v>45</v>
      </c>
      <c r="G23" s="11" t="s">
        <v>185</v>
      </c>
      <c r="H23" s="11" t="s">
        <v>186</v>
      </c>
      <c r="I23" s="11" t="s">
        <v>192</v>
      </c>
      <c r="J23" s="11" t="s">
        <v>193</v>
      </c>
      <c r="K23" s="11" t="s">
        <v>194</v>
      </c>
    </row>
    <row r="24" spans="1:16">
      <c r="A24" s="11" t="s">
        <v>195</v>
      </c>
      <c r="B24" s="11" t="s">
        <v>196</v>
      </c>
      <c r="C24" s="11">
        <v>2018</v>
      </c>
      <c r="D24" s="11" t="s">
        <v>197</v>
      </c>
      <c r="E24" s="11" t="s">
        <v>78</v>
      </c>
      <c r="F24" s="11" t="s">
        <v>45</v>
      </c>
      <c r="G24" s="11" t="s">
        <v>198</v>
      </c>
      <c r="H24" s="11" t="s">
        <v>199</v>
      </c>
      <c r="I24" s="11" t="s">
        <v>200</v>
      </c>
      <c r="J24" s="11" t="s">
        <v>129</v>
      </c>
      <c r="K24" s="11" t="s">
        <v>201</v>
      </c>
    </row>
    <row r="25" spans="1:16" ht="47.25">
      <c r="A25" s="11" t="s">
        <v>202</v>
      </c>
      <c r="B25" s="11" t="s">
        <v>203</v>
      </c>
      <c r="C25" s="11">
        <v>2023</v>
      </c>
      <c r="D25" s="11" t="s">
        <v>204</v>
      </c>
      <c r="E25" s="11" t="s">
        <v>78</v>
      </c>
      <c r="F25" s="11" t="s">
        <v>64</v>
      </c>
      <c r="G25" s="11" t="s">
        <v>205</v>
      </c>
      <c r="H25" s="11" t="s">
        <v>206</v>
      </c>
      <c r="I25" s="11" t="s">
        <v>207</v>
      </c>
      <c r="J25" s="11" t="s">
        <v>129</v>
      </c>
      <c r="K25" s="11" t="s">
        <v>208</v>
      </c>
    </row>
    <row r="26" spans="1:16" ht="31.5">
      <c r="A26" s="11" t="s">
        <v>209</v>
      </c>
      <c r="B26" s="11" t="s">
        <v>210</v>
      </c>
      <c r="C26" s="11">
        <v>2023</v>
      </c>
      <c r="D26" s="11" t="s">
        <v>211</v>
      </c>
      <c r="E26" s="11" t="s">
        <v>78</v>
      </c>
      <c r="F26" s="11" t="s">
        <v>64</v>
      </c>
      <c r="G26" s="11" t="s">
        <v>212</v>
      </c>
      <c r="H26" s="11" t="s">
        <v>164</v>
      </c>
      <c r="I26" s="11" t="s">
        <v>213</v>
      </c>
      <c r="J26" s="11" t="s">
        <v>214</v>
      </c>
      <c r="K26" s="11" t="s">
        <v>215</v>
      </c>
    </row>
    <row r="27" spans="1:16" ht="31.5">
      <c r="A27" s="11" t="s">
        <v>216</v>
      </c>
      <c r="B27" s="11" t="s">
        <v>217</v>
      </c>
      <c r="C27" s="11">
        <v>2024</v>
      </c>
      <c r="D27" s="11" t="s">
        <v>218</v>
      </c>
      <c r="E27" s="11" t="s">
        <v>78</v>
      </c>
      <c r="F27" s="11" t="s">
        <v>64</v>
      </c>
      <c r="G27" s="11" t="s">
        <v>219</v>
      </c>
      <c r="H27" s="11" t="s">
        <v>220</v>
      </c>
      <c r="I27" s="11" t="s">
        <v>221</v>
      </c>
      <c r="J27" s="11" t="s">
        <v>129</v>
      </c>
      <c r="K27" s="11" t="s">
        <v>222</v>
      </c>
    </row>
    <row r="28" spans="1:16" ht="31.5">
      <c r="A28" s="11" t="s">
        <v>223</v>
      </c>
      <c r="B28" s="11" t="s">
        <v>224</v>
      </c>
      <c r="C28" s="11">
        <v>2025</v>
      </c>
      <c r="D28" s="11" t="s">
        <v>225</v>
      </c>
      <c r="E28" s="11" t="s">
        <v>78</v>
      </c>
      <c r="F28" s="11" t="s">
        <v>82</v>
      </c>
      <c r="G28" s="11" t="s">
        <v>226</v>
      </c>
      <c r="H28" s="11" t="s">
        <v>186</v>
      </c>
      <c r="I28" s="11" t="s">
        <v>227</v>
      </c>
      <c r="J28" s="11" t="s">
        <v>228</v>
      </c>
      <c r="K28" s="11" t="s">
        <v>229</v>
      </c>
      <c r="L28" t="s">
        <v>437</v>
      </c>
      <c r="M28" t="s">
        <v>438</v>
      </c>
      <c r="N28" t="s">
        <v>439</v>
      </c>
      <c r="O28" t="s">
        <v>440</v>
      </c>
      <c r="P28" t="s">
        <v>441</v>
      </c>
    </row>
  </sheetData>
  <mergeCells count="1">
    <mergeCell ref="A1:K1"/>
  </mergeCells>
  <conditionalFormatting sqref="P4:P13">
    <cfRule type="expression" dxfId="13" priority="1">
      <formula>P4="OK"</formula>
    </cfRule>
    <cfRule type="expression" dxfId="12" priority="2">
      <formula>P4="CHECK"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J15"/>
  <sheetViews>
    <sheetView workbookViewId="0">
      <selection sqref="A1:J1"/>
    </sheetView>
  </sheetViews>
  <sheetFormatPr defaultRowHeight="15.75"/>
  <cols>
    <col min="1" max="10" width="24" style="4" customWidth="1"/>
    <col min="11" max="16384" width="9" style="4"/>
  </cols>
  <sheetData>
    <row r="1" spans="1:10" s="10" customFormat="1" ht="20.25">
      <c r="A1" s="22" t="s">
        <v>230</v>
      </c>
      <c r="B1" s="22"/>
      <c r="C1" s="22"/>
      <c r="D1" s="22"/>
      <c r="E1" s="22"/>
      <c r="F1" s="22"/>
      <c r="G1" s="22"/>
      <c r="H1" s="22"/>
      <c r="I1" s="22"/>
      <c r="J1" s="22"/>
    </row>
    <row r="3" spans="1:10" s="9" customFormat="1" ht="18.75">
      <c r="A3" s="8" t="s">
        <v>231</v>
      </c>
      <c r="B3" s="8" t="s">
        <v>232</v>
      </c>
      <c r="C3" s="8" t="s">
        <v>233</v>
      </c>
      <c r="D3" s="8" t="s">
        <v>234</v>
      </c>
      <c r="E3" s="8" t="s">
        <v>235</v>
      </c>
      <c r="F3" s="8" t="s">
        <v>236</v>
      </c>
      <c r="G3" s="8" t="s">
        <v>237</v>
      </c>
      <c r="H3" s="8" t="s">
        <v>238</v>
      </c>
      <c r="I3" s="8" t="s">
        <v>239</v>
      </c>
      <c r="J3" s="8" t="s">
        <v>240</v>
      </c>
    </row>
    <row r="4" spans="1:10">
      <c r="A4" s="4" t="s">
        <v>44</v>
      </c>
      <c r="B4" s="4" t="s">
        <v>241</v>
      </c>
      <c r="C4" s="4" t="s">
        <v>242</v>
      </c>
      <c r="D4" s="4" t="s">
        <v>243</v>
      </c>
      <c r="E4" s="4" t="s">
        <v>244</v>
      </c>
      <c r="F4" s="4" t="s">
        <v>245</v>
      </c>
      <c r="G4" s="4" t="s">
        <v>246</v>
      </c>
      <c r="H4" s="4" t="s">
        <v>247</v>
      </c>
      <c r="I4" s="4" t="s">
        <v>248</v>
      </c>
      <c r="J4" s="4" t="s">
        <v>249</v>
      </c>
    </row>
    <row r="5" spans="1:10">
      <c r="A5" s="4" t="s">
        <v>60</v>
      </c>
      <c r="B5" s="4" t="s">
        <v>250</v>
      </c>
      <c r="C5" s="4" t="s">
        <v>251</v>
      </c>
      <c r="D5" s="4" t="s">
        <v>252</v>
      </c>
      <c r="E5" s="4" t="s">
        <v>253</v>
      </c>
      <c r="F5" s="4" t="s">
        <v>254</v>
      </c>
      <c r="G5" s="4" t="s">
        <v>255</v>
      </c>
      <c r="H5" s="4" t="s">
        <v>256</v>
      </c>
      <c r="I5" s="4" t="s">
        <v>257</v>
      </c>
      <c r="J5" s="4" t="s">
        <v>258</v>
      </c>
    </row>
    <row r="6" spans="1:10">
      <c r="A6" s="4" t="s">
        <v>70</v>
      </c>
      <c r="B6" s="4" t="s">
        <v>259</v>
      </c>
      <c r="C6" s="4" t="s">
        <v>260</v>
      </c>
      <c r="D6" s="4" t="s">
        <v>261</v>
      </c>
      <c r="E6" s="4" t="s">
        <v>262</v>
      </c>
      <c r="F6" s="4" t="s">
        <v>263</v>
      </c>
      <c r="G6" s="4" t="s">
        <v>264</v>
      </c>
      <c r="H6" s="4" t="s">
        <v>264</v>
      </c>
      <c r="J6" t="s">
        <v>442</v>
      </c>
    </row>
    <row r="7" spans="1:10">
      <c r="A7" s="4" t="s">
        <v>78</v>
      </c>
      <c r="B7" s="4" t="s">
        <v>265</v>
      </c>
      <c r="C7" s="4" t="s">
        <v>266</v>
      </c>
      <c r="D7" s="4" t="s">
        <v>267</v>
      </c>
      <c r="E7" s="4" t="s">
        <v>268</v>
      </c>
      <c r="F7" s="4" t="s">
        <v>269</v>
      </c>
      <c r="J7" t="s">
        <v>443</v>
      </c>
    </row>
    <row r="8" spans="1:10">
      <c r="B8" s="4" t="s">
        <v>270</v>
      </c>
      <c r="C8" s="4" t="s">
        <v>271</v>
      </c>
      <c r="D8" s="4" t="s">
        <v>272</v>
      </c>
      <c r="E8" s="4" t="s">
        <v>273</v>
      </c>
      <c r="F8" s="4" t="s">
        <v>274</v>
      </c>
    </row>
    <row r="9" spans="1:10">
      <c r="B9" s="4" t="s">
        <v>275</v>
      </c>
      <c r="C9" s="4" t="s">
        <v>276</v>
      </c>
      <c r="D9" s="4" t="s">
        <v>277</v>
      </c>
      <c r="E9" s="4" t="s">
        <v>278</v>
      </c>
      <c r="F9" s="4" t="s">
        <v>279</v>
      </c>
    </row>
    <row r="10" spans="1:10">
      <c r="C10" s="4" t="s">
        <v>280</v>
      </c>
      <c r="D10" s="4" t="s">
        <v>281</v>
      </c>
      <c r="E10" s="4" t="s">
        <v>282</v>
      </c>
      <c r="F10" s="4" t="s">
        <v>283</v>
      </c>
    </row>
    <row r="11" spans="1:10">
      <c r="C11" s="4" t="s">
        <v>284</v>
      </c>
      <c r="D11" s="4" t="s">
        <v>285</v>
      </c>
      <c r="E11" s="4" t="s">
        <v>286</v>
      </c>
      <c r="F11" s="4" t="s">
        <v>287</v>
      </c>
    </row>
    <row r="12" spans="1:10">
      <c r="C12" s="4" t="s">
        <v>288</v>
      </c>
      <c r="E12" s="4" t="s">
        <v>289</v>
      </c>
    </row>
    <row r="13" spans="1:10">
      <c r="C13" s="4" t="s">
        <v>290</v>
      </c>
      <c r="E13" s="4" t="s">
        <v>291</v>
      </c>
    </row>
    <row r="14" spans="1:10">
      <c r="C14" s="4" t="s">
        <v>292</v>
      </c>
      <c r="E14" s="4" t="s">
        <v>293</v>
      </c>
    </row>
    <row r="15" spans="1:10">
      <c r="C15" s="4" t="s">
        <v>294</v>
      </c>
      <c r="E15" s="4" t="s">
        <v>295</v>
      </c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T28"/>
  <sheetViews>
    <sheetView workbookViewId="0">
      <selection activeCell="A2" sqref="A2:XFD2"/>
    </sheetView>
  </sheetViews>
  <sheetFormatPr defaultRowHeight="15.75"/>
  <cols>
    <col min="1" max="1" width="10" style="4" customWidth="1"/>
    <col min="2" max="2" width="11" style="4" customWidth="1"/>
    <col min="3" max="3" width="48" style="4" customWidth="1"/>
    <col min="4" max="4" width="13" style="4" customWidth="1"/>
    <col min="5" max="5" width="22" style="4" customWidth="1"/>
    <col min="6" max="6" width="13" style="4" customWidth="1"/>
    <col min="7" max="7" width="22" style="4" customWidth="1"/>
    <col min="8" max="8" width="13" style="4" customWidth="1"/>
    <col min="9" max="9" width="28" style="4" customWidth="1"/>
    <col min="10" max="10" width="13" style="4" customWidth="1"/>
    <col min="11" max="11" width="30" style="4" customWidth="1"/>
    <col min="12" max="12" width="13" style="4" customWidth="1"/>
    <col min="13" max="13" width="25" style="4" customWidth="1"/>
    <col min="14" max="14" width="18" style="4" customWidth="1"/>
    <col min="15" max="15" width="13" customWidth="1"/>
    <col min="16" max="17" width="12" customWidth="1"/>
    <col min="18" max="18" width="20" style="4" customWidth="1"/>
    <col min="19" max="19" width="58" style="4" customWidth="1"/>
    <col min="20" max="20" width="55" style="4" customWidth="1"/>
    <col min="21" max="16384" width="9" style="4"/>
  </cols>
  <sheetData>
    <row r="1" spans="1:20" s="9" customFormat="1" ht="18.75">
      <c r="A1" s="23" t="s">
        <v>444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</row>
    <row r="2" spans="1:20">
      <c r="A2" s="24" t="s">
        <v>445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</row>
    <row r="3" spans="1:20" s="9" customFormat="1" ht="37.5">
      <c r="A3" s="8" t="s">
        <v>26</v>
      </c>
      <c r="B3" s="8" t="s">
        <v>27</v>
      </c>
      <c r="C3" s="8" t="s">
        <v>29</v>
      </c>
      <c r="D3" s="8" t="s">
        <v>296</v>
      </c>
      <c r="E3" s="8" t="s">
        <v>297</v>
      </c>
      <c r="F3" s="8" t="s">
        <v>298</v>
      </c>
      <c r="G3" s="8" t="s">
        <v>299</v>
      </c>
      <c r="H3" s="8" t="s">
        <v>300</v>
      </c>
      <c r="I3" s="8" t="s">
        <v>301</v>
      </c>
      <c r="J3" s="8" t="s">
        <v>302</v>
      </c>
      <c r="K3" s="8" t="s">
        <v>303</v>
      </c>
      <c r="L3" s="8" t="s">
        <v>304</v>
      </c>
      <c r="M3" s="8" t="s">
        <v>305</v>
      </c>
      <c r="N3" s="8" t="s">
        <v>237</v>
      </c>
      <c r="O3" s="8" t="s">
        <v>306</v>
      </c>
      <c r="P3" s="8" t="s">
        <v>307</v>
      </c>
      <c r="Q3" s="8" t="s">
        <v>308</v>
      </c>
      <c r="R3" s="8" t="s">
        <v>238</v>
      </c>
      <c r="S3" s="8" t="s">
        <v>309</v>
      </c>
      <c r="T3" s="8" t="s">
        <v>310</v>
      </c>
    </row>
    <row r="4" spans="1:20" ht="63">
      <c r="A4" s="11" t="s">
        <v>41</v>
      </c>
      <c r="B4" s="11" t="s">
        <v>42</v>
      </c>
      <c r="C4" s="11" t="s">
        <v>43</v>
      </c>
      <c r="D4" s="11" t="s">
        <v>44</v>
      </c>
      <c r="E4" s="11" t="s">
        <v>446</v>
      </c>
      <c r="F4" s="11" t="s">
        <v>250</v>
      </c>
      <c r="G4" s="11" t="s">
        <v>241</v>
      </c>
      <c r="H4" s="11" t="s">
        <v>288</v>
      </c>
      <c r="I4" s="11" t="s">
        <v>260</v>
      </c>
      <c r="J4" s="11" t="s">
        <v>267</v>
      </c>
      <c r="K4" s="11" t="s">
        <v>261</v>
      </c>
      <c r="L4" s="11" t="s">
        <v>278</v>
      </c>
      <c r="M4" s="11" t="s">
        <v>273</v>
      </c>
      <c r="N4" s="11" t="s">
        <v>246</v>
      </c>
      <c r="O4" s="11" t="s">
        <v>274</v>
      </c>
      <c r="P4" s="11">
        <v>4</v>
      </c>
      <c r="Q4" s="11">
        <v>5</v>
      </c>
      <c r="R4" s="11" t="s">
        <v>247</v>
      </c>
      <c r="S4" s="11" t="s">
        <v>447</v>
      </c>
      <c r="T4" s="11" t="s">
        <v>448</v>
      </c>
    </row>
    <row r="5" spans="1:20" ht="47.25">
      <c r="A5" s="11" t="s">
        <v>51</v>
      </c>
      <c r="B5" s="11" t="s">
        <v>52</v>
      </c>
      <c r="C5" s="11" t="s">
        <v>53</v>
      </c>
      <c r="D5" s="11" t="s">
        <v>44</v>
      </c>
      <c r="E5" s="11" t="s">
        <v>446</v>
      </c>
      <c r="F5" s="11" t="s">
        <v>250</v>
      </c>
      <c r="G5" s="11" t="s">
        <v>241</v>
      </c>
      <c r="H5" s="11" t="s">
        <v>271</v>
      </c>
      <c r="I5" s="11" t="s">
        <v>449</v>
      </c>
      <c r="J5" s="11" t="s">
        <v>252</v>
      </c>
      <c r="K5" s="11" t="s">
        <v>450</v>
      </c>
      <c r="L5" s="11" t="s">
        <v>268</v>
      </c>
      <c r="M5" s="11" t="s">
        <v>446</v>
      </c>
      <c r="N5" s="11" t="s">
        <v>246</v>
      </c>
      <c r="O5" s="11" t="s">
        <v>263</v>
      </c>
      <c r="P5" s="11">
        <v>2</v>
      </c>
      <c r="Q5" s="11">
        <v>3</v>
      </c>
      <c r="R5" s="11" t="s">
        <v>247</v>
      </c>
      <c r="S5" s="11" t="s">
        <v>447</v>
      </c>
      <c r="T5" s="11" t="s">
        <v>451</v>
      </c>
    </row>
    <row r="6" spans="1:20" ht="47.25">
      <c r="A6" s="11" t="s">
        <v>61</v>
      </c>
      <c r="B6" s="11" t="s">
        <v>62</v>
      </c>
      <c r="C6" s="11" t="s">
        <v>63</v>
      </c>
      <c r="D6" s="11" t="s">
        <v>44</v>
      </c>
      <c r="E6" s="11" t="s">
        <v>446</v>
      </c>
      <c r="F6" s="11" t="s">
        <v>250</v>
      </c>
      <c r="G6" s="11" t="s">
        <v>241</v>
      </c>
      <c r="H6" s="11" t="s">
        <v>260</v>
      </c>
      <c r="I6" s="11" t="s">
        <v>452</v>
      </c>
      <c r="J6" s="11" t="s">
        <v>252</v>
      </c>
      <c r="K6" s="11" t="s">
        <v>450</v>
      </c>
      <c r="L6" s="11" t="s">
        <v>273</v>
      </c>
      <c r="M6" s="11" t="s">
        <v>446</v>
      </c>
      <c r="N6" s="11" t="s">
        <v>246</v>
      </c>
      <c r="O6" s="11" t="s">
        <v>274</v>
      </c>
      <c r="P6" s="11">
        <v>4</v>
      </c>
      <c r="Q6" s="11">
        <v>5</v>
      </c>
      <c r="R6" s="11" t="s">
        <v>256</v>
      </c>
      <c r="S6" s="11" t="s">
        <v>447</v>
      </c>
      <c r="T6" s="11" t="s">
        <v>453</v>
      </c>
    </row>
    <row r="7" spans="1:20" ht="47.25">
      <c r="A7" s="11" t="s">
        <v>71</v>
      </c>
      <c r="B7" s="11" t="s">
        <v>72</v>
      </c>
      <c r="C7" s="11" t="s">
        <v>73</v>
      </c>
      <c r="D7" s="11" t="s">
        <v>44</v>
      </c>
      <c r="E7" s="11" t="s">
        <v>446</v>
      </c>
      <c r="F7" s="11" t="s">
        <v>250</v>
      </c>
      <c r="G7" s="11" t="s">
        <v>241</v>
      </c>
      <c r="H7" s="11" t="s">
        <v>266</v>
      </c>
      <c r="I7" s="11" t="s">
        <v>276</v>
      </c>
      <c r="J7" s="11" t="s">
        <v>252</v>
      </c>
      <c r="K7" s="11" t="s">
        <v>450</v>
      </c>
      <c r="L7" s="11" t="s">
        <v>289</v>
      </c>
      <c r="M7" s="11" t="s">
        <v>273</v>
      </c>
      <c r="N7" s="11" t="s">
        <v>246</v>
      </c>
      <c r="O7" s="11" t="s">
        <v>279</v>
      </c>
      <c r="P7" s="11">
        <v>5</v>
      </c>
      <c r="Q7" s="11">
        <v>6</v>
      </c>
      <c r="R7" s="11" t="s">
        <v>256</v>
      </c>
      <c r="S7" s="11" t="s">
        <v>447</v>
      </c>
      <c r="T7" s="11" t="s">
        <v>454</v>
      </c>
    </row>
    <row r="8" spans="1:20" ht="47.25">
      <c r="A8" s="11" t="s">
        <v>79</v>
      </c>
      <c r="B8" s="11" t="s">
        <v>80</v>
      </c>
      <c r="C8" s="11" t="s">
        <v>81</v>
      </c>
      <c r="D8" s="11" t="s">
        <v>44</v>
      </c>
      <c r="E8" s="11" t="s">
        <v>446</v>
      </c>
      <c r="F8" s="11" t="s">
        <v>250</v>
      </c>
      <c r="G8" s="11" t="s">
        <v>241</v>
      </c>
      <c r="H8" s="11" t="s">
        <v>276</v>
      </c>
      <c r="I8" s="11" t="s">
        <v>446</v>
      </c>
      <c r="J8" s="11" t="s">
        <v>252</v>
      </c>
      <c r="K8" s="11" t="s">
        <v>450</v>
      </c>
      <c r="L8" s="11" t="s">
        <v>273</v>
      </c>
      <c r="M8" s="11" t="s">
        <v>278</v>
      </c>
      <c r="N8" s="11" t="s">
        <v>246</v>
      </c>
      <c r="O8" s="11" t="s">
        <v>274</v>
      </c>
      <c r="P8" s="11">
        <v>4</v>
      </c>
      <c r="Q8" s="11">
        <v>5</v>
      </c>
      <c r="R8" s="11" t="s">
        <v>247</v>
      </c>
      <c r="S8" s="11" t="s">
        <v>447</v>
      </c>
      <c r="T8" s="11" t="s">
        <v>455</v>
      </c>
    </row>
    <row r="9" spans="1:20" ht="31.5">
      <c r="A9" s="11" t="s">
        <v>87</v>
      </c>
      <c r="B9" s="11" t="s">
        <v>88</v>
      </c>
      <c r="C9" s="11" t="s">
        <v>89</v>
      </c>
      <c r="D9" s="11" t="s">
        <v>44</v>
      </c>
      <c r="E9" s="11" t="s">
        <v>446</v>
      </c>
      <c r="F9" s="11" t="s">
        <v>250</v>
      </c>
      <c r="G9" s="11" t="s">
        <v>241</v>
      </c>
      <c r="H9" s="11" t="s">
        <v>266</v>
      </c>
      <c r="I9" s="11" t="s">
        <v>276</v>
      </c>
      <c r="J9" s="11" t="s">
        <v>252</v>
      </c>
      <c r="K9" s="11" t="s">
        <v>450</v>
      </c>
      <c r="L9" s="11" t="s">
        <v>268</v>
      </c>
      <c r="M9" s="11" t="s">
        <v>446</v>
      </c>
      <c r="N9" s="11" t="s">
        <v>246</v>
      </c>
      <c r="O9" s="11" t="s">
        <v>263</v>
      </c>
      <c r="P9" s="11">
        <v>2</v>
      </c>
      <c r="Q9" s="11">
        <v>3</v>
      </c>
      <c r="R9" s="11" t="s">
        <v>256</v>
      </c>
      <c r="S9" s="11" t="s">
        <v>447</v>
      </c>
      <c r="T9" s="11" t="s">
        <v>456</v>
      </c>
    </row>
    <row r="10" spans="1:20" ht="31.5">
      <c r="A10" s="11" t="s">
        <v>94</v>
      </c>
      <c r="B10" s="11" t="s">
        <v>95</v>
      </c>
      <c r="C10" s="11" t="s">
        <v>96</v>
      </c>
      <c r="D10" s="11" t="s">
        <v>60</v>
      </c>
      <c r="E10" s="11" t="s">
        <v>446</v>
      </c>
      <c r="F10" s="11" t="s">
        <v>250</v>
      </c>
      <c r="G10" s="11" t="s">
        <v>241</v>
      </c>
      <c r="H10" s="11" t="s">
        <v>276</v>
      </c>
      <c r="I10" s="11" t="s">
        <v>446</v>
      </c>
      <c r="J10" s="11" t="s">
        <v>252</v>
      </c>
      <c r="K10" s="11" t="s">
        <v>450</v>
      </c>
      <c r="L10" s="11" t="s">
        <v>253</v>
      </c>
      <c r="M10" s="11" t="s">
        <v>446</v>
      </c>
      <c r="N10" s="11" t="s">
        <v>246</v>
      </c>
      <c r="O10" s="11" t="s">
        <v>245</v>
      </c>
      <c r="P10" s="11">
        <v>1</v>
      </c>
      <c r="Q10" s="11">
        <v>2</v>
      </c>
      <c r="R10" s="11" t="s">
        <v>247</v>
      </c>
      <c r="S10" s="11" t="s">
        <v>447</v>
      </c>
      <c r="T10" s="11" t="s">
        <v>457</v>
      </c>
    </row>
    <row r="11" spans="1:20" ht="31.5">
      <c r="A11" s="11" t="s">
        <v>102</v>
      </c>
      <c r="B11" s="11" t="s">
        <v>103</v>
      </c>
      <c r="C11" s="11" t="s">
        <v>104</v>
      </c>
      <c r="D11" s="11" t="s">
        <v>60</v>
      </c>
      <c r="E11" s="11" t="s">
        <v>446</v>
      </c>
      <c r="F11" s="11" t="s">
        <v>250</v>
      </c>
      <c r="G11" s="11" t="s">
        <v>241</v>
      </c>
      <c r="H11" s="11" t="s">
        <v>260</v>
      </c>
      <c r="I11" s="11" t="s">
        <v>452</v>
      </c>
      <c r="J11" s="11" t="s">
        <v>252</v>
      </c>
      <c r="K11" s="11" t="s">
        <v>450</v>
      </c>
      <c r="L11" s="11" t="s">
        <v>273</v>
      </c>
      <c r="M11" s="11" t="s">
        <v>278</v>
      </c>
      <c r="N11" s="11" t="s">
        <v>246</v>
      </c>
      <c r="O11" s="11" t="s">
        <v>274</v>
      </c>
      <c r="P11" s="11">
        <v>4</v>
      </c>
      <c r="Q11" s="11">
        <v>5</v>
      </c>
      <c r="R11" s="11" t="s">
        <v>256</v>
      </c>
      <c r="S11" s="11" t="s">
        <v>447</v>
      </c>
      <c r="T11" s="11" t="s">
        <v>458</v>
      </c>
    </row>
    <row r="12" spans="1:20" ht="31.5">
      <c r="A12" s="11" t="s">
        <v>110</v>
      </c>
      <c r="B12" s="11" t="s">
        <v>111</v>
      </c>
      <c r="C12" s="11" t="s">
        <v>112</v>
      </c>
      <c r="D12" s="11" t="s">
        <v>60</v>
      </c>
      <c r="E12" s="11" t="s">
        <v>446</v>
      </c>
      <c r="F12" s="11" t="s">
        <v>250</v>
      </c>
      <c r="G12" s="11" t="s">
        <v>241</v>
      </c>
      <c r="H12" s="11" t="s">
        <v>276</v>
      </c>
      <c r="I12" s="11" t="s">
        <v>242</v>
      </c>
      <c r="J12" s="11" t="s">
        <v>252</v>
      </c>
      <c r="K12" s="11" t="s">
        <v>450</v>
      </c>
      <c r="L12" s="11" t="s">
        <v>273</v>
      </c>
      <c r="M12" s="11" t="s">
        <v>278</v>
      </c>
      <c r="N12" s="11" t="s">
        <v>246</v>
      </c>
      <c r="O12" s="11" t="s">
        <v>274</v>
      </c>
      <c r="P12" s="11">
        <v>4</v>
      </c>
      <c r="Q12" s="11">
        <v>5</v>
      </c>
      <c r="R12" s="11" t="s">
        <v>247</v>
      </c>
      <c r="S12" s="11" t="s">
        <v>447</v>
      </c>
      <c r="T12" s="11" t="s">
        <v>459</v>
      </c>
    </row>
    <row r="13" spans="1:20" ht="31.5">
      <c r="A13" s="11" t="s">
        <v>116</v>
      </c>
      <c r="B13" s="11" t="s">
        <v>117</v>
      </c>
      <c r="C13" s="11" t="s">
        <v>118</v>
      </c>
      <c r="D13" s="11" t="s">
        <v>60</v>
      </c>
      <c r="E13" s="11" t="s">
        <v>446</v>
      </c>
      <c r="F13" s="11" t="s">
        <v>250</v>
      </c>
      <c r="G13" s="11" t="s">
        <v>241</v>
      </c>
      <c r="H13" s="11" t="s">
        <v>276</v>
      </c>
      <c r="I13" s="11" t="s">
        <v>266</v>
      </c>
      <c r="J13" s="11" t="s">
        <v>252</v>
      </c>
      <c r="K13" s="11" t="s">
        <v>450</v>
      </c>
      <c r="L13" s="11" t="s">
        <v>273</v>
      </c>
      <c r="M13" s="11" t="s">
        <v>278</v>
      </c>
      <c r="N13" s="11" t="s">
        <v>246</v>
      </c>
      <c r="O13" s="11" t="s">
        <v>274</v>
      </c>
      <c r="P13" s="11">
        <v>4</v>
      </c>
      <c r="Q13" s="11">
        <v>5</v>
      </c>
      <c r="R13" s="11" t="s">
        <v>247</v>
      </c>
      <c r="S13" s="11" t="s">
        <v>447</v>
      </c>
      <c r="T13" s="11" t="s">
        <v>460</v>
      </c>
    </row>
    <row r="14" spans="1:20" ht="31.5">
      <c r="A14" s="11" t="s">
        <v>124</v>
      </c>
      <c r="B14" s="11" t="s">
        <v>125</v>
      </c>
      <c r="C14" s="11" t="s">
        <v>126</v>
      </c>
      <c r="D14" s="11" t="s">
        <v>60</v>
      </c>
      <c r="E14" s="11" t="s">
        <v>446</v>
      </c>
      <c r="F14" s="11" t="s">
        <v>250</v>
      </c>
      <c r="G14" s="11" t="s">
        <v>241</v>
      </c>
      <c r="H14" s="11" t="s">
        <v>260</v>
      </c>
      <c r="I14" s="11" t="s">
        <v>461</v>
      </c>
      <c r="J14" s="11" t="s">
        <v>252</v>
      </c>
      <c r="K14" s="11" t="s">
        <v>450</v>
      </c>
      <c r="L14" s="11" t="s">
        <v>278</v>
      </c>
      <c r="M14" s="11" t="s">
        <v>273</v>
      </c>
      <c r="N14" s="11" t="s">
        <v>246</v>
      </c>
      <c r="O14" s="11" t="s">
        <v>274</v>
      </c>
      <c r="P14" s="11">
        <v>4</v>
      </c>
      <c r="Q14" s="11">
        <v>5</v>
      </c>
      <c r="R14" s="11" t="s">
        <v>256</v>
      </c>
      <c r="S14" s="11" t="s">
        <v>447</v>
      </c>
      <c r="T14" s="11" t="s">
        <v>462</v>
      </c>
    </row>
    <row r="15" spans="1:20" ht="31.5">
      <c r="A15" s="11" t="s">
        <v>131</v>
      </c>
      <c r="B15" s="11" t="s">
        <v>132</v>
      </c>
      <c r="C15" s="11" t="s">
        <v>133</v>
      </c>
      <c r="D15" s="11" t="s">
        <v>60</v>
      </c>
      <c r="E15" s="11" t="s">
        <v>446</v>
      </c>
      <c r="F15" s="11" t="s">
        <v>250</v>
      </c>
      <c r="G15" s="11" t="s">
        <v>241</v>
      </c>
      <c r="H15" s="11" t="s">
        <v>266</v>
      </c>
      <c r="I15" s="11" t="s">
        <v>461</v>
      </c>
      <c r="J15" s="11" t="s">
        <v>252</v>
      </c>
      <c r="K15" s="11" t="s">
        <v>450</v>
      </c>
      <c r="L15" s="11" t="s">
        <v>273</v>
      </c>
      <c r="M15" s="11" t="s">
        <v>278</v>
      </c>
      <c r="N15" s="11" t="s">
        <v>246</v>
      </c>
      <c r="O15" s="11" t="s">
        <v>274</v>
      </c>
      <c r="P15" s="11">
        <v>4</v>
      </c>
      <c r="Q15" s="11">
        <v>5</v>
      </c>
      <c r="R15" s="11" t="s">
        <v>256</v>
      </c>
      <c r="S15" s="11" t="s">
        <v>447</v>
      </c>
      <c r="T15" s="11" t="s">
        <v>463</v>
      </c>
    </row>
    <row r="16" spans="1:20" ht="47.25">
      <c r="A16" s="11" t="s">
        <v>138</v>
      </c>
      <c r="B16" s="11" t="s">
        <v>139</v>
      </c>
      <c r="C16" s="11" t="s">
        <v>140</v>
      </c>
      <c r="D16" s="11" t="s">
        <v>70</v>
      </c>
      <c r="E16" s="11" t="s">
        <v>446</v>
      </c>
      <c r="F16" s="11" t="s">
        <v>259</v>
      </c>
      <c r="G16" s="11" t="s">
        <v>446</v>
      </c>
      <c r="H16" s="11" t="s">
        <v>294</v>
      </c>
      <c r="I16" s="11" t="s">
        <v>290</v>
      </c>
      <c r="J16" s="11" t="s">
        <v>243</v>
      </c>
      <c r="K16" s="11" t="s">
        <v>464</v>
      </c>
      <c r="L16" s="11" t="s">
        <v>282</v>
      </c>
      <c r="M16" s="11" t="s">
        <v>446</v>
      </c>
      <c r="N16" s="11" t="s">
        <v>255</v>
      </c>
      <c r="O16" s="11" t="s">
        <v>348</v>
      </c>
      <c r="P16" s="11" t="s">
        <v>348</v>
      </c>
      <c r="Q16" s="11" t="s">
        <v>348</v>
      </c>
      <c r="R16" s="11" t="s">
        <v>348</v>
      </c>
      <c r="S16" s="11" t="s">
        <v>465</v>
      </c>
      <c r="T16" s="11" t="s">
        <v>466</v>
      </c>
    </row>
    <row r="17" spans="1:20" ht="47.25">
      <c r="A17" s="11" t="s">
        <v>146</v>
      </c>
      <c r="B17" s="11" t="s">
        <v>147</v>
      </c>
      <c r="C17" s="11" t="s">
        <v>148</v>
      </c>
      <c r="D17" s="11" t="s">
        <v>70</v>
      </c>
      <c r="E17" s="11" t="s">
        <v>446</v>
      </c>
      <c r="F17" s="11" t="s">
        <v>259</v>
      </c>
      <c r="G17" s="11" t="s">
        <v>446</v>
      </c>
      <c r="H17" s="11" t="s">
        <v>294</v>
      </c>
      <c r="I17" s="11" t="s">
        <v>446</v>
      </c>
      <c r="J17" s="11" t="s">
        <v>243</v>
      </c>
      <c r="K17" s="11" t="s">
        <v>261</v>
      </c>
      <c r="L17" s="11" t="s">
        <v>286</v>
      </c>
      <c r="M17" s="11" t="s">
        <v>446</v>
      </c>
      <c r="N17" s="11" t="s">
        <v>255</v>
      </c>
      <c r="O17" s="11" t="s">
        <v>348</v>
      </c>
      <c r="P17" s="11" t="s">
        <v>348</v>
      </c>
      <c r="Q17" s="11" t="s">
        <v>348</v>
      </c>
      <c r="R17" s="11" t="s">
        <v>348</v>
      </c>
      <c r="S17" s="11" t="s">
        <v>465</v>
      </c>
      <c r="T17" s="11" t="s">
        <v>467</v>
      </c>
    </row>
    <row r="18" spans="1:20" ht="31.5">
      <c r="A18" s="11" t="s">
        <v>153</v>
      </c>
      <c r="B18" s="11" t="s">
        <v>154</v>
      </c>
      <c r="C18" s="11" t="s">
        <v>155</v>
      </c>
      <c r="D18" s="11" t="s">
        <v>70</v>
      </c>
      <c r="E18" s="11" t="s">
        <v>446</v>
      </c>
      <c r="F18" s="11" t="s">
        <v>259</v>
      </c>
      <c r="G18" s="11" t="s">
        <v>241</v>
      </c>
      <c r="H18" s="11" t="s">
        <v>290</v>
      </c>
      <c r="I18" s="11" t="s">
        <v>251</v>
      </c>
      <c r="J18" s="11" t="s">
        <v>243</v>
      </c>
      <c r="K18" s="11" t="s">
        <v>468</v>
      </c>
      <c r="L18" s="11" t="s">
        <v>289</v>
      </c>
      <c r="M18" s="11" t="s">
        <v>469</v>
      </c>
      <c r="N18" s="11" t="s">
        <v>246</v>
      </c>
      <c r="O18" s="11" t="s">
        <v>279</v>
      </c>
      <c r="P18" s="11">
        <v>5</v>
      </c>
      <c r="Q18" s="11">
        <v>6</v>
      </c>
      <c r="R18" s="11" t="s">
        <v>247</v>
      </c>
      <c r="S18" s="11" t="s">
        <v>447</v>
      </c>
      <c r="T18" s="11" t="s">
        <v>470</v>
      </c>
    </row>
    <row r="19" spans="1:20" ht="31.5">
      <c r="A19" s="11" t="s">
        <v>160</v>
      </c>
      <c r="B19" s="11" t="s">
        <v>161</v>
      </c>
      <c r="C19" s="11" t="s">
        <v>162</v>
      </c>
      <c r="D19" s="11" t="s">
        <v>70</v>
      </c>
      <c r="E19" s="11" t="s">
        <v>446</v>
      </c>
      <c r="F19" s="11" t="s">
        <v>259</v>
      </c>
      <c r="G19" s="11" t="s">
        <v>241</v>
      </c>
      <c r="H19" s="11" t="s">
        <v>280</v>
      </c>
      <c r="I19" s="11" t="s">
        <v>260</v>
      </c>
      <c r="J19" s="11" t="s">
        <v>261</v>
      </c>
      <c r="K19" s="11" t="s">
        <v>272</v>
      </c>
      <c r="L19" s="11" t="s">
        <v>291</v>
      </c>
      <c r="M19" s="11" t="s">
        <v>446</v>
      </c>
      <c r="N19" s="11" t="s">
        <v>246</v>
      </c>
      <c r="O19" s="11" t="s">
        <v>283</v>
      </c>
      <c r="P19" s="11">
        <v>7</v>
      </c>
      <c r="Q19" s="11">
        <v>8</v>
      </c>
      <c r="R19" s="11" t="s">
        <v>256</v>
      </c>
      <c r="S19" s="11" t="s">
        <v>447</v>
      </c>
      <c r="T19" s="11" t="s">
        <v>471</v>
      </c>
    </row>
    <row r="20" spans="1:20" ht="31.5">
      <c r="A20" s="11" t="s">
        <v>168</v>
      </c>
      <c r="B20" s="11" t="s">
        <v>169</v>
      </c>
      <c r="C20" s="11" t="s">
        <v>170</v>
      </c>
      <c r="D20" s="11" t="s">
        <v>70</v>
      </c>
      <c r="E20" s="11" t="s">
        <v>446</v>
      </c>
      <c r="F20" s="11" t="s">
        <v>250</v>
      </c>
      <c r="G20" s="11" t="s">
        <v>241</v>
      </c>
      <c r="H20" s="11" t="s">
        <v>251</v>
      </c>
      <c r="I20" s="11" t="s">
        <v>280</v>
      </c>
      <c r="J20" s="11" t="s">
        <v>252</v>
      </c>
      <c r="K20" s="11" t="s">
        <v>472</v>
      </c>
      <c r="L20" s="11" t="s">
        <v>282</v>
      </c>
      <c r="M20" s="11" t="s">
        <v>273</v>
      </c>
      <c r="N20" s="11" t="s">
        <v>246</v>
      </c>
      <c r="O20" s="11" t="s">
        <v>274</v>
      </c>
      <c r="P20" s="11">
        <v>4</v>
      </c>
      <c r="Q20" s="11">
        <v>5</v>
      </c>
      <c r="R20" s="11" t="s">
        <v>247</v>
      </c>
      <c r="S20" s="11" t="s">
        <v>447</v>
      </c>
      <c r="T20" s="11" t="s">
        <v>473</v>
      </c>
    </row>
    <row r="21" spans="1:20" ht="31.5">
      <c r="A21" s="11" t="s">
        <v>175</v>
      </c>
      <c r="B21" s="11" t="s">
        <v>176</v>
      </c>
      <c r="C21" s="11" t="s">
        <v>177</v>
      </c>
      <c r="D21" s="11" t="s">
        <v>70</v>
      </c>
      <c r="E21" s="11" t="s">
        <v>446</v>
      </c>
      <c r="F21" s="11" t="s">
        <v>259</v>
      </c>
      <c r="G21" s="11" t="s">
        <v>250</v>
      </c>
      <c r="H21" s="11" t="s">
        <v>294</v>
      </c>
      <c r="I21" s="11" t="s">
        <v>474</v>
      </c>
      <c r="J21" s="11" t="s">
        <v>281</v>
      </c>
      <c r="K21" s="11" t="s">
        <v>267</v>
      </c>
      <c r="L21" s="11" t="s">
        <v>278</v>
      </c>
      <c r="M21" s="11" t="s">
        <v>469</v>
      </c>
      <c r="N21" s="11" t="s">
        <v>246</v>
      </c>
      <c r="O21" s="11" t="s">
        <v>274</v>
      </c>
      <c r="P21" s="11">
        <v>4</v>
      </c>
      <c r="Q21" s="11">
        <v>5</v>
      </c>
      <c r="R21" s="11" t="s">
        <v>247</v>
      </c>
      <c r="S21" s="11" t="s">
        <v>447</v>
      </c>
      <c r="T21" s="11" t="s">
        <v>475</v>
      </c>
    </row>
    <row r="22" spans="1:20" ht="31.5">
      <c r="A22" s="11" t="s">
        <v>182</v>
      </c>
      <c r="B22" s="11" t="s">
        <v>183</v>
      </c>
      <c r="C22" s="11" t="s">
        <v>184</v>
      </c>
      <c r="D22" s="11" t="s">
        <v>78</v>
      </c>
      <c r="E22" s="11" t="s">
        <v>446</v>
      </c>
      <c r="F22" s="11" t="s">
        <v>250</v>
      </c>
      <c r="G22" s="11" t="s">
        <v>241</v>
      </c>
      <c r="H22" s="11" t="s">
        <v>280</v>
      </c>
      <c r="I22" s="11" t="s">
        <v>251</v>
      </c>
      <c r="J22" s="11" t="s">
        <v>267</v>
      </c>
      <c r="K22" s="11" t="s">
        <v>446</v>
      </c>
      <c r="L22" s="11" t="s">
        <v>278</v>
      </c>
      <c r="M22" s="11" t="s">
        <v>273</v>
      </c>
      <c r="N22" s="11" t="s">
        <v>246</v>
      </c>
      <c r="O22" s="11" t="s">
        <v>274</v>
      </c>
      <c r="P22" s="11">
        <v>4</v>
      </c>
      <c r="Q22" s="11">
        <v>5</v>
      </c>
      <c r="R22" s="11" t="s">
        <v>247</v>
      </c>
      <c r="S22" s="11" t="s">
        <v>447</v>
      </c>
      <c r="T22" s="11" t="s">
        <v>476</v>
      </c>
    </row>
    <row r="23" spans="1:20" ht="31.5">
      <c r="A23" s="11" t="s">
        <v>189</v>
      </c>
      <c r="B23" s="11" t="s">
        <v>190</v>
      </c>
      <c r="C23" s="11" t="s">
        <v>191</v>
      </c>
      <c r="D23" s="11" t="s">
        <v>78</v>
      </c>
      <c r="E23" s="11" t="s">
        <v>446</v>
      </c>
      <c r="F23" s="11" t="s">
        <v>259</v>
      </c>
      <c r="G23" s="11" t="s">
        <v>477</v>
      </c>
      <c r="H23" s="11" t="s">
        <v>280</v>
      </c>
      <c r="I23" s="11" t="s">
        <v>251</v>
      </c>
      <c r="J23" s="11" t="s">
        <v>267</v>
      </c>
      <c r="K23" s="11" t="s">
        <v>446</v>
      </c>
      <c r="L23" s="11" t="s">
        <v>291</v>
      </c>
      <c r="M23" s="11" t="s">
        <v>278</v>
      </c>
      <c r="N23" s="11" t="s">
        <v>246</v>
      </c>
      <c r="O23" s="11" t="s">
        <v>283</v>
      </c>
      <c r="P23" s="11">
        <v>7</v>
      </c>
      <c r="Q23" s="11">
        <v>8</v>
      </c>
      <c r="R23" s="11" t="s">
        <v>247</v>
      </c>
      <c r="S23" s="11" t="s">
        <v>447</v>
      </c>
      <c r="T23" s="11" t="s">
        <v>478</v>
      </c>
    </row>
    <row r="24" spans="1:20" ht="31.5">
      <c r="A24" s="11" t="s">
        <v>195</v>
      </c>
      <c r="B24" s="11" t="s">
        <v>196</v>
      </c>
      <c r="C24" s="11" t="s">
        <v>197</v>
      </c>
      <c r="D24" s="11" t="s">
        <v>78</v>
      </c>
      <c r="E24" s="11" t="s">
        <v>446</v>
      </c>
      <c r="F24" s="11" t="s">
        <v>250</v>
      </c>
      <c r="G24" s="11" t="s">
        <v>241</v>
      </c>
      <c r="H24" s="11" t="s">
        <v>280</v>
      </c>
      <c r="I24" s="11" t="s">
        <v>251</v>
      </c>
      <c r="J24" s="11" t="s">
        <v>267</v>
      </c>
      <c r="K24" s="11" t="s">
        <v>446</v>
      </c>
      <c r="L24" s="11" t="s">
        <v>278</v>
      </c>
      <c r="M24" s="11" t="s">
        <v>273</v>
      </c>
      <c r="N24" s="11" t="s">
        <v>246</v>
      </c>
      <c r="O24" s="11" t="s">
        <v>274</v>
      </c>
      <c r="P24" s="11">
        <v>4</v>
      </c>
      <c r="Q24" s="11">
        <v>5</v>
      </c>
      <c r="R24" s="11" t="s">
        <v>247</v>
      </c>
      <c r="S24" s="11" t="s">
        <v>447</v>
      </c>
      <c r="T24" s="11" t="s">
        <v>479</v>
      </c>
    </row>
    <row r="25" spans="1:20" ht="47.25">
      <c r="A25" s="11" t="s">
        <v>202</v>
      </c>
      <c r="B25" s="11" t="s">
        <v>203</v>
      </c>
      <c r="C25" s="11" t="s">
        <v>204</v>
      </c>
      <c r="D25" s="11" t="s">
        <v>78</v>
      </c>
      <c r="E25" s="11" t="s">
        <v>70</v>
      </c>
      <c r="F25" s="11" t="s">
        <v>250</v>
      </c>
      <c r="G25" s="11" t="s">
        <v>241</v>
      </c>
      <c r="H25" s="11" t="s">
        <v>251</v>
      </c>
      <c r="I25" s="11" t="s">
        <v>480</v>
      </c>
      <c r="J25" s="11" t="s">
        <v>267</v>
      </c>
      <c r="K25" s="11" t="s">
        <v>481</v>
      </c>
      <c r="L25" s="11" t="s">
        <v>278</v>
      </c>
      <c r="M25" s="11" t="s">
        <v>273</v>
      </c>
      <c r="N25" s="11" t="s">
        <v>246</v>
      </c>
      <c r="O25" s="11" t="s">
        <v>274</v>
      </c>
      <c r="P25" s="11">
        <v>4</v>
      </c>
      <c r="Q25" s="11">
        <v>5</v>
      </c>
      <c r="R25" s="11" t="s">
        <v>247</v>
      </c>
      <c r="S25" s="11" t="s">
        <v>447</v>
      </c>
      <c r="T25" s="11" t="s">
        <v>482</v>
      </c>
    </row>
    <row r="26" spans="1:20" ht="31.5">
      <c r="A26" s="11" t="s">
        <v>209</v>
      </c>
      <c r="B26" s="11" t="s">
        <v>210</v>
      </c>
      <c r="C26" s="11" t="s">
        <v>211</v>
      </c>
      <c r="D26" s="11" t="s">
        <v>78</v>
      </c>
      <c r="E26" s="11" t="s">
        <v>446</v>
      </c>
      <c r="F26" s="11" t="s">
        <v>250</v>
      </c>
      <c r="G26" s="11" t="s">
        <v>241</v>
      </c>
      <c r="H26" s="11" t="s">
        <v>280</v>
      </c>
      <c r="I26" s="11" t="s">
        <v>446</v>
      </c>
      <c r="J26" s="11" t="s">
        <v>267</v>
      </c>
      <c r="K26" s="11" t="s">
        <v>446</v>
      </c>
      <c r="L26" s="11" t="s">
        <v>262</v>
      </c>
      <c r="M26" s="11" t="s">
        <v>446</v>
      </c>
      <c r="N26" s="11" t="s">
        <v>246</v>
      </c>
      <c r="O26" s="11" t="s">
        <v>254</v>
      </c>
      <c r="P26" s="11">
        <v>2</v>
      </c>
      <c r="Q26" s="11">
        <v>3</v>
      </c>
      <c r="R26" s="11" t="s">
        <v>247</v>
      </c>
      <c r="S26" s="11" t="s">
        <v>447</v>
      </c>
      <c r="T26" s="11" t="s">
        <v>483</v>
      </c>
    </row>
    <row r="27" spans="1:20" ht="47.25">
      <c r="A27" s="11" t="s">
        <v>216</v>
      </c>
      <c r="B27" s="11" t="s">
        <v>217</v>
      </c>
      <c r="C27" s="11" t="s">
        <v>218</v>
      </c>
      <c r="D27" s="11" t="s">
        <v>78</v>
      </c>
      <c r="E27" s="11" t="s">
        <v>446</v>
      </c>
      <c r="F27" s="11" t="s">
        <v>250</v>
      </c>
      <c r="G27" s="11" t="s">
        <v>241</v>
      </c>
      <c r="H27" s="11" t="s">
        <v>251</v>
      </c>
      <c r="I27" s="11" t="s">
        <v>280</v>
      </c>
      <c r="J27" s="11" t="s">
        <v>267</v>
      </c>
      <c r="K27" s="11" t="s">
        <v>446</v>
      </c>
      <c r="L27" s="11" t="s">
        <v>278</v>
      </c>
      <c r="M27" s="11" t="s">
        <v>273</v>
      </c>
      <c r="N27" s="11" t="s">
        <v>246</v>
      </c>
      <c r="O27" s="11" t="s">
        <v>274</v>
      </c>
      <c r="P27" s="11">
        <v>4</v>
      </c>
      <c r="Q27" s="11">
        <v>5</v>
      </c>
      <c r="R27" s="11" t="s">
        <v>247</v>
      </c>
      <c r="S27" s="11" t="s">
        <v>447</v>
      </c>
      <c r="T27" s="11" t="s">
        <v>484</v>
      </c>
    </row>
    <row r="28" spans="1:20" ht="31.5">
      <c r="A28" s="11" t="s">
        <v>223</v>
      </c>
      <c r="B28" s="11" t="s">
        <v>224</v>
      </c>
      <c r="C28" s="11" t="s">
        <v>225</v>
      </c>
      <c r="D28" s="11" t="s">
        <v>78</v>
      </c>
      <c r="E28" s="11" t="s">
        <v>446</v>
      </c>
      <c r="F28" s="11" t="s">
        <v>250</v>
      </c>
      <c r="G28" s="11" t="s">
        <v>241</v>
      </c>
      <c r="H28" s="11" t="s">
        <v>280</v>
      </c>
      <c r="I28" s="11" t="s">
        <v>251</v>
      </c>
      <c r="J28" s="11" t="s">
        <v>267</v>
      </c>
      <c r="K28" s="11" t="s">
        <v>446</v>
      </c>
      <c r="L28" s="11" t="s">
        <v>278</v>
      </c>
      <c r="M28" s="11" t="s">
        <v>273</v>
      </c>
      <c r="N28" s="11" t="s">
        <v>246</v>
      </c>
      <c r="O28" s="11" t="s">
        <v>274</v>
      </c>
      <c r="P28" s="11">
        <v>4</v>
      </c>
      <c r="Q28" s="11">
        <v>5</v>
      </c>
      <c r="R28" s="11" t="s">
        <v>247</v>
      </c>
      <c r="S28" s="11" t="s">
        <v>447</v>
      </c>
      <c r="T28" s="11" t="s">
        <v>485</v>
      </c>
    </row>
  </sheetData>
  <mergeCells count="2">
    <mergeCell ref="A1:T1"/>
    <mergeCell ref="A2:T2"/>
  </mergeCells>
  <dataValidations count="1">
    <dataValidation type="whole" sqref="P4:Q28" xr:uid="{00000000-0002-0000-0300-000000000000}">
      <formula1>1</formula1>
      <formula2>9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T27"/>
  <sheetViews>
    <sheetView workbookViewId="0">
      <selection activeCell="A2" sqref="A2:XFD2"/>
    </sheetView>
  </sheetViews>
  <sheetFormatPr defaultRowHeight="15.75"/>
  <cols>
    <col min="1" max="1" width="10" style="4" customWidth="1"/>
    <col min="2" max="2" width="11" style="4" customWidth="1"/>
    <col min="3" max="3" width="48" style="4" customWidth="1"/>
    <col min="4" max="4" width="13" style="4" customWidth="1"/>
    <col min="5" max="5" width="22" style="4" customWidth="1"/>
    <col min="6" max="6" width="13" style="4" customWidth="1"/>
    <col min="7" max="7" width="22" style="4" customWidth="1"/>
    <col min="8" max="8" width="13" style="4" customWidth="1"/>
    <col min="9" max="9" width="28" style="4" customWidth="1"/>
    <col min="10" max="10" width="13" style="4" customWidth="1"/>
    <col min="11" max="11" width="30" style="4" customWidth="1"/>
    <col min="12" max="12" width="13" style="4" customWidth="1"/>
    <col min="13" max="13" width="25" style="4" customWidth="1"/>
    <col min="14" max="14" width="18" style="4" customWidth="1"/>
    <col min="15" max="15" width="13" customWidth="1"/>
    <col min="16" max="17" width="12" customWidth="1"/>
    <col min="18" max="18" width="20" style="4" customWidth="1"/>
    <col min="19" max="19" width="58" style="4" customWidth="1"/>
    <col min="20" max="20" width="55" style="4" customWidth="1"/>
    <col min="21" max="16384" width="9" style="4"/>
  </cols>
  <sheetData>
    <row r="1" spans="1:20" s="10" customFormat="1" ht="20.25">
      <c r="A1" s="22" t="s">
        <v>486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</row>
    <row r="2" spans="1:20" s="9" customFormat="1" ht="37.5">
      <c r="A2" s="8" t="s">
        <v>26</v>
      </c>
      <c r="B2" s="8" t="s">
        <v>27</v>
      </c>
      <c r="C2" s="8" t="s">
        <v>29</v>
      </c>
      <c r="D2" s="8" t="s">
        <v>296</v>
      </c>
      <c r="E2" s="8" t="s">
        <v>297</v>
      </c>
      <c r="F2" s="8" t="s">
        <v>298</v>
      </c>
      <c r="G2" s="8" t="s">
        <v>299</v>
      </c>
      <c r="H2" s="8" t="s">
        <v>300</v>
      </c>
      <c r="I2" s="8" t="s">
        <v>301</v>
      </c>
      <c r="J2" s="8" t="s">
        <v>302</v>
      </c>
      <c r="K2" s="8" t="s">
        <v>303</v>
      </c>
      <c r="L2" s="8" t="s">
        <v>304</v>
      </c>
      <c r="M2" s="8" t="s">
        <v>305</v>
      </c>
      <c r="N2" s="8" t="s">
        <v>237</v>
      </c>
      <c r="O2" s="8" t="s">
        <v>306</v>
      </c>
      <c r="P2" s="8" t="s">
        <v>307</v>
      </c>
      <c r="Q2" s="8" t="s">
        <v>308</v>
      </c>
      <c r="R2" s="8" t="s">
        <v>238</v>
      </c>
      <c r="S2" s="8" t="s">
        <v>309</v>
      </c>
      <c r="T2" s="8" t="s">
        <v>310</v>
      </c>
    </row>
    <row r="3" spans="1:20" ht="63">
      <c r="A3" s="11" t="s">
        <v>41</v>
      </c>
      <c r="B3" s="11" t="s">
        <v>42</v>
      </c>
      <c r="C3" s="11" t="s">
        <v>43</v>
      </c>
      <c r="D3" s="11" t="s">
        <v>44</v>
      </c>
      <c r="E3" s="11" t="s">
        <v>446</v>
      </c>
      <c r="F3" s="11" t="s">
        <v>250</v>
      </c>
      <c r="G3" s="11" t="s">
        <v>241</v>
      </c>
      <c r="H3" s="11" t="s">
        <v>288</v>
      </c>
      <c r="I3" s="11" t="s">
        <v>260</v>
      </c>
      <c r="J3" s="11" t="s">
        <v>267</v>
      </c>
      <c r="K3" s="11" t="s">
        <v>261</v>
      </c>
      <c r="L3" s="11" t="s">
        <v>278</v>
      </c>
      <c r="M3" s="11" t="s">
        <v>273</v>
      </c>
      <c r="N3" s="11" t="s">
        <v>246</v>
      </c>
      <c r="O3" s="11" t="s">
        <v>274</v>
      </c>
      <c r="P3" s="11">
        <v>4</v>
      </c>
      <c r="Q3" s="11">
        <v>5</v>
      </c>
      <c r="R3" s="11" t="s">
        <v>247</v>
      </c>
      <c r="S3" s="11" t="s">
        <v>487</v>
      </c>
      <c r="T3" s="11" t="s">
        <v>448</v>
      </c>
    </row>
    <row r="4" spans="1:20" ht="47.25">
      <c r="A4" s="11" t="s">
        <v>51</v>
      </c>
      <c r="B4" s="11" t="s">
        <v>52</v>
      </c>
      <c r="C4" s="11" t="s">
        <v>53</v>
      </c>
      <c r="D4" s="11" t="s">
        <v>44</v>
      </c>
      <c r="E4" s="11" t="s">
        <v>446</v>
      </c>
      <c r="F4" s="11" t="s">
        <v>250</v>
      </c>
      <c r="G4" s="11" t="s">
        <v>241</v>
      </c>
      <c r="H4" s="11" t="s">
        <v>271</v>
      </c>
      <c r="I4" s="11" t="s">
        <v>449</v>
      </c>
      <c r="J4" s="11" t="s">
        <v>252</v>
      </c>
      <c r="K4" s="11" t="s">
        <v>450</v>
      </c>
      <c r="L4" s="11" t="s">
        <v>268</v>
      </c>
      <c r="M4" s="11" t="s">
        <v>446</v>
      </c>
      <c r="N4" s="11" t="s">
        <v>246</v>
      </c>
      <c r="O4" s="11" t="s">
        <v>263</v>
      </c>
      <c r="P4" s="11">
        <v>2</v>
      </c>
      <c r="Q4" s="11">
        <v>3</v>
      </c>
      <c r="R4" s="11" t="s">
        <v>247</v>
      </c>
      <c r="S4" s="11" t="s">
        <v>487</v>
      </c>
      <c r="T4" s="11" t="s">
        <v>451</v>
      </c>
    </row>
    <row r="5" spans="1:20" ht="47.25">
      <c r="A5" s="11" t="s">
        <v>61</v>
      </c>
      <c r="B5" s="11" t="s">
        <v>62</v>
      </c>
      <c r="C5" s="11" t="s">
        <v>63</v>
      </c>
      <c r="D5" s="11" t="s">
        <v>44</v>
      </c>
      <c r="E5" s="11" t="s">
        <v>446</v>
      </c>
      <c r="F5" s="11" t="s">
        <v>250</v>
      </c>
      <c r="G5" s="11" t="s">
        <v>241</v>
      </c>
      <c r="H5" s="11" t="s">
        <v>260</v>
      </c>
      <c r="I5" s="11" t="s">
        <v>452</v>
      </c>
      <c r="J5" s="11" t="s">
        <v>252</v>
      </c>
      <c r="K5" s="11" t="s">
        <v>450</v>
      </c>
      <c r="L5" s="11" t="s">
        <v>273</v>
      </c>
      <c r="M5" s="11" t="s">
        <v>446</v>
      </c>
      <c r="N5" s="11" t="s">
        <v>246</v>
      </c>
      <c r="O5" s="11" t="s">
        <v>274</v>
      </c>
      <c r="P5" s="11">
        <v>4</v>
      </c>
      <c r="Q5" s="11">
        <v>5</v>
      </c>
      <c r="R5" s="11" t="s">
        <v>256</v>
      </c>
      <c r="S5" s="11" t="s">
        <v>487</v>
      </c>
      <c r="T5" s="11" t="s">
        <v>453</v>
      </c>
    </row>
    <row r="6" spans="1:20" ht="47.25">
      <c r="A6" s="11" t="s">
        <v>71</v>
      </c>
      <c r="B6" s="11" t="s">
        <v>72</v>
      </c>
      <c r="C6" s="11" t="s">
        <v>73</v>
      </c>
      <c r="D6" s="11" t="s">
        <v>44</v>
      </c>
      <c r="E6" s="11" t="s">
        <v>446</v>
      </c>
      <c r="F6" s="11" t="s">
        <v>250</v>
      </c>
      <c r="G6" s="11" t="s">
        <v>241</v>
      </c>
      <c r="H6" s="11" t="s">
        <v>266</v>
      </c>
      <c r="I6" s="11" t="s">
        <v>276</v>
      </c>
      <c r="J6" s="11" t="s">
        <v>252</v>
      </c>
      <c r="K6" s="11" t="s">
        <v>450</v>
      </c>
      <c r="L6" s="11" t="s">
        <v>289</v>
      </c>
      <c r="M6" s="11" t="s">
        <v>273</v>
      </c>
      <c r="N6" s="11" t="s">
        <v>246</v>
      </c>
      <c r="O6" s="11" t="s">
        <v>279</v>
      </c>
      <c r="P6" s="11">
        <v>5</v>
      </c>
      <c r="Q6" s="11">
        <v>6</v>
      </c>
      <c r="R6" s="11" t="s">
        <v>256</v>
      </c>
      <c r="S6" s="11" t="s">
        <v>487</v>
      </c>
      <c r="T6" s="11" t="s">
        <v>454</v>
      </c>
    </row>
    <row r="7" spans="1:20" ht="47.25">
      <c r="A7" s="11" t="s">
        <v>79</v>
      </c>
      <c r="B7" s="11" t="s">
        <v>80</v>
      </c>
      <c r="C7" s="11" t="s">
        <v>81</v>
      </c>
      <c r="D7" s="11" t="s">
        <v>44</v>
      </c>
      <c r="E7" s="11" t="s">
        <v>446</v>
      </c>
      <c r="F7" s="11" t="s">
        <v>250</v>
      </c>
      <c r="G7" s="11" t="s">
        <v>241</v>
      </c>
      <c r="H7" s="11" t="s">
        <v>276</v>
      </c>
      <c r="I7" s="11" t="s">
        <v>446</v>
      </c>
      <c r="J7" s="11" t="s">
        <v>252</v>
      </c>
      <c r="K7" s="11" t="s">
        <v>450</v>
      </c>
      <c r="L7" s="11" t="s">
        <v>273</v>
      </c>
      <c r="M7" s="11" t="s">
        <v>278</v>
      </c>
      <c r="N7" s="11" t="s">
        <v>246</v>
      </c>
      <c r="O7" s="11" t="s">
        <v>274</v>
      </c>
      <c r="P7" s="11">
        <v>4</v>
      </c>
      <c r="Q7" s="11">
        <v>5</v>
      </c>
      <c r="R7" s="11" t="s">
        <v>247</v>
      </c>
      <c r="S7" s="11" t="s">
        <v>487</v>
      </c>
      <c r="T7" s="11" t="s">
        <v>455</v>
      </c>
    </row>
    <row r="8" spans="1:20" ht="47.25">
      <c r="A8" s="11" t="s">
        <v>87</v>
      </c>
      <c r="B8" s="11" t="s">
        <v>88</v>
      </c>
      <c r="C8" s="11" t="s">
        <v>89</v>
      </c>
      <c r="D8" s="11" t="s">
        <v>44</v>
      </c>
      <c r="E8" s="11" t="s">
        <v>446</v>
      </c>
      <c r="F8" s="11" t="s">
        <v>250</v>
      </c>
      <c r="G8" s="11" t="s">
        <v>241</v>
      </c>
      <c r="H8" s="11" t="s">
        <v>266</v>
      </c>
      <c r="I8" s="11" t="s">
        <v>276</v>
      </c>
      <c r="J8" s="11" t="s">
        <v>252</v>
      </c>
      <c r="K8" s="11" t="s">
        <v>450</v>
      </c>
      <c r="L8" s="11" t="s">
        <v>268</v>
      </c>
      <c r="M8" s="11" t="s">
        <v>446</v>
      </c>
      <c r="N8" s="11" t="s">
        <v>246</v>
      </c>
      <c r="O8" s="11" t="s">
        <v>263</v>
      </c>
      <c r="P8" s="11">
        <v>2</v>
      </c>
      <c r="Q8" s="11">
        <v>3</v>
      </c>
      <c r="R8" s="11" t="s">
        <v>256</v>
      </c>
      <c r="S8" s="11" t="s">
        <v>487</v>
      </c>
      <c r="T8" s="11" t="s">
        <v>456</v>
      </c>
    </row>
    <row r="9" spans="1:20" ht="47.25">
      <c r="A9" s="11" t="s">
        <v>94</v>
      </c>
      <c r="B9" s="11" t="s">
        <v>95</v>
      </c>
      <c r="C9" s="11" t="s">
        <v>96</v>
      </c>
      <c r="D9" s="11" t="s">
        <v>60</v>
      </c>
      <c r="E9" s="11" t="s">
        <v>446</v>
      </c>
      <c r="F9" s="11" t="s">
        <v>250</v>
      </c>
      <c r="G9" s="11" t="s">
        <v>241</v>
      </c>
      <c r="H9" s="11" t="s">
        <v>276</v>
      </c>
      <c r="I9" s="11" t="s">
        <v>446</v>
      </c>
      <c r="J9" s="11" t="s">
        <v>252</v>
      </c>
      <c r="K9" s="11" t="s">
        <v>450</v>
      </c>
      <c r="L9" s="11" t="s">
        <v>253</v>
      </c>
      <c r="M9" s="11" t="s">
        <v>446</v>
      </c>
      <c r="N9" s="11" t="s">
        <v>246</v>
      </c>
      <c r="O9" s="11" t="s">
        <v>245</v>
      </c>
      <c r="P9" s="11">
        <v>1</v>
      </c>
      <c r="Q9" s="11">
        <v>2</v>
      </c>
      <c r="R9" s="11" t="s">
        <v>247</v>
      </c>
      <c r="S9" s="11" t="s">
        <v>487</v>
      </c>
      <c r="T9" s="11" t="s">
        <v>457</v>
      </c>
    </row>
    <row r="10" spans="1:20" ht="47.25">
      <c r="A10" s="11" t="s">
        <v>102</v>
      </c>
      <c r="B10" s="11" t="s">
        <v>103</v>
      </c>
      <c r="C10" s="11" t="s">
        <v>104</v>
      </c>
      <c r="D10" s="11" t="s">
        <v>60</v>
      </c>
      <c r="E10" s="11" t="s">
        <v>446</v>
      </c>
      <c r="F10" s="11" t="s">
        <v>250</v>
      </c>
      <c r="G10" s="11" t="s">
        <v>241</v>
      </c>
      <c r="H10" s="11" t="s">
        <v>260</v>
      </c>
      <c r="I10" s="11" t="s">
        <v>452</v>
      </c>
      <c r="J10" s="11" t="s">
        <v>252</v>
      </c>
      <c r="K10" s="11" t="s">
        <v>450</v>
      </c>
      <c r="L10" s="11" t="s">
        <v>273</v>
      </c>
      <c r="M10" s="11" t="s">
        <v>278</v>
      </c>
      <c r="N10" s="11" t="s">
        <v>246</v>
      </c>
      <c r="O10" s="11" t="s">
        <v>274</v>
      </c>
      <c r="P10" s="11">
        <v>4</v>
      </c>
      <c r="Q10" s="11">
        <v>5</v>
      </c>
      <c r="R10" s="11" t="s">
        <v>256</v>
      </c>
      <c r="S10" s="11" t="s">
        <v>487</v>
      </c>
      <c r="T10" s="11" t="s">
        <v>458</v>
      </c>
    </row>
    <row r="11" spans="1:20" ht="47.25">
      <c r="A11" s="11" t="s">
        <v>110</v>
      </c>
      <c r="B11" s="11" t="s">
        <v>111</v>
      </c>
      <c r="C11" s="11" t="s">
        <v>112</v>
      </c>
      <c r="D11" s="11" t="s">
        <v>60</v>
      </c>
      <c r="E11" s="11" t="s">
        <v>446</v>
      </c>
      <c r="F11" s="11" t="s">
        <v>250</v>
      </c>
      <c r="G11" s="11" t="s">
        <v>241</v>
      </c>
      <c r="H11" s="11" t="s">
        <v>276</v>
      </c>
      <c r="I11" s="11" t="s">
        <v>242</v>
      </c>
      <c r="J11" s="11" t="s">
        <v>252</v>
      </c>
      <c r="K11" s="11" t="s">
        <v>450</v>
      </c>
      <c r="L11" s="11" t="s">
        <v>273</v>
      </c>
      <c r="M11" s="11" t="s">
        <v>278</v>
      </c>
      <c r="N11" s="11" t="s">
        <v>246</v>
      </c>
      <c r="O11" s="11" t="s">
        <v>274</v>
      </c>
      <c r="P11" s="11">
        <v>4</v>
      </c>
      <c r="Q11" s="11">
        <v>5</v>
      </c>
      <c r="R11" s="11" t="s">
        <v>247</v>
      </c>
      <c r="S11" s="11" t="s">
        <v>487</v>
      </c>
      <c r="T11" s="11" t="s">
        <v>459</v>
      </c>
    </row>
    <row r="12" spans="1:20" ht="47.25">
      <c r="A12" s="11" t="s">
        <v>116</v>
      </c>
      <c r="B12" s="11" t="s">
        <v>117</v>
      </c>
      <c r="C12" s="11" t="s">
        <v>118</v>
      </c>
      <c r="D12" s="11" t="s">
        <v>60</v>
      </c>
      <c r="E12" s="11" t="s">
        <v>446</v>
      </c>
      <c r="F12" s="11" t="s">
        <v>250</v>
      </c>
      <c r="G12" s="11" t="s">
        <v>241</v>
      </c>
      <c r="H12" s="11" t="s">
        <v>276</v>
      </c>
      <c r="I12" s="11" t="s">
        <v>266</v>
      </c>
      <c r="J12" s="11" t="s">
        <v>252</v>
      </c>
      <c r="K12" s="11" t="s">
        <v>450</v>
      </c>
      <c r="L12" s="11" t="s">
        <v>273</v>
      </c>
      <c r="M12" s="11" t="s">
        <v>278</v>
      </c>
      <c r="N12" s="11" t="s">
        <v>246</v>
      </c>
      <c r="O12" s="11" t="s">
        <v>274</v>
      </c>
      <c r="P12" s="11">
        <v>4</v>
      </c>
      <c r="Q12" s="11">
        <v>5</v>
      </c>
      <c r="R12" s="11" t="s">
        <v>247</v>
      </c>
      <c r="S12" s="11" t="s">
        <v>487</v>
      </c>
      <c r="T12" s="11" t="s">
        <v>460</v>
      </c>
    </row>
    <row r="13" spans="1:20" ht="47.25">
      <c r="A13" s="11" t="s">
        <v>124</v>
      </c>
      <c r="B13" s="11" t="s">
        <v>125</v>
      </c>
      <c r="C13" s="11" t="s">
        <v>126</v>
      </c>
      <c r="D13" s="11" t="s">
        <v>60</v>
      </c>
      <c r="E13" s="11" t="s">
        <v>446</v>
      </c>
      <c r="F13" s="11" t="s">
        <v>250</v>
      </c>
      <c r="G13" s="11" t="s">
        <v>241</v>
      </c>
      <c r="H13" s="11" t="s">
        <v>260</v>
      </c>
      <c r="I13" s="11" t="s">
        <v>461</v>
      </c>
      <c r="J13" s="11" t="s">
        <v>252</v>
      </c>
      <c r="K13" s="11" t="s">
        <v>450</v>
      </c>
      <c r="L13" s="11" t="s">
        <v>278</v>
      </c>
      <c r="M13" s="11" t="s">
        <v>273</v>
      </c>
      <c r="N13" s="11" t="s">
        <v>246</v>
      </c>
      <c r="O13" s="11" t="s">
        <v>274</v>
      </c>
      <c r="P13" s="11">
        <v>4</v>
      </c>
      <c r="Q13" s="11">
        <v>5</v>
      </c>
      <c r="R13" s="11" t="s">
        <v>256</v>
      </c>
      <c r="S13" s="11" t="s">
        <v>487</v>
      </c>
      <c r="T13" s="11" t="s">
        <v>462</v>
      </c>
    </row>
    <row r="14" spans="1:20" ht="47.25">
      <c r="A14" s="11" t="s">
        <v>131</v>
      </c>
      <c r="B14" s="11" t="s">
        <v>132</v>
      </c>
      <c r="C14" s="11" t="s">
        <v>133</v>
      </c>
      <c r="D14" s="11" t="s">
        <v>60</v>
      </c>
      <c r="E14" s="11" t="s">
        <v>446</v>
      </c>
      <c r="F14" s="11" t="s">
        <v>250</v>
      </c>
      <c r="G14" s="11" t="s">
        <v>241</v>
      </c>
      <c r="H14" s="11" t="s">
        <v>266</v>
      </c>
      <c r="I14" s="11" t="s">
        <v>461</v>
      </c>
      <c r="J14" s="11" t="s">
        <v>252</v>
      </c>
      <c r="K14" s="11" t="s">
        <v>450</v>
      </c>
      <c r="L14" s="11" t="s">
        <v>273</v>
      </c>
      <c r="M14" s="11" t="s">
        <v>278</v>
      </c>
      <c r="N14" s="11" t="s">
        <v>246</v>
      </c>
      <c r="O14" s="11" t="s">
        <v>274</v>
      </c>
      <c r="P14" s="11">
        <v>4</v>
      </c>
      <c r="Q14" s="11">
        <v>5</v>
      </c>
      <c r="R14" s="11" t="s">
        <v>256</v>
      </c>
      <c r="S14" s="11" t="s">
        <v>487</v>
      </c>
      <c r="T14" s="11" t="s">
        <v>463</v>
      </c>
    </row>
    <row r="15" spans="1:20" ht="63">
      <c r="A15" s="11" t="s">
        <v>138</v>
      </c>
      <c r="B15" s="11" t="s">
        <v>139</v>
      </c>
      <c r="C15" s="11" t="s">
        <v>140</v>
      </c>
      <c r="D15" s="11" t="s">
        <v>70</v>
      </c>
      <c r="E15" s="11" t="s">
        <v>446</v>
      </c>
      <c r="F15" s="11" t="s">
        <v>259</v>
      </c>
      <c r="G15" s="11" t="s">
        <v>446</v>
      </c>
      <c r="H15" s="11" t="s">
        <v>294</v>
      </c>
      <c r="I15" s="11" t="s">
        <v>290</v>
      </c>
      <c r="J15" s="11" t="s">
        <v>243</v>
      </c>
      <c r="K15" s="11" t="s">
        <v>464</v>
      </c>
      <c r="L15" s="11" t="s">
        <v>282</v>
      </c>
      <c r="M15" s="11" t="s">
        <v>446</v>
      </c>
      <c r="N15" s="11" t="s">
        <v>255</v>
      </c>
      <c r="O15" s="11" t="s">
        <v>348</v>
      </c>
      <c r="P15" s="11" t="s">
        <v>348</v>
      </c>
      <c r="Q15" s="11" t="s">
        <v>348</v>
      </c>
      <c r="R15" s="11" t="s">
        <v>348</v>
      </c>
      <c r="S15" s="11" t="s">
        <v>488</v>
      </c>
      <c r="T15" s="11" t="s">
        <v>466</v>
      </c>
    </row>
    <row r="16" spans="1:20" ht="63">
      <c r="A16" s="11" t="s">
        <v>146</v>
      </c>
      <c r="B16" s="11" t="s">
        <v>147</v>
      </c>
      <c r="C16" s="11" t="s">
        <v>148</v>
      </c>
      <c r="D16" s="11" t="s">
        <v>70</v>
      </c>
      <c r="E16" s="11" t="s">
        <v>446</v>
      </c>
      <c r="F16" s="11" t="s">
        <v>259</v>
      </c>
      <c r="G16" s="11" t="s">
        <v>446</v>
      </c>
      <c r="H16" s="11" t="s">
        <v>294</v>
      </c>
      <c r="I16" s="11" t="s">
        <v>446</v>
      </c>
      <c r="J16" s="11" t="s">
        <v>243</v>
      </c>
      <c r="K16" s="11" t="s">
        <v>261</v>
      </c>
      <c r="L16" s="11" t="s">
        <v>286</v>
      </c>
      <c r="M16" s="11" t="s">
        <v>446</v>
      </c>
      <c r="N16" s="11" t="s">
        <v>255</v>
      </c>
      <c r="O16" s="11" t="s">
        <v>348</v>
      </c>
      <c r="P16" s="11" t="s">
        <v>348</v>
      </c>
      <c r="Q16" s="11" t="s">
        <v>348</v>
      </c>
      <c r="R16" s="11" t="s">
        <v>348</v>
      </c>
      <c r="S16" s="11" t="s">
        <v>488</v>
      </c>
      <c r="T16" s="11" t="s">
        <v>467</v>
      </c>
    </row>
    <row r="17" spans="1:20" ht="47.25">
      <c r="A17" s="11" t="s">
        <v>153</v>
      </c>
      <c r="B17" s="11" t="s">
        <v>154</v>
      </c>
      <c r="C17" s="11" t="s">
        <v>155</v>
      </c>
      <c r="D17" s="11" t="s">
        <v>70</v>
      </c>
      <c r="E17" s="11" t="s">
        <v>446</v>
      </c>
      <c r="F17" s="11" t="s">
        <v>259</v>
      </c>
      <c r="G17" s="11" t="s">
        <v>241</v>
      </c>
      <c r="H17" s="11" t="s">
        <v>290</v>
      </c>
      <c r="I17" s="11" t="s">
        <v>251</v>
      </c>
      <c r="J17" s="11" t="s">
        <v>243</v>
      </c>
      <c r="K17" s="11" t="s">
        <v>468</v>
      </c>
      <c r="L17" s="11" t="s">
        <v>289</v>
      </c>
      <c r="M17" s="11" t="s">
        <v>469</v>
      </c>
      <c r="N17" s="11" t="s">
        <v>246</v>
      </c>
      <c r="O17" s="11" t="s">
        <v>279</v>
      </c>
      <c r="P17" s="11">
        <v>5</v>
      </c>
      <c r="Q17" s="11">
        <v>6</v>
      </c>
      <c r="R17" s="11" t="s">
        <v>247</v>
      </c>
      <c r="S17" s="11" t="s">
        <v>487</v>
      </c>
      <c r="T17" s="11" t="s">
        <v>470</v>
      </c>
    </row>
    <row r="18" spans="1:20" ht="47.25">
      <c r="A18" s="11" t="s">
        <v>160</v>
      </c>
      <c r="B18" s="11" t="s">
        <v>161</v>
      </c>
      <c r="C18" s="11" t="s">
        <v>162</v>
      </c>
      <c r="D18" s="11" t="s">
        <v>70</v>
      </c>
      <c r="E18" s="11" t="s">
        <v>446</v>
      </c>
      <c r="F18" s="11" t="s">
        <v>259</v>
      </c>
      <c r="G18" s="11" t="s">
        <v>241</v>
      </c>
      <c r="H18" s="11" t="s">
        <v>280</v>
      </c>
      <c r="I18" s="11" t="s">
        <v>260</v>
      </c>
      <c r="J18" s="11" t="s">
        <v>261</v>
      </c>
      <c r="K18" s="11" t="s">
        <v>272</v>
      </c>
      <c r="L18" s="11" t="s">
        <v>291</v>
      </c>
      <c r="M18" s="11" t="s">
        <v>446</v>
      </c>
      <c r="N18" s="11" t="s">
        <v>246</v>
      </c>
      <c r="O18" s="11" t="s">
        <v>283</v>
      </c>
      <c r="P18" s="11">
        <v>7</v>
      </c>
      <c r="Q18" s="11">
        <v>8</v>
      </c>
      <c r="R18" s="11" t="s">
        <v>256</v>
      </c>
      <c r="S18" s="11" t="s">
        <v>487</v>
      </c>
      <c r="T18" s="11" t="s">
        <v>471</v>
      </c>
    </row>
    <row r="19" spans="1:20" ht="47.25">
      <c r="A19" s="11" t="s">
        <v>168</v>
      </c>
      <c r="B19" s="11" t="s">
        <v>169</v>
      </c>
      <c r="C19" s="11" t="s">
        <v>170</v>
      </c>
      <c r="D19" s="11" t="s">
        <v>70</v>
      </c>
      <c r="E19" s="11" t="s">
        <v>446</v>
      </c>
      <c r="F19" s="11" t="s">
        <v>250</v>
      </c>
      <c r="G19" s="11" t="s">
        <v>241</v>
      </c>
      <c r="H19" s="11" t="s">
        <v>251</v>
      </c>
      <c r="I19" s="11" t="s">
        <v>280</v>
      </c>
      <c r="J19" s="11" t="s">
        <v>252</v>
      </c>
      <c r="K19" s="11" t="s">
        <v>472</v>
      </c>
      <c r="L19" s="11" t="s">
        <v>282</v>
      </c>
      <c r="M19" s="11" t="s">
        <v>273</v>
      </c>
      <c r="N19" s="11" t="s">
        <v>246</v>
      </c>
      <c r="O19" s="11" t="s">
        <v>274</v>
      </c>
      <c r="P19" s="11">
        <v>4</v>
      </c>
      <c r="Q19" s="11">
        <v>5</v>
      </c>
      <c r="R19" s="11" t="s">
        <v>247</v>
      </c>
      <c r="S19" s="11" t="s">
        <v>487</v>
      </c>
      <c r="T19" s="11" t="s">
        <v>473</v>
      </c>
    </row>
    <row r="20" spans="1:20" ht="47.25">
      <c r="A20" s="11" t="s">
        <v>175</v>
      </c>
      <c r="B20" s="11" t="s">
        <v>176</v>
      </c>
      <c r="C20" s="11" t="s">
        <v>177</v>
      </c>
      <c r="D20" s="11" t="s">
        <v>70</v>
      </c>
      <c r="E20" s="11" t="s">
        <v>446</v>
      </c>
      <c r="F20" s="11" t="s">
        <v>259</v>
      </c>
      <c r="G20" s="11" t="s">
        <v>250</v>
      </c>
      <c r="H20" s="11" t="s">
        <v>294</v>
      </c>
      <c r="I20" s="11" t="s">
        <v>474</v>
      </c>
      <c r="J20" s="11" t="s">
        <v>281</v>
      </c>
      <c r="K20" s="11" t="s">
        <v>267</v>
      </c>
      <c r="L20" s="11" t="s">
        <v>278</v>
      </c>
      <c r="M20" s="11" t="s">
        <v>469</v>
      </c>
      <c r="N20" s="11" t="s">
        <v>246</v>
      </c>
      <c r="O20" s="11" t="s">
        <v>274</v>
      </c>
      <c r="P20" s="11">
        <v>4</v>
      </c>
      <c r="Q20" s="11">
        <v>5</v>
      </c>
      <c r="R20" s="11" t="s">
        <v>247</v>
      </c>
      <c r="S20" s="11" t="s">
        <v>487</v>
      </c>
      <c r="T20" s="11" t="s">
        <v>475</v>
      </c>
    </row>
    <row r="21" spans="1:20" ht="47.25">
      <c r="A21" s="11" t="s">
        <v>182</v>
      </c>
      <c r="B21" s="11" t="s">
        <v>183</v>
      </c>
      <c r="C21" s="11" t="s">
        <v>184</v>
      </c>
      <c r="D21" s="11" t="s">
        <v>78</v>
      </c>
      <c r="E21" s="11" t="s">
        <v>446</v>
      </c>
      <c r="F21" s="11" t="s">
        <v>250</v>
      </c>
      <c r="G21" s="11" t="s">
        <v>241</v>
      </c>
      <c r="H21" s="11" t="s">
        <v>280</v>
      </c>
      <c r="I21" s="11" t="s">
        <v>251</v>
      </c>
      <c r="J21" s="11" t="s">
        <v>267</v>
      </c>
      <c r="K21" s="11" t="s">
        <v>446</v>
      </c>
      <c r="L21" s="11" t="s">
        <v>278</v>
      </c>
      <c r="M21" s="11" t="s">
        <v>273</v>
      </c>
      <c r="N21" s="11" t="s">
        <v>246</v>
      </c>
      <c r="O21" s="11" t="s">
        <v>274</v>
      </c>
      <c r="P21" s="11">
        <v>4</v>
      </c>
      <c r="Q21" s="11">
        <v>5</v>
      </c>
      <c r="R21" s="11" t="s">
        <v>247</v>
      </c>
      <c r="S21" s="11" t="s">
        <v>487</v>
      </c>
      <c r="T21" s="11" t="s">
        <v>476</v>
      </c>
    </row>
    <row r="22" spans="1:20" ht="47.25">
      <c r="A22" s="11" t="s">
        <v>189</v>
      </c>
      <c r="B22" s="11" t="s">
        <v>190</v>
      </c>
      <c r="C22" s="11" t="s">
        <v>191</v>
      </c>
      <c r="D22" s="11" t="s">
        <v>78</v>
      </c>
      <c r="E22" s="11" t="s">
        <v>446</v>
      </c>
      <c r="F22" s="11" t="s">
        <v>259</v>
      </c>
      <c r="G22" s="11" t="s">
        <v>477</v>
      </c>
      <c r="H22" s="11" t="s">
        <v>280</v>
      </c>
      <c r="I22" s="11" t="s">
        <v>251</v>
      </c>
      <c r="J22" s="11" t="s">
        <v>267</v>
      </c>
      <c r="K22" s="11" t="s">
        <v>446</v>
      </c>
      <c r="L22" s="11" t="s">
        <v>291</v>
      </c>
      <c r="M22" s="11" t="s">
        <v>278</v>
      </c>
      <c r="N22" s="11" t="s">
        <v>246</v>
      </c>
      <c r="O22" s="11" t="s">
        <v>283</v>
      </c>
      <c r="P22" s="11">
        <v>7</v>
      </c>
      <c r="Q22" s="11">
        <v>8</v>
      </c>
      <c r="R22" s="11" t="s">
        <v>247</v>
      </c>
      <c r="S22" s="11" t="s">
        <v>487</v>
      </c>
      <c r="T22" s="11" t="s">
        <v>478</v>
      </c>
    </row>
    <row r="23" spans="1:20" ht="47.25">
      <c r="A23" s="11" t="s">
        <v>195</v>
      </c>
      <c r="B23" s="11" t="s">
        <v>196</v>
      </c>
      <c r="C23" s="11" t="s">
        <v>197</v>
      </c>
      <c r="D23" s="11" t="s">
        <v>78</v>
      </c>
      <c r="E23" s="11" t="s">
        <v>446</v>
      </c>
      <c r="F23" s="11" t="s">
        <v>250</v>
      </c>
      <c r="G23" s="11" t="s">
        <v>241</v>
      </c>
      <c r="H23" s="11" t="s">
        <v>280</v>
      </c>
      <c r="I23" s="11" t="s">
        <v>251</v>
      </c>
      <c r="J23" s="11" t="s">
        <v>267</v>
      </c>
      <c r="K23" s="11" t="s">
        <v>446</v>
      </c>
      <c r="L23" s="11" t="s">
        <v>278</v>
      </c>
      <c r="M23" s="11" t="s">
        <v>273</v>
      </c>
      <c r="N23" s="11" t="s">
        <v>246</v>
      </c>
      <c r="O23" s="11" t="s">
        <v>274</v>
      </c>
      <c r="P23" s="11">
        <v>4</v>
      </c>
      <c r="Q23" s="11">
        <v>5</v>
      </c>
      <c r="R23" s="11" t="s">
        <v>247</v>
      </c>
      <c r="S23" s="11" t="s">
        <v>487</v>
      </c>
      <c r="T23" s="11" t="s">
        <v>479</v>
      </c>
    </row>
    <row r="24" spans="1:20" ht="47.25">
      <c r="A24" s="11" t="s">
        <v>202</v>
      </c>
      <c r="B24" s="11" t="s">
        <v>203</v>
      </c>
      <c r="C24" s="11" t="s">
        <v>204</v>
      </c>
      <c r="D24" s="11" t="s">
        <v>78</v>
      </c>
      <c r="E24" s="11" t="s">
        <v>70</v>
      </c>
      <c r="F24" s="11" t="s">
        <v>250</v>
      </c>
      <c r="G24" s="11" t="s">
        <v>241</v>
      </c>
      <c r="H24" s="11" t="s">
        <v>251</v>
      </c>
      <c r="I24" s="11" t="s">
        <v>480</v>
      </c>
      <c r="J24" s="11" t="s">
        <v>267</v>
      </c>
      <c r="K24" s="11" t="s">
        <v>481</v>
      </c>
      <c r="L24" s="11" t="s">
        <v>278</v>
      </c>
      <c r="M24" s="11" t="s">
        <v>273</v>
      </c>
      <c r="N24" s="11" t="s">
        <v>246</v>
      </c>
      <c r="O24" s="11" t="s">
        <v>274</v>
      </c>
      <c r="P24" s="11">
        <v>4</v>
      </c>
      <c r="Q24" s="11">
        <v>5</v>
      </c>
      <c r="R24" s="11" t="s">
        <v>247</v>
      </c>
      <c r="S24" s="11" t="s">
        <v>487</v>
      </c>
      <c r="T24" s="11" t="s">
        <v>482</v>
      </c>
    </row>
    <row r="25" spans="1:20" ht="47.25">
      <c r="A25" s="11" t="s">
        <v>209</v>
      </c>
      <c r="B25" s="11" t="s">
        <v>210</v>
      </c>
      <c r="C25" s="11" t="s">
        <v>211</v>
      </c>
      <c r="D25" s="11" t="s">
        <v>78</v>
      </c>
      <c r="E25" s="11" t="s">
        <v>446</v>
      </c>
      <c r="F25" s="11" t="s">
        <v>250</v>
      </c>
      <c r="G25" s="11" t="s">
        <v>241</v>
      </c>
      <c r="H25" s="11" t="s">
        <v>280</v>
      </c>
      <c r="I25" s="11" t="s">
        <v>446</v>
      </c>
      <c r="J25" s="11" t="s">
        <v>267</v>
      </c>
      <c r="K25" s="11" t="s">
        <v>446</v>
      </c>
      <c r="L25" s="11" t="s">
        <v>262</v>
      </c>
      <c r="M25" s="11" t="s">
        <v>446</v>
      </c>
      <c r="N25" s="11" t="s">
        <v>246</v>
      </c>
      <c r="O25" s="11" t="s">
        <v>254</v>
      </c>
      <c r="P25" s="11">
        <v>2</v>
      </c>
      <c r="Q25" s="11">
        <v>3</v>
      </c>
      <c r="R25" s="11" t="s">
        <v>247</v>
      </c>
      <c r="S25" s="11" t="s">
        <v>487</v>
      </c>
      <c r="T25" s="11" t="s">
        <v>483</v>
      </c>
    </row>
    <row r="26" spans="1:20" ht="47.25">
      <c r="A26" s="11" t="s">
        <v>216</v>
      </c>
      <c r="B26" s="11" t="s">
        <v>217</v>
      </c>
      <c r="C26" s="11" t="s">
        <v>218</v>
      </c>
      <c r="D26" s="11" t="s">
        <v>78</v>
      </c>
      <c r="E26" s="11" t="s">
        <v>446</v>
      </c>
      <c r="F26" s="11" t="s">
        <v>250</v>
      </c>
      <c r="G26" s="11" t="s">
        <v>241</v>
      </c>
      <c r="H26" s="11" t="s">
        <v>251</v>
      </c>
      <c r="I26" s="11" t="s">
        <v>280</v>
      </c>
      <c r="J26" s="11" t="s">
        <v>267</v>
      </c>
      <c r="K26" s="11" t="s">
        <v>446</v>
      </c>
      <c r="L26" s="11" t="s">
        <v>278</v>
      </c>
      <c r="M26" s="11" t="s">
        <v>273</v>
      </c>
      <c r="N26" s="11" t="s">
        <v>246</v>
      </c>
      <c r="O26" s="11" t="s">
        <v>274</v>
      </c>
      <c r="P26" s="11">
        <v>4</v>
      </c>
      <c r="Q26" s="11">
        <v>5</v>
      </c>
      <c r="R26" s="11" t="s">
        <v>247</v>
      </c>
      <c r="S26" s="11" t="s">
        <v>487</v>
      </c>
      <c r="T26" s="11" t="s">
        <v>484</v>
      </c>
    </row>
    <row r="27" spans="1:20" ht="47.25">
      <c r="A27" s="11" t="s">
        <v>223</v>
      </c>
      <c r="B27" s="11" t="s">
        <v>224</v>
      </c>
      <c r="C27" s="11" t="s">
        <v>225</v>
      </c>
      <c r="D27" s="11" t="s">
        <v>78</v>
      </c>
      <c r="E27" s="11" t="s">
        <v>446</v>
      </c>
      <c r="F27" s="11" t="s">
        <v>250</v>
      </c>
      <c r="G27" s="11" t="s">
        <v>241</v>
      </c>
      <c r="H27" s="11" t="s">
        <v>280</v>
      </c>
      <c r="I27" s="11" t="s">
        <v>251</v>
      </c>
      <c r="J27" s="11" t="s">
        <v>267</v>
      </c>
      <c r="K27" s="11" t="s">
        <v>446</v>
      </c>
      <c r="L27" s="11" t="s">
        <v>278</v>
      </c>
      <c r="M27" s="11" t="s">
        <v>273</v>
      </c>
      <c r="N27" s="11" t="s">
        <v>246</v>
      </c>
      <c r="O27" s="11" t="s">
        <v>274</v>
      </c>
      <c r="P27" s="11">
        <v>4</v>
      </c>
      <c r="Q27" s="11">
        <v>5</v>
      </c>
      <c r="R27" s="11" t="s">
        <v>247</v>
      </c>
      <c r="S27" s="11" t="s">
        <v>487</v>
      </c>
      <c r="T27" s="11" t="s">
        <v>485</v>
      </c>
    </row>
  </sheetData>
  <mergeCells count="1">
    <mergeCell ref="A1:T1"/>
  </mergeCells>
  <dataValidations count="1">
    <dataValidation type="whole" sqref="P3:Q27" xr:uid="{00000000-0002-0000-0400-000000000000}">
      <formula1>1</formula1>
      <formula2>9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I103"/>
  <sheetViews>
    <sheetView workbookViewId="0">
      <selection activeCell="A2" sqref="A2:XFD2"/>
    </sheetView>
  </sheetViews>
  <sheetFormatPr defaultRowHeight="15.75"/>
  <cols>
    <col min="1" max="1" width="20" style="4" customWidth="1"/>
    <col min="2" max="3" width="18" style="4" customWidth="1"/>
    <col min="4" max="4" width="16" style="4" customWidth="1"/>
    <col min="5" max="5" width="9" style="4"/>
    <col min="6" max="6" width="28" style="4" customWidth="1"/>
    <col min="7" max="7" width="18" style="4" customWidth="1"/>
    <col min="8" max="16384" width="9" style="4"/>
  </cols>
  <sheetData>
    <row r="1" spans="1:9" s="10" customFormat="1" ht="20.25">
      <c r="A1" s="22" t="s">
        <v>311</v>
      </c>
      <c r="B1" s="22"/>
      <c r="C1" s="22"/>
      <c r="D1" s="22"/>
      <c r="E1" s="22"/>
      <c r="F1" s="22"/>
      <c r="G1" s="22"/>
      <c r="H1" s="22"/>
      <c r="I1" s="22"/>
    </row>
    <row r="3" spans="1:9" s="9" customFormat="1" ht="18.75">
      <c r="A3" s="8" t="s">
        <v>312</v>
      </c>
      <c r="B3" s="8" t="s">
        <v>313</v>
      </c>
      <c r="C3" s="8" t="s">
        <v>314</v>
      </c>
      <c r="D3" s="8" t="s">
        <v>315</v>
      </c>
      <c r="F3" s="8" t="s">
        <v>316</v>
      </c>
      <c r="G3" s="8" t="s">
        <v>317</v>
      </c>
    </row>
    <row r="4" spans="1:9">
      <c r="A4" s="18" t="s">
        <v>489</v>
      </c>
      <c r="B4" s="18" t="s">
        <v>442</v>
      </c>
      <c r="C4" s="18" t="s">
        <v>442</v>
      </c>
      <c r="D4" s="7" t="str">
        <f t="shared" ref="D4:D35" si="0">IF(OR(B4="Not supplied",C4="Not supplied"),"Not evaluable",IF(B4=C4,"Yes","No"))</f>
        <v>Not evaluable</v>
      </c>
      <c r="F4" s="4" t="s">
        <v>318</v>
      </c>
      <c r="G4" s="4">
        <f>SUM(G5:G8)</f>
        <v>0</v>
      </c>
    </row>
    <row r="5" spans="1:9">
      <c r="A5" s="18" t="s">
        <v>490</v>
      </c>
      <c r="B5" s="18" t="s">
        <v>442</v>
      </c>
      <c r="C5" s="18" t="s">
        <v>442</v>
      </c>
      <c r="D5" s="7" t="str">
        <f t="shared" si="0"/>
        <v>Not evaluable</v>
      </c>
      <c r="F5" s="4" t="s">
        <v>319</v>
      </c>
      <c r="G5" s="4">
        <f>COUNTIFS(B4:B103,"Include",C4:C103,"Include")</f>
        <v>0</v>
      </c>
    </row>
    <row r="6" spans="1:9">
      <c r="A6" s="18" t="s">
        <v>491</v>
      </c>
      <c r="B6" s="18" t="s">
        <v>442</v>
      </c>
      <c r="C6" s="18" t="s">
        <v>442</v>
      </c>
      <c r="D6" s="7" t="str">
        <f t="shared" si="0"/>
        <v>Not evaluable</v>
      </c>
      <c r="F6" s="4" t="s">
        <v>320</v>
      </c>
      <c r="G6" s="4">
        <f>COUNTIFS(B4:B103,"Include",C4:C103,"Exclude")</f>
        <v>0</v>
      </c>
    </row>
    <row r="7" spans="1:9">
      <c r="A7" s="18" t="s">
        <v>492</v>
      </c>
      <c r="B7" s="18" t="s">
        <v>442</v>
      </c>
      <c r="C7" s="18" t="s">
        <v>442</v>
      </c>
      <c r="D7" s="7" t="str">
        <f t="shared" si="0"/>
        <v>Not evaluable</v>
      </c>
      <c r="F7" s="4" t="s">
        <v>321</v>
      </c>
      <c r="G7" s="4">
        <f>COUNTIFS(B4:B103,"Exclude",C4:C103,"Include")</f>
        <v>0</v>
      </c>
    </row>
    <row r="8" spans="1:9">
      <c r="A8" s="18" t="s">
        <v>493</v>
      </c>
      <c r="B8" s="18" t="s">
        <v>442</v>
      </c>
      <c r="C8" s="18" t="s">
        <v>442</v>
      </c>
      <c r="D8" s="7" t="str">
        <f t="shared" si="0"/>
        <v>Not evaluable</v>
      </c>
      <c r="F8" s="4" t="s">
        <v>322</v>
      </c>
      <c r="G8" s="4">
        <f>COUNTIFS(B4:B103,"Exclude",C4:C103,"Exclude")</f>
        <v>0</v>
      </c>
    </row>
    <row r="9" spans="1:9">
      <c r="A9" s="18" t="s">
        <v>494</v>
      </c>
      <c r="B9" s="18" t="s">
        <v>442</v>
      </c>
      <c r="C9" s="18" t="s">
        <v>442</v>
      </c>
      <c r="D9" s="7" t="str">
        <f t="shared" si="0"/>
        <v>Not evaluable</v>
      </c>
      <c r="F9" s="4" t="s">
        <v>323</v>
      </c>
      <c r="G9" s="14" t="str">
        <f>IF(G4=0,"Not calculable",(G5+G8)/G4)</f>
        <v>Not calculable</v>
      </c>
    </row>
    <row r="10" spans="1:9">
      <c r="A10" s="18" t="s">
        <v>495</v>
      </c>
      <c r="B10" s="18" t="s">
        <v>442</v>
      </c>
      <c r="C10" s="18" t="s">
        <v>442</v>
      </c>
      <c r="D10" s="7" t="str">
        <f t="shared" si="0"/>
        <v>Not evaluable</v>
      </c>
      <c r="F10" s="4" t="s">
        <v>324</v>
      </c>
      <c r="G10" s="14" t="str">
        <f>IF(G4=0,"Not calculable",((G5+G6)/G4)*((G5+G7)/G4)+((G7+G8)/G4)*((G6+G8)/G4))</f>
        <v>Not calculable</v>
      </c>
    </row>
    <row r="11" spans="1:9">
      <c r="A11" s="18" t="s">
        <v>496</v>
      </c>
      <c r="B11" s="18" t="s">
        <v>442</v>
      </c>
      <c r="C11" s="18" t="s">
        <v>442</v>
      </c>
      <c r="D11" s="7" t="str">
        <f t="shared" si="0"/>
        <v>Not evaluable</v>
      </c>
      <c r="F11" s="4" t="s">
        <v>325</v>
      </c>
      <c r="G11" s="14" t="str">
        <f>IF(OR(G4=0,G9="Not calculable",G10="Not calculable",G10=1),"Not calculable",(G9-G10)/(1-G10))</f>
        <v>Not calculable</v>
      </c>
    </row>
    <row r="12" spans="1:9">
      <c r="A12" s="18" t="s">
        <v>497</v>
      </c>
      <c r="B12" s="18" t="s">
        <v>442</v>
      </c>
      <c r="C12" s="18" t="s">
        <v>442</v>
      </c>
      <c r="D12" s="7" t="str">
        <f t="shared" si="0"/>
        <v>Not evaluable</v>
      </c>
      <c r="F12" s="4" t="s">
        <v>326</v>
      </c>
      <c r="G12" s="14">
        <v>0.8</v>
      </c>
    </row>
    <row r="13" spans="1:9">
      <c r="A13" s="18" t="s">
        <v>498</v>
      </c>
      <c r="B13" s="18" t="s">
        <v>442</v>
      </c>
      <c r="C13" s="18" t="s">
        <v>442</v>
      </c>
      <c r="D13" s="7" t="str">
        <f t="shared" si="0"/>
        <v>Not evaluable</v>
      </c>
      <c r="F13" s="4" t="s">
        <v>327</v>
      </c>
      <c r="G13" s="14">
        <v>0.7</v>
      </c>
    </row>
    <row r="14" spans="1:9">
      <c r="D14" s="4" t="str">
        <f t="shared" si="0"/>
        <v>Yes</v>
      </c>
      <c r="F14" s="4" t="s">
        <v>40</v>
      </c>
      <c r="G14" s="4" t="s">
        <v>499</v>
      </c>
    </row>
    <row r="15" spans="1:9">
      <c r="D15" s="4" t="str">
        <f t="shared" si="0"/>
        <v>Yes</v>
      </c>
    </row>
    <row r="16" spans="1:9">
      <c r="D16" s="4" t="str">
        <f t="shared" si="0"/>
        <v>Yes</v>
      </c>
    </row>
    <row r="17" spans="4:4">
      <c r="D17" s="4" t="str">
        <f t="shared" si="0"/>
        <v>Yes</v>
      </c>
    </row>
    <row r="18" spans="4:4">
      <c r="D18" s="4" t="str">
        <f t="shared" si="0"/>
        <v>Yes</v>
      </c>
    </row>
    <row r="19" spans="4:4">
      <c r="D19" s="4" t="str">
        <f t="shared" si="0"/>
        <v>Yes</v>
      </c>
    </row>
    <row r="20" spans="4:4">
      <c r="D20" s="4" t="str">
        <f t="shared" si="0"/>
        <v>Yes</v>
      </c>
    </row>
    <row r="21" spans="4:4">
      <c r="D21" s="4" t="str">
        <f t="shared" si="0"/>
        <v>Yes</v>
      </c>
    </row>
    <row r="22" spans="4:4">
      <c r="D22" s="4" t="str">
        <f t="shared" si="0"/>
        <v>Yes</v>
      </c>
    </row>
    <row r="23" spans="4:4">
      <c r="D23" s="4" t="str">
        <f t="shared" si="0"/>
        <v>Yes</v>
      </c>
    </row>
    <row r="24" spans="4:4">
      <c r="D24" s="4" t="str">
        <f t="shared" si="0"/>
        <v>Yes</v>
      </c>
    </row>
    <row r="25" spans="4:4">
      <c r="D25" s="4" t="str">
        <f t="shared" si="0"/>
        <v>Yes</v>
      </c>
    </row>
    <row r="26" spans="4:4">
      <c r="D26" s="4" t="str">
        <f t="shared" si="0"/>
        <v>Yes</v>
      </c>
    </row>
    <row r="27" spans="4:4">
      <c r="D27" s="4" t="str">
        <f t="shared" si="0"/>
        <v>Yes</v>
      </c>
    </row>
    <row r="28" spans="4:4">
      <c r="D28" s="4" t="str">
        <f t="shared" si="0"/>
        <v>Yes</v>
      </c>
    </row>
    <row r="29" spans="4:4">
      <c r="D29" s="4" t="str">
        <f t="shared" si="0"/>
        <v>Yes</v>
      </c>
    </row>
    <row r="30" spans="4:4">
      <c r="D30" s="4" t="str">
        <f t="shared" si="0"/>
        <v>Yes</v>
      </c>
    </row>
    <row r="31" spans="4:4">
      <c r="D31" s="4" t="str">
        <f t="shared" si="0"/>
        <v>Yes</v>
      </c>
    </row>
    <row r="32" spans="4:4">
      <c r="D32" s="4" t="str">
        <f t="shared" si="0"/>
        <v>Yes</v>
      </c>
    </row>
    <row r="33" spans="4:4">
      <c r="D33" s="4" t="str">
        <f t="shared" si="0"/>
        <v>Yes</v>
      </c>
    </row>
    <row r="34" spans="4:4">
      <c r="D34" s="4" t="str">
        <f t="shared" si="0"/>
        <v>Yes</v>
      </c>
    </row>
    <row r="35" spans="4:4">
      <c r="D35" s="4" t="str">
        <f t="shared" si="0"/>
        <v>Yes</v>
      </c>
    </row>
    <row r="36" spans="4:4">
      <c r="D36" s="4" t="str">
        <f t="shared" ref="D36:D67" si="1">IF(OR(B36="",C36=""),"",IF(B36=C36,"Yes","No"))</f>
        <v/>
      </c>
    </row>
    <row r="37" spans="4:4">
      <c r="D37" s="4" t="str">
        <f t="shared" si="1"/>
        <v/>
      </c>
    </row>
    <row r="38" spans="4:4">
      <c r="D38" s="4" t="str">
        <f t="shared" si="1"/>
        <v/>
      </c>
    </row>
    <row r="39" spans="4:4">
      <c r="D39" s="4" t="str">
        <f t="shared" si="1"/>
        <v/>
      </c>
    </row>
    <row r="40" spans="4:4">
      <c r="D40" s="4" t="str">
        <f t="shared" si="1"/>
        <v/>
      </c>
    </row>
    <row r="41" spans="4:4">
      <c r="D41" s="4" t="str">
        <f t="shared" si="1"/>
        <v/>
      </c>
    </row>
    <row r="42" spans="4:4">
      <c r="D42" s="4" t="str">
        <f t="shared" si="1"/>
        <v/>
      </c>
    </row>
    <row r="43" spans="4:4">
      <c r="D43" s="4" t="str">
        <f t="shared" si="1"/>
        <v/>
      </c>
    </row>
    <row r="44" spans="4:4">
      <c r="D44" s="4" t="str">
        <f t="shared" si="1"/>
        <v/>
      </c>
    </row>
    <row r="45" spans="4:4">
      <c r="D45" s="4" t="str">
        <f t="shared" si="1"/>
        <v/>
      </c>
    </row>
    <row r="46" spans="4:4">
      <c r="D46" s="4" t="str">
        <f t="shared" si="1"/>
        <v/>
      </c>
    </row>
    <row r="47" spans="4:4">
      <c r="D47" s="4" t="str">
        <f t="shared" si="1"/>
        <v/>
      </c>
    </row>
    <row r="48" spans="4:4">
      <c r="D48" s="4" t="str">
        <f t="shared" si="1"/>
        <v/>
      </c>
    </row>
    <row r="49" spans="4:4">
      <c r="D49" s="4" t="str">
        <f t="shared" si="1"/>
        <v/>
      </c>
    </row>
    <row r="50" spans="4:4">
      <c r="D50" s="4" t="str">
        <f t="shared" si="1"/>
        <v/>
      </c>
    </row>
    <row r="51" spans="4:4">
      <c r="D51" s="4" t="str">
        <f t="shared" si="1"/>
        <v/>
      </c>
    </row>
    <row r="52" spans="4:4">
      <c r="D52" s="4" t="str">
        <f t="shared" si="1"/>
        <v/>
      </c>
    </row>
    <row r="53" spans="4:4">
      <c r="D53" s="4" t="str">
        <f t="shared" si="1"/>
        <v/>
      </c>
    </row>
    <row r="54" spans="4:4">
      <c r="D54" s="4" t="str">
        <f t="shared" si="1"/>
        <v/>
      </c>
    </row>
    <row r="55" spans="4:4">
      <c r="D55" s="4" t="str">
        <f t="shared" si="1"/>
        <v/>
      </c>
    </row>
    <row r="56" spans="4:4">
      <c r="D56" s="4" t="str">
        <f t="shared" si="1"/>
        <v/>
      </c>
    </row>
    <row r="57" spans="4:4">
      <c r="D57" s="4" t="str">
        <f t="shared" si="1"/>
        <v/>
      </c>
    </row>
    <row r="58" spans="4:4">
      <c r="D58" s="4" t="str">
        <f t="shared" si="1"/>
        <v/>
      </c>
    </row>
    <row r="59" spans="4:4">
      <c r="D59" s="4" t="str">
        <f t="shared" si="1"/>
        <v/>
      </c>
    </row>
    <row r="60" spans="4:4">
      <c r="D60" s="4" t="str">
        <f t="shared" si="1"/>
        <v/>
      </c>
    </row>
    <row r="61" spans="4:4">
      <c r="D61" s="4" t="str">
        <f t="shared" si="1"/>
        <v/>
      </c>
    </row>
    <row r="62" spans="4:4">
      <c r="D62" s="4" t="str">
        <f t="shared" si="1"/>
        <v/>
      </c>
    </row>
    <row r="63" spans="4:4">
      <c r="D63" s="4" t="str">
        <f t="shared" si="1"/>
        <v/>
      </c>
    </row>
    <row r="64" spans="4:4">
      <c r="D64" s="4" t="str">
        <f t="shared" si="1"/>
        <v/>
      </c>
    </row>
    <row r="65" spans="4:4">
      <c r="D65" s="4" t="str">
        <f t="shared" si="1"/>
        <v/>
      </c>
    </row>
    <row r="66" spans="4:4">
      <c r="D66" s="4" t="str">
        <f t="shared" si="1"/>
        <v/>
      </c>
    </row>
    <row r="67" spans="4:4">
      <c r="D67" s="4" t="str">
        <f t="shared" si="1"/>
        <v/>
      </c>
    </row>
    <row r="68" spans="4:4">
      <c r="D68" s="4" t="str">
        <f t="shared" ref="D68:D99" si="2">IF(OR(B68="",C68=""),"",IF(B68=C68,"Yes","No"))</f>
        <v/>
      </c>
    </row>
    <row r="69" spans="4:4">
      <c r="D69" s="4" t="str">
        <f t="shared" si="2"/>
        <v/>
      </c>
    </row>
    <row r="70" spans="4:4">
      <c r="D70" s="4" t="str">
        <f t="shared" si="2"/>
        <v/>
      </c>
    </row>
    <row r="71" spans="4:4">
      <c r="D71" s="4" t="str">
        <f t="shared" si="2"/>
        <v/>
      </c>
    </row>
    <row r="72" spans="4:4">
      <c r="D72" s="4" t="str">
        <f t="shared" si="2"/>
        <v/>
      </c>
    </row>
    <row r="73" spans="4:4">
      <c r="D73" s="4" t="str">
        <f t="shared" si="2"/>
        <v/>
      </c>
    </row>
    <row r="74" spans="4:4">
      <c r="D74" s="4" t="str">
        <f t="shared" si="2"/>
        <v/>
      </c>
    </row>
    <row r="75" spans="4:4">
      <c r="D75" s="4" t="str">
        <f t="shared" si="2"/>
        <v/>
      </c>
    </row>
    <row r="76" spans="4:4">
      <c r="D76" s="4" t="str">
        <f t="shared" si="2"/>
        <v/>
      </c>
    </row>
    <row r="77" spans="4:4">
      <c r="D77" s="4" t="str">
        <f t="shared" si="2"/>
        <v/>
      </c>
    </row>
    <row r="78" spans="4:4">
      <c r="D78" s="4" t="str">
        <f t="shared" si="2"/>
        <v/>
      </c>
    </row>
    <row r="79" spans="4:4">
      <c r="D79" s="4" t="str">
        <f t="shared" si="2"/>
        <v/>
      </c>
    </row>
    <row r="80" spans="4:4">
      <c r="D80" s="4" t="str">
        <f t="shared" si="2"/>
        <v/>
      </c>
    </row>
    <row r="81" spans="4:4">
      <c r="D81" s="4" t="str">
        <f t="shared" si="2"/>
        <v/>
      </c>
    </row>
    <row r="82" spans="4:4">
      <c r="D82" s="4" t="str">
        <f t="shared" si="2"/>
        <v/>
      </c>
    </row>
    <row r="83" spans="4:4">
      <c r="D83" s="4" t="str">
        <f t="shared" si="2"/>
        <v/>
      </c>
    </row>
    <row r="84" spans="4:4">
      <c r="D84" s="4" t="str">
        <f t="shared" si="2"/>
        <v/>
      </c>
    </row>
    <row r="85" spans="4:4">
      <c r="D85" s="4" t="str">
        <f t="shared" si="2"/>
        <v/>
      </c>
    </row>
    <row r="86" spans="4:4">
      <c r="D86" s="4" t="str">
        <f t="shared" si="2"/>
        <v/>
      </c>
    </row>
    <row r="87" spans="4:4">
      <c r="D87" s="4" t="str">
        <f t="shared" si="2"/>
        <v/>
      </c>
    </row>
    <row r="88" spans="4:4">
      <c r="D88" s="4" t="str">
        <f t="shared" si="2"/>
        <v/>
      </c>
    </row>
    <row r="89" spans="4:4">
      <c r="D89" s="4" t="str">
        <f t="shared" si="2"/>
        <v/>
      </c>
    </row>
    <row r="90" spans="4:4">
      <c r="D90" s="4" t="str">
        <f t="shared" si="2"/>
        <v/>
      </c>
    </row>
    <row r="91" spans="4:4">
      <c r="D91" s="4" t="str">
        <f t="shared" si="2"/>
        <v/>
      </c>
    </row>
    <row r="92" spans="4:4">
      <c r="D92" s="4" t="str">
        <f t="shared" si="2"/>
        <v/>
      </c>
    </row>
    <row r="93" spans="4:4">
      <c r="D93" s="4" t="str">
        <f t="shared" si="2"/>
        <v/>
      </c>
    </row>
    <row r="94" spans="4:4">
      <c r="D94" s="4" t="str">
        <f t="shared" si="2"/>
        <v/>
      </c>
    </row>
    <row r="95" spans="4:4">
      <c r="D95" s="4" t="str">
        <f t="shared" si="2"/>
        <v/>
      </c>
    </row>
    <row r="96" spans="4:4">
      <c r="D96" s="4" t="str">
        <f t="shared" si="2"/>
        <v/>
      </c>
    </row>
    <row r="97" spans="4:4">
      <c r="D97" s="4" t="str">
        <f t="shared" si="2"/>
        <v/>
      </c>
    </row>
    <row r="98" spans="4:4">
      <c r="D98" s="4" t="str">
        <f t="shared" si="2"/>
        <v/>
      </c>
    </row>
    <row r="99" spans="4:4">
      <c r="D99" s="4" t="str">
        <f t="shared" si="2"/>
        <v/>
      </c>
    </row>
    <row r="100" spans="4:4">
      <c r="D100" s="4" t="str">
        <f t="shared" ref="D100:D103" si="3">IF(OR(B100="",C100=""),"",IF(B100=C100,"Yes","No"))</f>
        <v/>
      </c>
    </row>
    <row r="101" spans="4:4">
      <c r="D101" s="4" t="str">
        <f t="shared" si="3"/>
        <v/>
      </c>
    </row>
    <row r="102" spans="4:4">
      <c r="D102" s="4" t="str">
        <f t="shared" si="3"/>
        <v/>
      </c>
    </row>
    <row r="103" spans="4:4">
      <c r="D103" s="4" t="str">
        <f t="shared" si="3"/>
        <v/>
      </c>
    </row>
  </sheetData>
  <mergeCells count="1">
    <mergeCell ref="A1:I1"/>
  </mergeCells>
  <conditionalFormatting sqref="D4:D103">
    <cfRule type="expression" dxfId="11" priority="1">
      <formula>D4="Yes"</formula>
    </cfRule>
    <cfRule type="expression" dxfId="10" priority="2">
      <formula>D4="No"</formula>
    </cfRule>
  </conditionalFormatting>
  <conditionalFormatting sqref="G14">
    <cfRule type="expression" dxfId="9" priority="3">
      <formula>G14="PASS"</formula>
    </cfRule>
    <cfRule type="expression" dxfId="8" priority="4">
      <formula>G14="REVIEW"</formula>
    </cfRule>
  </conditionalFormatting>
  <dataValidations count="1">
    <dataValidation type="list" sqref="B4:C103" xr:uid="{00000000-0002-0000-0500-000000000000}">
      <formula1>"Include,Exclude"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I103"/>
  <sheetViews>
    <sheetView workbookViewId="0">
      <selection activeCell="A2" sqref="A2:XFD2"/>
    </sheetView>
  </sheetViews>
  <sheetFormatPr defaultRowHeight="15"/>
  <cols>
    <col min="1" max="1" width="20" style="2" customWidth="1"/>
    <col min="2" max="3" width="18" style="2" customWidth="1"/>
    <col min="4" max="4" width="16" style="2" customWidth="1"/>
    <col min="5" max="5" width="9" style="2"/>
    <col min="6" max="6" width="28" style="2" customWidth="1"/>
    <col min="7" max="7" width="18" style="2" customWidth="1"/>
    <col min="8" max="16384" width="9" style="2"/>
  </cols>
  <sheetData>
    <row r="1" spans="1:9" s="10" customFormat="1" ht="20.25">
      <c r="A1" s="22" t="s">
        <v>328</v>
      </c>
      <c r="B1" s="22"/>
      <c r="C1" s="22"/>
      <c r="D1" s="22"/>
      <c r="E1" s="22"/>
      <c r="F1" s="22"/>
      <c r="G1" s="22"/>
      <c r="H1" s="22"/>
      <c r="I1" s="22"/>
    </row>
    <row r="2" spans="1:9">
      <c r="A2" s="3"/>
      <c r="B2" s="3"/>
      <c r="C2" s="3"/>
      <c r="D2" s="3"/>
      <c r="E2" s="3"/>
      <c r="F2" s="3"/>
      <c r="G2" s="3"/>
      <c r="H2" s="3"/>
      <c r="I2" s="3"/>
    </row>
    <row r="3" spans="1:9" s="9" customFormat="1" ht="18.75">
      <c r="A3" s="8" t="s">
        <v>312</v>
      </c>
      <c r="B3" s="8" t="s">
        <v>313</v>
      </c>
      <c r="C3" s="8" t="s">
        <v>314</v>
      </c>
      <c r="D3" s="8" t="s">
        <v>315</v>
      </c>
      <c r="F3" s="8" t="s">
        <v>316</v>
      </c>
      <c r="G3" s="8" t="s">
        <v>317</v>
      </c>
    </row>
    <row r="4" spans="1:9">
      <c r="A4" s="19" t="s">
        <v>489</v>
      </c>
      <c r="B4" s="19" t="s">
        <v>442</v>
      </c>
      <c r="C4" s="19" t="s">
        <v>442</v>
      </c>
      <c r="D4" s="19" t="str">
        <f t="shared" ref="D4:D35" si="0">IF(OR(B4="Not supplied",C4="Not supplied"),"Not evaluable",IF(B4=C4,"Yes","No"))</f>
        <v>Not evaluable</v>
      </c>
      <c r="E4" s="3"/>
      <c r="F4" s="3" t="s">
        <v>318</v>
      </c>
      <c r="G4" s="3">
        <f>SUM(G5:G8)</f>
        <v>0</v>
      </c>
      <c r="H4" s="3"/>
      <c r="I4" s="3"/>
    </row>
    <row r="5" spans="1:9">
      <c r="A5" s="19" t="s">
        <v>490</v>
      </c>
      <c r="B5" s="19" t="s">
        <v>442</v>
      </c>
      <c r="C5" s="19" t="s">
        <v>442</v>
      </c>
      <c r="D5" s="19" t="str">
        <f t="shared" si="0"/>
        <v>Not evaluable</v>
      </c>
      <c r="E5" s="3"/>
      <c r="F5" s="3" t="s">
        <v>319</v>
      </c>
      <c r="G5" s="3">
        <f>COUNTIFS(B4:B103,"Include",C4:C103,"Include")</f>
        <v>0</v>
      </c>
      <c r="H5" s="3"/>
      <c r="I5" s="3"/>
    </row>
    <row r="6" spans="1:9">
      <c r="A6" s="19" t="s">
        <v>491</v>
      </c>
      <c r="B6" s="19" t="s">
        <v>442</v>
      </c>
      <c r="C6" s="19" t="s">
        <v>442</v>
      </c>
      <c r="D6" s="19" t="str">
        <f t="shared" si="0"/>
        <v>Not evaluable</v>
      </c>
      <c r="E6" s="3"/>
      <c r="F6" s="3" t="s">
        <v>320</v>
      </c>
      <c r="G6" s="3">
        <f>COUNTIFS(B4:B103,"Include",C4:C103,"Exclude")</f>
        <v>0</v>
      </c>
      <c r="H6" s="3"/>
      <c r="I6" s="3"/>
    </row>
    <row r="7" spans="1:9">
      <c r="A7" s="19" t="s">
        <v>492</v>
      </c>
      <c r="B7" s="19" t="s">
        <v>442</v>
      </c>
      <c r="C7" s="19" t="s">
        <v>442</v>
      </c>
      <c r="D7" s="19" t="str">
        <f t="shared" si="0"/>
        <v>Not evaluable</v>
      </c>
      <c r="E7" s="3"/>
      <c r="F7" s="3" t="s">
        <v>321</v>
      </c>
      <c r="G7" s="3">
        <f>COUNTIFS(B4:B103,"Exclude",C4:C103,"Include")</f>
        <v>0</v>
      </c>
      <c r="H7" s="3"/>
      <c r="I7" s="3"/>
    </row>
    <row r="8" spans="1:9">
      <c r="A8" s="19" t="s">
        <v>493</v>
      </c>
      <c r="B8" s="19" t="s">
        <v>442</v>
      </c>
      <c r="C8" s="19" t="s">
        <v>442</v>
      </c>
      <c r="D8" s="19" t="str">
        <f t="shared" si="0"/>
        <v>Not evaluable</v>
      </c>
      <c r="E8" s="3"/>
      <c r="F8" s="3" t="s">
        <v>322</v>
      </c>
      <c r="G8" s="3">
        <f>COUNTIFS(B4:B103,"Exclude",C4:C103,"Exclude")</f>
        <v>0</v>
      </c>
      <c r="H8" s="3"/>
      <c r="I8" s="3"/>
    </row>
    <row r="9" spans="1:9">
      <c r="A9" s="19" t="s">
        <v>494</v>
      </c>
      <c r="B9" s="19" t="s">
        <v>442</v>
      </c>
      <c r="C9" s="19" t="s">
        <v>442</v>
      </c>
      <c r="D9" s="19" t="str">
        <f t="shared" si="0"/>
        <v>Not evaluable</v>
      </c>
      <c r="E9" s="3"/>
      <c r="F9" s="3" t="s">
        <v>323</v>
      </c>
      <c r="G9" s="13" t="str">
        <f>IF(G4=0,"Not calculable",(G5+G8)/G4)</f>
        <v>Not calculable</v>
      </c>
      <c r="H9" s="3"/>
      <c r="I9" s="3"/>
    </row>
    <row r="10" spans="1:9">
      <c r="A10" s="19" t="s">
        <v>495</v>
      </c>
      <c r="B10" s="19" t="s">
        <v>442</v>
      </c>
      <c r="C10" s="19" t="s">
        <v>442</v>
      </c>
      <c r="D10" s="19" t="str">
        <f t="shared" si="0"/>
        <v>Not evaluable</v>
      </c>
      <c r="E10" s="3"/>
      <c r="F10" s="3" t="s">
        <v>324</v>
      </c>
      <c r="G10" s="13" t="str">
        <f>IF(G4=0,"Not calculable",((G5+G6)/G4)*((G5+G7)/G4)+((G7+G8)/G4)*((G6+G8)/G4))</f>
        <v>Not calculable</v>
      </c>
      <c r="H10" s="3"/>
      <c r="I10" s="3"/>
    </row>
    <row r="11" spans="1:9">
      <c r="A11" s="19" t="s">
        <v>496</v>
      </c>
      <c r="B11" s="19" t="s">
        <v>442</v>
      </c>
      <c r="C11" s="19" t="s">
        <v>442</v>
      </c>
      <c r="D11" s="19" t="str">
        <f t="shared" si="0"/>
        <v>Not evaluable</v>
      </c>
      <c r="E11" s="3"/>
      <c r="F11" s="3" t="s">
        <v>325</v>
      </c>
      <c r="G11" s="13" t="str">
        <f>IF(OR(G4=0,G9="Not calculable",G10="Not calculable",G10=1),"Not calculable",(G9-G10)/(1-G10))</f>
        <v>Not calculable</v>
      </c>
      <c r="H11" s="3"/>
      <c r="I11" s="3"/>
    </row>
    <row r="12" spans="1:9">
      <c r="A12" s="19" t="s">
        <v>497</v>
      </c>
      <c r="B12" s="19" t="s">
        <v>442</v>
      </c>
      <c r="C12" s="19" t="s">
        <v>442</v>
      </c>
      <c r="D12" s="19" t="str">
        <f t="shared" si="0"/>
        <v>Not evaluable</v>
      </c>
      <c r="E12" s="3"/>
      <c r="F12" s="3" t="s">
        <v>326</v>
      </c>
      <c r="G12" s="13">
        <v>0.8</v>
      </c>
      <c r="H12" s="3"/>
      <c r="I12" s="3"/>
    </row>
    <row r="13" spans="1:9">
      <c r="A13" s="19" t="s">
        <v>498</v>
      </c>
      <c r="B13" s="19" t="s">
        <v>442</v>
      </c>
      <c r="C13" s="19" t="s">
        <v>442</v>
      </c>
      <c r="D13" s="19" t="str">
        <f t="shared" si="0"/>
        <v>Not evaluable</v>
      </c>
      <c r="E13" s="3"/>
      <c r="F13" s="3" t="s">
        <v>327</v>
      </c>
      <c r="G13" s="13">
        <v>0.7</v>
      </c>
      <c r="H13" s="3"/>
      <c r="I13" s="3"/>
    </row>
    <row r="14" spans="1:9">
      <c r="A14" s="3"/>
      <c r="B14" s="3"/>
      <c r="C14" s="3"/>
      <c r="D14" s="3" t="str">
        <f t="shared" si="0"/>
        <v>Yes</v>
      </c>
      <c r="E14" s="3"/>
      <c r="F14" s="3" t="s">
        <v>40</v>
      </c>
      <c r="G14" s="3" t="s">
        <v>499</v>
      </c>
      <c r="H14" s="3"/>
      <c r="I14" s="3"/>
    </row>
    <row r="15" spans="1:9">
      <c r="A15" s="3"/>
      <c r="B15" s="3"/>
      <c r="C15" s="3"/>
      <c r="D15" s="3" t="str">
        <f t="shared" si="0"/>
        <v>Yes</v>
      </c>
      <c r="E15" s="3"/>
      <c r="F15" s="3"/>
      <c r="G15" s="3"/>
      <c r="H15" s="3"/>
      <c r="I15" s="3"/>
    </row>
    <row r="16" spans="1:9">
      <c r="A16" s="3"/>
      <c r="B16" s="3"/>
      <c r="C16" s="3"/>
      <c r="D16" s="3" t="str">
        <f t="shared" si="0"/>
        <v>Yes</v>
      </c>
    </row>
    <row r="17" spans="1:4">
      <c r="A17" s="3"/>
      <c r="B17" s="3"/>
      <c r="C17" s="3"/>
      <c r="D17" s="3" t="str">
        <f t="shared" si="0"/>
        <v>Yes</v>
      </c>
    </row>
    <row r="18" spans="1:4">
      <c r="A18" s="3"/>
      <c r="B18" s="3"/>
      <c r="C18" s="3"/>
      <c r="D18" s="3" t="str">
        <f t="shared" si="0"/>
        <v>Yes</v>
      </c>
    </row>
    <row r="19" spans="1:4">
      <c r="A19" s="3"/>
      <c r="B19" s="3"/>
      <c r="C19" s="3"/>
      <c r="D19" s="3" t="str">
        <f t="shared" si="0"/>
        <v>Yes</v>
      </c>
    </row>
    <row r="20" spans="1:4">
      <c r="A20" s="3"/>
      <c r="B20" s="3"/>
      <c r="C20" s="3"/>
      <c r="D20" s="3" t="str">
        <f t="shared" si="0"/>
        <v>Yes</v>
      </c>
    </row>
    <row r="21" spans="1:4">
      <c r="A21" s="3"/>
      <c r="B21" s="3"/>
      <c r="C21" s="3"/>
      <c r="D21" s="3" t="str">
        <f t="shared" si="0"/>
        <v>Yes</v>
      </c>
    </row>
    <row r="22" spans="1:4">
      <c r="A22" s="3"/>
      <c r="B22" s="3"/>
      <c r="C22" s="3"/>
      <c r="D22" s="3" t="str">
        <f t="shared" si="0"/>
        <v>Yes</v>
      </c>
    </row>
    <row r="23" spans="1:4">
      <c r="A23" s="3"/>
      <c r="B23" s="3"/>
      <c r="C23" s="3"/>
      <c r="D23" s="3" t="str">
        <f t="shared" si="0"/>
        <v>Yes</v>
      </c>
    </row>
    <row r="24" spans="1:4">
      <c r="A24" s="3"/>
      <c r="B24" s="3"/>
      <c r="C24" s="3"/>
      <c r="D24" s="3" t="str">
        <f t="shared" si="0"/>
        <v>Yes</v>
      </c>
    </row>
    <row r="25" spans="1:4">
      <c r="A25" s="3"/>
      <c r="B25" s="3"/>
      <c r="C25" s="3"/>
      <c r="D25" s="3" t="str">
        <f t="shared" si="0"/>
        <v>Yes</v>
      </c>
    </row>
    <row r="26" spans="1:4">
      <c r="A26" s="3"/>
      <c r="B26" s="3"/>
      <c r="C26" s="3"/>
      <c r="D26" s="3" t="str">
        <f t="shared" si="0"/>
        <v>Yes</v>
      </c>
    </row>
    <row r="27" spans="1:4">
      <c r="A27" s="3"/>
      <c r="B27" s="3"/>
      <c r="C27" s="3"/>
      <c r="D27" s="3" t="str">
        <f t="shared" si="0"/>
        <v>Yes</v>
      </c>
    </row>
    <row r="28" spans="1:4">
      <c r="A28" s="3"/>
      <c r="B28" s="3"/>
      <c r="C28" s="3"/>
      <c r="D28" s="3" t="str">
        <f t="shared" si="0"/>
        <v>Yes</v>
      </c>
    </row>
    <row r="29" spans="1:4">
      <c r="A29" s="3"/>
      <c r="B29" s="3"/>
      <c r="C29" s="3"/>
      <c r="D29" s="3" t="str">
        <f t="shared" si="0"/>
        <v>Yes</v>
      </c>
    </row>
    <row r="30" spans="1:4">
      <c r="A30" s="3"/>
      <c r="B30" s="3"/>
      <c r="C30" s="3"/>
      <c r="D30" s="3" t="str">
        <f t="shared" si="0"/>
        <v>Yes</v>
      </c>
    </row>
    <row r="31" spans="1:4">
      <c r="A31" s="3"/>
      <c r="B31" s="3"/>
      <c r="C31" s="3"/>
      <c r="D31" s="3" t="str">
        <f t="shared" si="0"/>
        <v>Yes</v>
      </c>
    </row>
    <row r="32" spans="1:4">
      <c r="A32" s="3"/>
      <c r="B32" s="3"/>
      <c r="C32" s="3"/>
      <c r="D32" s="3" t="str">
        <f t="shared" si="0"/>
        <v>Yes</v>
      </c>
    </row>
    <row r="33" spans="1:4">
      <c r="A33" s="3"/>
      <c r="B33" s="3"/>
      <c r="C33" s="3"/>
      <c r="D33" s="3" t="str">
        <f t="shared" si="0"/>
        <v>Yes</v>
      </c>
    </row>
    <row r="34" spans="1:4">
      <c r="A34" s="3"/>
      <c r="B34" s="3"/>
      <c r="C34" s="3"/>
      <c r="D34" s="3" t="str">
        <f t="shared" si="0"/>
        <v>Yes</v>
      </c>
    </row>
    <row r="35" spans="1:4">
      <c r="A35" s="3"/>
      <c r="B35" s="3"/>
      <c r="C35" s="3"/>
      <c r="D35" s="3" t="str">
        <f t="shared" si="0"/>
        <v>Yes</v>
      </c>
    </row>
    <row r="36" spans="1:4">
      <c r="A36" s="3"/>
      <c r="B36" s="3"/>
      <c r="C36" s="3"/>
      <c r="D36" s="3" t="str">
        <f t="shared" ref="D36:D67" si="1">IF(OR(B36="",C36=""),"",IF(B36=C36,"Yes","No"))</f>
        <v/>
      </c>
    </row>
    <row r="37" spans="1:4">
      <c r="A37" s="3"/>
      <c r="B37" s="3"/>
      <c r="C37" s="3"/>
      <c r="D37" s="3" t="str">
        <f t="shared" si="1"/>
        <v/>
      </c>
    </row>
    <row r="38" spans="1:4">
      <c r="A38" s="3"/>
      <c r="B38" s="3"/>
      <c r="C38" s="3"/>
      <c r="D38" s="3" t="str">
        <f t="shared" si="1"/>
        <v/>
      </c>
    </row>
    <row r="39" spans="1:4">
      <c r="A39" s="3"/>
      <c r="B39" s="3"/>
      <c r="C39" s="3"/>
      <c r="D39" s="3" t="str">
        <f t="shared" si="1"/>
        <v/>
      </c>
    </row>
    <row r="40" spans="1:4">
      <c r="A40" s="3"/>
      <c r="B40" s="3"/>
      <c r="C40" s="3"/>
      <c r="D40" s="3" t="str">
        <f t="shared" si="1"/>
        <v/>
      </c>
    </row>
    <row r="41" spans="1:4">
      <c r="A41" s="3"/>
      <c r="B41" s="3"/>
      <c r="C41" s="3"/>
      <c r="D41" s="3" t="str">
        <f t="shared" si="1"/>
        <v/>
      </c>
    </row>
    <row r="42" spans="1:4">
      <c r="A42" s="3"/>
      <c r="B42" s="3"/>
      <c r="C42" s="3"/>
      <c r="D42" s="3" t="str">
        <f t="shared" si="1"/>
        <v/>
      </c>
    </row>
    <row r="43" spans="1:4">
      <c r="A43" s="3"/>
      <c r="B43" s="3"/>
      <c r="C43" s="3"/>
      <c r="D43" s="3" t="str">
        <f t="shared" si="1"/>
        <v/>
      </c>
    </row>
    <row r="44" spans="1:4">
      <c r="A44" s="3"/>
      <c r="B44" s="3"/>
      <c r="C44" s="3"/>
      <c r="D44" s="3" t="str">
        <f t="shared" si="1"/>
        <v/>
      </c>
    </row>
    <row r="45" spans="1:4">
      <c r="A45" s="3"/>
      <c r="B45" s="3"/>
      <c r="C45" s="3"/>
      <c r="D45" s="3" t="str">
        <f t="shared" si="1"/>
        <v/>
      </c>
    </row>
    <row r="46" spans="1:4">
      <c r="A46" s="3"/>
      <c r="B46" s="3"/>
      <c r="C46" s="3"/>
      <c r="D46" s="3" t="str">
        <f t="shared" si="1"/>
        <v/>
      </c>
    </row>
    <row r="47" spans="1:4">
      <c r="A47" s="3"/>
      <c r="B47" s="3"/>
      <c r="C47" s="3"/>
      <c r="D47" s="3" t="str">
        <f t="shared" si="1"/>
        <v/>
      </c>
    </row>
    <row r="48" spans="1:4">
      <c r="A48" s="3"/>
      <c r="B48" s="3"/>
      <c r="C48" s="3"/>
      <c r="D48" s="3" t="str">
        <f t="shared" si="1"/>
        <v/>
      </c>
    </row>
    <row r="49" spans="1:4">
      <c r="A49" s="3"/>
      <c r="B49" s="3"/>
      <c r="C49" s="3"/>
      <c r="D49" s="3" t="str">
        <f t="shared" si="1"/>
        <v/>
      </c>
    </row>
    <row r="50" spans="1:4">
      <c r="A50" s="3"/>
      <c r="B50" s="3"/>
      <c r="C50" s="3"/>
      <c r="D50" s="3" t="str">
        <f t="shared" si="1"/>
        <v/>
      </c>
    </row>
    <row r="51" spans="1:4">
      <c r="A51" s="3"/>
      <c r="B51" s="3"/>
      <c r="C51" s="3"/>
      <c r="D51" s="3" t="str">
        <f t="shared" si="1"/>
        <v/>
      </c>
    </row>
    <row r="52" spans="1:4">
      <c r="A52" s="3"/>
      <c r="B52" s="3"/>
      <c r="C52" s="3"/>
      <c r="D52" s="3" t="str">
        <f t="shared" si="1"/>
        <v/>
      </c>
    </row>
    <row r="53" spans="1:4">
      <c r="A53" s="3"/>
      <c r="B53" s="3"/>
      <c r="C53" s="3"/>
      <c r="D53" s="3" t="str">
        <f t="shared" si="1"/>
        <v/>
      </c>
    </row>
    <row r="54" spans="1:4">
      <c r="A54" s="3"/>
      <c r="B54" s="3"/>
      <c r="C54" s="3"/>
      <c r="D54" s="3" t="str">
        <f t="shared" si="1"/>
        <v/>
      </c>
    </row>
    <row r="55" spans="1:4">
      <c r="A55" s="3"/>
      <c r="B55" s="3"/>
      <c r="C55" s="3"/>
      <c r="D55" s="3" t="str">
        <f t="shared" si="1"/>
        <v/>
      </c>
    </row>
    <row r="56" spans="1:4">
      <c r="A56" s="3"/>
      <c r="B56" s="3"/>
      <c r="C56" s="3"/>
      <c r="D56" s="3" t="str">
        <f t="shared" si="1"/>
        <v/>
      </c>
    </row>
    <row r="57" spans="1:4">
      <c r="A57" s="3"/>
      <c r="B57" s="3"/>
      <c r="C57" s="3"/>
      <c r="D57" s="3" t="str">
        <f t="shared" si="1"/>
        <v/>
      </c>
    </row>
    <row r="58" spans="1:4">
      <c r="A58" s="3"/>
      <c r="B58" s="3"/>
      <c r="C58" s="3"/>
      <c r="D58" s="3" t="str">
        <f t="shared" si="1"/>
        <v/>
      </c>
    </row>
    <row r="59" spans="1:4">
      <c r="A59" s="3"/>
      <c r="B59" s="3"/>
      <c r="C59" s="3"/>
      <c r="D59" s="3" t="str">
        <f t="shared" si="1"/>
        <v/>
      </c>
    </row>
    <row r="60" spans="1:4">
      <c r="A60" s="3"/>
      <c r="B60" s="3"/>
      <c r="C60" s="3"/>
      <c r="D60" s="3" t="str">
        <f t="shared" si="1"/>
        <v/>
      </c>
    </row>
    <row r="61" spans="1:4">
      <c r="A61" s="3"/>
      <c r="B61" s="3"/>
      <c r="C61" s="3"/>
      <c r="D61" s="3" t="str">
        <f t="shared" si="1"/>
        <v/>
      </c>
    </row>
    <row r="62" spans="1:4">
      <c r="A62" s="3"/>
      <c r="B62" s="3"/>
      <c r="C62" s="3"/>
      <c r="D62" s="3" t="str">
        <f t="shared" si="1"/>
        <v/>
      </c>
    </row>
    <row r="63" spans="1:4">
      <c r="A63" s="3"/>
      <c r="B63" s="3"/>
      <c r="C63" s="3"/>
      <c r="D63" s="3" t="str">
        <f t="shared" si="1"/>
        <v/>
      </c>
    </row>
    <row r="64" spans="1:4">
      <c r="A64" s="3"/>
      <c r="B64" s="3"/>
      <c r="C64" s="3"/>
      <c r="D64" s="3" t="str">
        <f t="shared" si="1"/>
        <v/>
      </c>
    </row>
    <row r="65" spans="1:4">
      <c r="A65" s="3"/>
      <c r="B65" s="3"/>
      <c r="C65" s="3"/>
      <c r="D65" s="3" t="str">
        <f t="shared" si="1"/>
        <v/>
      </c>
    </row>
    <row r="66" spans="1:4">
      <c r="A66" s="3"/>
      <c r="B66" s="3"/>
      <c r="C66" s="3"/>
      <c r="D66" s="3" t="str">
        <f t="shared" si="1"/>
        <v/>
      </c>
    </row>
    <row r="67" spans="1:4">
      <c r="A67" s="3"/>
      <c r="B67" s="3"/>
      <c r="C67" s="3"/>
      <c r="D67" s="3" t="str">
        <f t="shared" si="1"/>
        <v/>
      </c>
    </row>
    <row r="68" spans="1:4">
      <c r="A68" s="3"/>
      <c r="B68" s="3"/>
      <c r="C68" s="3"/>
      <c r="D68" s="3" t="str">
        <f t="shared" ref="D68:D99" si="2">IF(OR(B68="",C68=""),"",IF(B68=C68,"Yes","No"))</f>
        <v/>
      </c>
    </row>
    <row r="69" spans="1:4">
      <c r="A69" s="3"/>
      <c r="B69" s="3"/>
      <c r="C69" s="3"/>
      <c r="D69" s="3" t="str">
        <f t="shared" si="2"/>
        <v/>
      </c>
    </row>
    <row r="70" spans="1:4">
      <c r="A70" s="3"/>
      <c r="B70" s="3"/>
      <c r="C70" s="3"/>
      <c r="D70" s="3" t="str">
        <f t="shared" si="2"/>
        <v/>
      </c>
    </row>
    <row r="71" spans="1:4">
      <c r="A71" s="3"/>
      <c r="B71" s="3"/>
      <c r="C71" s="3"/>
      <c r="D71" s="3" t="str">
        <f t="shared" si="2"/>
        <v/>
      </c>
    </row>
    <row r="72" spans="1:4">
      <c r="A72" s="3"/>
      <c r="B72" s="3"/>
      <c r="C72" s="3"/>
      <c r="D72" s="3" t="str">
        <f t="shared" si="2"/>
        <v/>
      </c>
    </row>
    <row r="73" spans="1:4">
      <c r="A73" s="3"/>
      <c r="B73" s="3"/>
      <c r="C73" s="3"/>
      <c r="D73" s="3" t="str">
        <f t="shared" si="2"/>
        <v/>
      </c>
    </row>
    <row r="74" spans="1:4">
      <c r="A74" s="3"/>
      <c r="B74" s="3"/>
      <c r="C74" s="3"/>
      <c r="D74" s="3" t="str">
        <f t="shared" si="2"/>
        <v/>
      </c>
    </row>
    <row r="75" spans="1:4">
      <c r="A75" s="3"/>
      <c r="B75" s="3"/>
      <c r="C75" s="3"/>
      <c r="D75" s="3" t="str">
        <f t="shared" si="2"/>
        <v/>
      </c>
    </row>
    <row r="76" spans="1:4">
      <c r="A76" s="3"/>
      <c r="B76" s="3"/>
      <c r="C76" s="3"/>
      <c r="D76" s="3" t="str">
        <f t="shared" si="2"/>
        <v/>
      </c>
    </row>
    <row r="77" spans="1:4">
      <c r="A77" s="3"/>
      <c r="B77" s="3"/>
      <c r="C77" s="3"/>
      <c r="D77" s="3" t="str">
        <f t="shared" si="2"/>
        <v/>
      </c>
    </row>
    <row r="78" spans="1:4">
      <c r="A78" s="3"/>
      <c r="B78" s="3"/>
      <c r="C78" s="3"/>
      <c r="D78" s="3" t="str">
        <f t="shared" si="2"/>
        <v/>
      </c>
    </row>
    <row r="79" spans="1:4">
      <c r="A79" s="3"/>
      <c r="B79" s="3"/>
      <c r="C79" s="3"/>
      <c r="D79" s="3" t="str">
        <f t="shared" si="2"/>
        <v/>
      </c>
    </row>
    <row r="80" spans="1:4">
      <c r="A80" s="3"/>
      <c r="B80" s="3"/>
      <c r="C80" s="3"/>
      <c r="D80" s="3" t="str">
        <f t="shared" si="2"/>
        <v/>
      </c>
    </row>
    <row r="81" spans="1:4">
      <c r="A81" s="3"/>
      <c r="B81" s="3"/>
      <c r="C81" s="3"/>
      <c r="D81" s="3" t="str">
        <f t="shared" si="2"/>
        <v/>
      </c>
    </row>
    <row r="82" spans="1:4">
      <c r="A82" s="3"/>
      <c r="B82" s="3"/>
      <c r="C82" s="3"/>
      <c r="D82" s="3" t="str">
        <f t="shared" si="2"/>
        <v/>
      </c>
    </row>
    <row r="83" spans="1:4">
      <c r="A83" s="3"/>
      <c r="B83" s="3"/>
      <c r="C83" s="3"/>
      <c r="D83" s="3" t="str">
        <f t="shared" si="2"/>
        <v/>
      </c>
    </row>
    <row r="84" spans="1:4">
      <c r="A84" s="3"/>
      <c r="B84" s="3"/>
      <c r="C84" s="3"/>
      <c r="D84" s="3" t="str">
        <f t="shared" si="2"/>
        <v/>
      </c>
    </row>
    <row r="85" spans="1:4">
      <c r="A85" s="3"/>
      <c r="B85" s="3"/>
      <c r="C85" s="3"/>
      <c r="D85" s="3" t="str">
        <f t="shared" si="2"/>
        <v/>
      </c>
    </row>
    <row r="86" spans="1:4">
      <c r="A86" s="3"/>
      <c r="B86" s="3"/>
      <c r="C86" s="3"/>
      <c r="D86" s="3" t="str">
        <f t="shared" si="2"/>
        <v/>
      </c>
    </row>
    <row r="87" spans="1:4">
      <c r="A87" s="3"/>
      <c r="B87" s="3"/>
      <c r="C87" s="3"/>
      <c r="D87" s="3" t="str">
        <f t="shared" si="2"/>
        <v/>
      </c>
    </row>
    <row r="88" spans="1:4">
      <c r="A88" s="3"/>
      <c r="B88" s="3"/>
      <c r="C88" s="3"/>
      <c r="D88" s="3" t="str">
        <f t="shared" si="2"/>
        <v/>
      </c>
    </row>
    <row r="89" spans="1:4">
      <c r="A89" s="3"/>
      <c r="B89" s="3"/>
      <c r="C89" s="3"/>
      <c r="D89" s="3" t="str">
        <f t="shared" si="2"/>
        <v/>
      </c>
    </row>
    <row r="90" spans="1:4">
      <c r="A90" s="3"/>
      <c r="B90" s="3"/>
      <c r="C90" s="3"/>
      <c r="D90" s="3" t="str">
        <f t="shared" si="2"/>
        <v/>
      </c>
    </row>
    <row r="91" spans="1:4">
      <c r="A91" s="3"/>
      <c r="B91" s="3"/>
      <c r="C91" s="3"/>
      <c r="D91" s="3" t="str">
        <f t="shared" si="2"/>
        <v/>
      </c>
    </row>
    <row r="92" spans="1:4">
      <c r="A92" s="3"/>
      <c r="B92" s="3"/>
      <c r="C92" s="3"/>
      <c r="D92" s="3" t="str">
        <f t="shared" si="2"/>
        <v/>
      </c>
    </row>
    <row r="93" spans="1:4">
      <c r="A93" s="3"/>
      <c r="B93" s="3"/>
      <c r="C93" s="3"/>
      <c r="D93" s="3" t="str">
        <f t="shared" si="2"/>
        <v/>
      </c>
    </row>
    <row r="94" spans="1:4">
      <c r="A94" s="3"/>
      <c r="B94" s="3"/>
      <c r="C94" s="3"/>
      <c r="D94" s="3" t="str">
        <f t="shared" si="2"/>
        <v/>
      </c>
    </row>
    <row r="95" spans="1:4">
      <c r="A95" s="3"/>
      <c r="B95" s="3"/>
      <c r="C95" s="3"/>
      <c r="D95" s="3" t="str">
        <f t="shared" si="2"/>
        <v/>
      </c>
    </row>
    <row r="96" spans="1:4">
      <c r="A96" s="3"/>
      <c r="B96" s="3"/>
      <c r="C96" s="3"/>
      <c r="D96" s="3" t="str">
        <f t="shared" si="2"/>
        <v/>
      </c>
    </row>
    <row r="97" spans="1:4">
      <c r="A97" s="3"/>
      <c r="B97" s="3"/>
      <c r="C97" s="3"/>
      <c r="D97" s="3" t="str">
        <f t="shared" si="2"/>
        <v/>
      </c>
    </row>
    <row r="98" spans="1:4">
      <c r="A98" s="3"/>
      <c r="B98" s="3"/>
      <c r="C98" s="3"/>
      <c r="D98" s="3" t="str">
        <f t="shared" si="2"/>
        <v/>
      </c>
    </row>
    <row r="99" spans="1:4">
      <c r="A99" s="3"/>
      <c r="B99" s="3"/>
      <c r="C99" s="3"/>
      <c r="D99" s="3" t="str">
        <f t="shared" si="2"/>
        <v/>
      </c>
    </row>
    <row r="100" spans="1:4">
      <c r="A100" s="3"/>
      <c r="B100" s="3"/>
      <c r="C100" s="3"/>
      <c r="D100" s="3" t="str">
        <f t="shared" ref="D100:D103" si="3">IF(OR(B100="",C100=""),"",IF(B100=C100,"Yes","No"))</f>
        <v/>
      </c>
    </row>
    <row r="101" spans="1:4">
      <c r="A101" s="3"/>
      <c r="B101" s="3"/>
      <c r="C101" s="3"/>
      <c r="D101" s="3" t="str">
        <f t="shared" si="3"/>
        <v/>
      </c>
    </row>
    <row r="102" spans="1:4">
      <c r="A102" s="3"/>
      <c r="B102" s="3"/>
      <c r="C102" s="3"/>
      <c r="D102" s="3" t="str">
        <f t="shared" si="3"/>
        <v/>
      </c>
    </row>
    <row r="103" spans="1:4">
      <c r="A103" s="3"/>
      <c r="B103" s="3"/>
      <c r="C103" s="3"/>
      <c r="D103" s="3" t="str">
        <f t="shared" si="3"/>
        <v/>
      </c>
    </row>
  </sheetData>
  <mergeCells count="1">
    <mergeCell ref="A1:I1"/>
  </mergeCells>
  <conditionalFormatting sqref="D4:D103">
    <cfRule type="expression" dxfId="7" priority="1">
      <formula>D4="Yes"</formula>
    </cfRule>
    <cfRule type="expression" dxfId="6" priority="2">
      <formula>D4="No"</formula>
    </cfRule>
  </conditionalFormatting>
  <conditionalFormatting sqref="G14">
    <cfRule type="expression" dxfId="5" priority="3">
      <formula>G14="PASS"</formula>
    </cfRule>
    <cfRule type="expression" dxfId="4" priority="4">
      <formula>G14="REVIEW"</formula>
    </cfRule>
  </conditionalFormatting>
  <dataValidations count="1">
    <dataValidation type="list" sqref="B4:C103" xr:uid="{00000000-0002-0000-0600-000000000000}">
      <formula1>"Include,Exclude"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A1:L52"/>
  <sheetViews>
    <sheetView workbookViewId="0">
      <selection activeCell="A2" sqref="A2:XFD2"/>
    </sheetView>
  </sheetViews>
  <sheetFormatPr defaultRowHeight="15.75"/>
  <cols>
    <col min="1" max="2" width="10" style="4" customWidth="1"/>
    <col min="3" max="3" width="8" style="4" customWidth="1"/>
    <col min="4" max="7" width="9" style="4" customWidth="1"/>
    <col min="8" max="8" width="15" style="4" customWidth="1"/>
    <col min="9" max="9" width="18" style="4" customWidth="1"/>
    <col min="10" max="10" width="15" style="4" customWidth="1"/>
    <col min="11" max="11" width="14" style="4" customWidth="1"/>
    <col min="12" max="12" width="58" style="4" customWidth="1"/>
    <col min="13" max="16384" width="9" style="4"/>
  </cols>
  <sheetData>
    <row r="1" spans="1:12" s="10" customFormat="1" ht="20.25">
      <c r="A1" s="22" t="s">
        <v>329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3" spans="1:12" s="9" customFormat="1" ht="37.5">
      <c r="A3" s="16" t="s">
        <v>330</v>
      </c>
      <c r="B3" s="16" t="s">
        <v>331</v>
      </c>
      <c r="C3" s="16" t="s">
        <v>332</v>
      </c>
      <c r="D3" s="16" t="s">
        <v>333</v>
      </c>
      <c r="E3" s="16" t="s">
        <v>334</v>
      </c>
      <c r="F3" s="16" t="s">
        <v>335</v>
      </c>
      <c r="G3" s="16" t="s">
        <v>336</v>
      </c>
      <c r="H3" s="16" t="s">
        <v>323</v>
      </c>
      <c r="I3" s="16" t="s">
        <v>324</v>
      </c>
      <c r="J3" s="16" t="s">
        <v>337</v>
      </c>
      <c r="K3" s="16" t="s">
        <v>39</v>
      </c>
      <c r="L3" s="16" t="s">
        <v>40</v>
      </c>
    </row>
    <row r="4" spans="1:12">
      <c r="A4" s="7" t="s">
        <v>231</v>
      </c>
      <c r="B4" s="7" t="s">
        <v>44</v>
      </c>
      <c r="C4" s="7">
        <v>25</v>
      </c>
      <c r="D4" s="7">
        <v>6</v>
      </c>
      <c r="E4" s="7">
        <v>0</v>
      </c>
      <c r="F4" s="7">
        <v>0</v>
      </c>
      <c r="G4" s="7">
        <v>19</v>
      </c>
      <c r="H4" s="15">
        <f t="shared" ref="H4:H45" si="0">IF(C4=0,"",(D4+G4)/C4)</f>
        <v>1</v>
      </c>
      <c r="I4" s="15">
        <f t="shared" ref="I4:I45" si="1">IF(C4=0,"",((D4+E4)/C4)*((D4+F4)/C4)+((F4+G4)/C4)*((E4+G4)/C4))</f>
        <v>0.63519999999999999</v>
      </c>
      <c r="J4" s="15">
        <f t="shared" ref="J4:J45" si="2">IF(OR(H4="",I4="",I4=1),"",(H4-I4)/(1-I4))</f>
        <v>1</v>
      </c>
      <c r="K4" s="7" t="s">
        <v>338</v>
      </c>
      <c r="L4" s="7" t="str">
        <f t="shared" ref="L4:L45" si="3">IF(J4="","Pending",IF(J4&gt;=0.7,"PASS","REVIEW"))</f>
        <v>PASS</v>
      </c>
    </row>
    <row r="5" spans="1:12">
      <c r="A5" s="7" t="s">
        <v>231</v>
      </c>
      <c r="B5" s="7" t="s">
        <v>60</v>
      </c>
      <c r="C5" s="7">
        <v>25</v>
      </c>
      <c r="D5" s="7">
        <v>6</v>
      </c>
      <c r="E5" s="7">
        <v>0</v>
      </c>
      <c r="F5" s="7">
        <v>0</v>
      </c>
      <c r="G5" s="7">
        <v>19</v>
      </c>
      <c r="H5" s="15">
        <f t="shared" si="0"/>
        <v>1</v>
      </c>
      <c r="I5" s="15">
        <f t="shared" si="1"/>
        <v>0.63519999999999999</v>
      </c>
      <c r="J5" s="15">
        <f t="shared" si="2"/>
        <v>1</v>
      </c>
      <c r="K5" s="7" t="s">
        <v>338</v>
      </c>
      <c r="L5" s="7" t="str">
        <f t="shared" si="3"/>
        <v>PASS</v>
      </c>
    </row>
    <row r="6" spans="1:12">
      <c r="A6" s="7" t="s">
        <v>231</v>
      </c>
      <c r="B6" s="7" t="s">
        <v>70</v>
      </c>
      <c r="C6" s="7">
        <v>25</v>
      </c>
      <c r="D6" s="7">
        <v>7</v>
      </c>
      <c r="E6" s="7">
        <v>0</v>
      </c>
      <c r="F6" s="7">
        <v>0</v>
      </c>
      <c r="G6" s="7">
        <v>18</v>
      </c>
      <c r="H6" s="15">
        <f t="shared" si="0"/>
        <v>1</v>
      </c>
      <c r="I6" s="15">
        <f t="shared" si="1"/>
        <v>0.5968</v>
      </c>
      <c r="J6" s="15">
        <f t="shared" si="2"/>
        <v>1</v>
      </c>
      <c r="K6" s="7" t="s">
        <v>338</v>
      </c>
      <c r="L6" s="7" t="str">
        <f t="shared" si="3"/>
        <v>PASS</v>
      </c>
    </row>
    <row r="7" spans="1:12">
      <c r="A7" s="7" t="s">
        <v>231</v>
      </c>
      <c r="B7" s="7" t="s">
        <v>78</v>
      </c>
      <c r="C7" s="7">
        <v>25</v>
      </c>
      <c r="D7" s="7">
        <v>7</v>
      </c>
      <c r="E7" s="7">
        <v>0</v>
      </c>
      <c r="F7" s="7">
        <v>0</v>
      </c>
      <c r="G7" s="7">
        <v>18</v>
      </c>
      <c r="H7" s="15">
        <f t="shared" si="0"/>
        <v>1</v>
      </c>
      <c r="I7" s="15">
        <f t="shared" si="1"/>
        <v>0.5968</v>
      </c>
      <c r="J7" s="15">
        <f t="shared" si="2"/>
        <v>1</v>
      </c>
      <c r="K7" s="7" t="s">
        <v>338</v>
      </c>
      <c r="L7" s="7" t="str">
        <f t="shared" si="3"/>
        <v>PASS</v>
      </c>
    </row>
    <row r="8" spans="1:12">
      <c r="A8" s="7" t="s">
        <v>232</v>
      </c>
      <c r="B8" s="7" t="s">
        <v>241</v>
      </c>
      <c r="C8" s="7">
        <v>25</v>
      </c>
      <c r="D8" s="7">
        <v>22</v>
      </c>
      <c r="E8" s="7">
        <v>0</v>
      </c>
      <c r="F8" s="7">
        <v>0</v>
      </c>
      <c r="G8" s="7">
        <v>3</v>
      </c>
      <c r="H8" s="15">
        <f t="shared" si="0"/>
        <v>1</v>
      </c>
      <c r="I8" s="15">
        <f t="shared" si="1"/>
        <v>0.78879999999999995</v>
      </c>
      <c r="J8" s="15">
        <f t="shared" si="2"/>
        <v>1</v>
      </c>
      <c r="K8" s="7" t="s">
        <v>338</v>
      </c>
      <c r="L8" s="7" t="str">
        <f t="shared" si="3"/>
        <v>PASS</v>
      </c>
    </row>
    <row r="9" spans="1:12">
      <c r="A9" s="7" t="s">
        <v>232</v>
      </c>
      <c r="B9" s="7" t="s">
        <v>250</v>
      </c>
      <c r="C9" s="7">
        <v>25</v>
      </c>
      <c r="D9" s="7">
        <v>21</v>
      </c>
      <c r="E9" s="7">
        <v>0</v>
      </c>
      <c r="F9" s="7">
        <v>0</v>
      </c>
      <c r="G9" s="7">
        <v>4</v>
      </c>
      <c r="H9" s="15">
        <f t="shared" si="0"/>
        <v>1</v>
      </c>
      <c r="I9" s="15">
        <f t="shared" si="1"/>
        <v>0.73119999999999985</v>
      </c>
      <c r="J9" s="15">
        <f t="shared" si="2"/>
        <v>1</v>
      </c>
      <c r="K9" s="7" t="s">
        <v>338</v>
      </c>
      <c r="L9" s="7" t="str">
        <f t="shared" si="3"/>
        <v>PASS</v>
      </c>
    </row>
    <row r="10" spans="1:12">
      <c r="A10" s="7" t="s">
        <v>232</v>
      </c>
      <c r="B10" s="7" t="s">
        <v>259</v>
      </c>
      <c r="C10" s="7">
        <v>25</v>
      </c>
      <c r="D10" s="7">
        <v>6</v>
      </c>
      <c r="E10" s="7">
        <v>0</v>
      </c>
      <c r="F10" s="7">
        <v>0</v>
      </c>
      <c r="G10" s="7">
        <v>19</v>
      </c>
      <c r="H10" s="15">
        <f t="shared" si="0"/>
        <v>1</v>
      </c>
      <c r="I10" s="15">
        <f t="shared" si="1"/>
        <v>0.63519999999999999</v>
      </c>
      <c r="J10" s="15">
        <f t="shared" si="2"/>
        <v>1</v>
      </c>
      <c r="K10" s="7" t="s">
        <v>338</v>
      </c>
      <c r="L10" s="7" t="str">
        <f t="shared" si="3"/>
        <v>PASS</v>
      </c>
    </row>
    <row r="11" spans="1:12">
      <c r="A11" s="7" t="s">
        <v>232</v>
      </c>
      <c r="B11" s="7" t="s">
        <v>265</v>
      </c>
      <c r="C11" s="7">
        <v>25</v>
      </c>
      <c r="D11" s="7">
        <v>0</v>
      </c>
      <c r="E11" s="7">
        <v>0</v>
      </c>
      <c r="F11" s="7">
        <v>0</v>
      </c>
      <c r="G11" s="7">
        <v>25</v>
      </c>
      <c r="H11" s="15">
        <f t="shared" si="0"/>
        <v>1</v>
      </c>
      <c r="I11" s="15">
        <f t="shared" si="1"/>
        <v>1</v>
      </c>
      <c r="J11" s="15" t="str">
        <f t="shared" si="2"/>
        <v/>
      </c>
      <c r="K11" s="7" t="s">
        <v>338</v>
      </c>
      <c r="L11" s="7" t="str">
        <f t="shared" si="3"/>
        <v>Pending</v>
      </c>
    </row>
    <row r="12" spans="1:12">
      <c r="A12" s="7" t="s">
        <v>232</v>
      </c>
      <c r="B12" s="7" t="s">
        <v>270</v>
      </c>
      <c r="C12" s="7">
        <v>25</v>
      </c>
      <c r="D12" s="7">
        <v>0</v>
      </c>
      <c r="E12" s="7">
        <v>0</v>
      </c>
      <c r="F12" s="7">
        <v>0</v>
      </c>
      <c r="G12" s="7">
        <v>25</v>
      </c>
      <c r="H12" s="15">
        <f t="shared" si="0"/>
        <v>1</v>
      </c>
      <c r="I12" s="15">
        <f t="shared" si="1"/>
        <v>1</v>
      </c>
      <c r="J12" s="15" t="str">
        <f t="shared" si="2"/>
        <v/>
      </c>
      <c r="K12" s="7" t="s">
        <v>338</v>
      </c>
      <c r="L12" s="7" t="str">
        <f t="shared" si="3"/>
        <v>Pending</v>
      </c>
    </row>
    <row r="13" spans="1:12">
      <c r="A13" s="7" t="s">
        <v>232</v>
      </c>
      <c r="B13" s="7" t="s">
        <v>275</v>
      </c>
      <c r="C13" s="7">
        <v>25</v>
      </c>
      <c r="D13" s="7">
        <v>0</v>
      </c>
      <c r="E13" s="7">
        <v>0</v>
      </c>
      <c r="F13" s="7">
        <v>0</v>
      </c>
      <c r="G13" s="7">
        <v>25</v>
      </c>
      <c r="H13" s="15">
        <f t="shared" si="0"/>
        <v>1</v>
      </c>
      <c r="I13" s="15">
        <f t="shared" si="1"/>
        <v>1</v>
      </c>
      <c r="J13" s="15" t="str">
        <f t="shared" si="2"/>
        <v/>
      </c>
      <c r="K13" s="7" t="s">
        <v>338</v>
      </c>
      <c r="L13" s="7" t="str">
        <f t="shared" si="3"/>
        <v>Pending</v>
      </c>
    </row>
    <row r="14" spans="1:12">
      <c r="A14" s="7" t="s">
        <v>233</v>
      </c>
      <c r="B14" s="7" t="s">
        <v>242</v>
      </c>
      <c r="C14" s="7">
        <v>25</v>
      </c>
      <c r="D14" s="7">
        <v>2</v>
      </c>
      <c r="E14" s="7">
        <v>0</v>
      </c>
      <c r="F14" s="7">
        <v>0</v>
      </c>
      <c r="G14" s="7">
        <v>23</v>
      </c>
      <c r="H14" s="15">
        <f t="shared" si="0"/>
        <v>1</v>
      </c>
      <c r="I14" s="15">
        <f t="shared" si="1"/>
        <v>0.8528</v>
      </c>
      <c r="J14" s="15">
        <f t="shared" si="2"/>
        <v>1</v>
      </c>
      <c r="K14" s="7" t="s">
        <v>338</v>
      </c>
      <c r="L14" s="7" t="str">
        <f t="shared" si="3"/>
        <v>PASS</v>
      </c>
    </row>
    <row r="15" spans="1:12">
      <c r="A15" s="7" t="s">
        <v>233</v>
      </c>
      <c r="B15" s="7" t="s">
        <v>251</v>
      </c>
      <c r="C15" s="7">
        <v>25</v>
      </c>
      <c r="D15" s="7">
        <v>8</v>
      </c>
      <c r="E15" s="7">
        <v>0</v>
      </c>
      <c r="F15" s="7">
        <v>0</v>
      </c>
      <c r="G15" s="7">
        <v>17</v>
      </c>
      <c r="H15" s="15">
        <f t="shared" si="0"/>
        <v>1</v>
      </c>
      <c r="I15" s="15">
        <f t="shared" si="1"/>
        <v>0.56480000000000008</v>
      </c>
      <c r="J15" s="15">
        <f t="shared" si="2"/>
        <v>1</v>
      </c>
      <c r="K15" s="7" t="s">
        <v>338</v>
      </c>
      <c r="L15" s="7" t="str">
        <f t="shared" si="3"/>
        <v>PASS</v>
      </c>
    </row>
    <row r="16" spans="1:12">
      <c r="A16" s="7" t="s">
        <v>233</v>
      </c>
      <c r="B16" s="7" t="s">
        <v>260</v>
      </c>
      <c r="C16" s="7">
        <v>25</v>
      </c>
      <c r="D16" s="7">
        <v>5</v>
      </c>
      <c r="E16" s="7">
        <v>0</v>
      </c>
      <c r="F16" s="7">
        <v>0</v>
      </c>
      <c r="G16" s="7">
        <v>20</v>
      </c>
      <c r="H16" s="15">
        <f t="shared" si="0"/>
        <v>1</v>
      </c>
      <c r="I16" s="15">
        <f t="shared" si="1"/>
        <v>0.68000000000000016</v>
      </c>
      <c r="J16" s="15">
        <f t="shared" si="2"/>
        <v>1</v>
      </c>
      <c r="K16" s="7" t="s">
        <v>338</v>
      </c>
      <c r="L16" s="7" t="str">
        <f t="shared" si="3"/>
        <v>PASS</v>
      </c>
    </row>
    <row r="17" spans="1:12">
      <c r="A17" s="7" t="s">
        <v>233</v>
      </c>
      <c r="B17" s="7" t="s">
        <v>266</v>
      </c>
      <c r="C17" s="7">
        <v>25</v>
      </c>
      <c r="D17" s="7">
        <v>7</v>
      </c>
      <c r="E17" s="7">
        <v>0</v>
      </c>
      <c r="F17" s="7">
        <v>0</v>
      </c>
      <c r="G17" s="7">
        <v>18</v>
      </c>
      <c r="H17" s="15">
        <f t="shared" si="0"/>
        <v>1</v>
      </c>
      <c r="I17" s="15">
        <f t="shared" si="1"/>
        <v>0.5968</v>
      </c>
      <c r="J17" s="15">
        <f t="shared" si="2"/>
        <v>1</v>
      </c>
      <c r="K17" s="7" t="s">
        <v>338</v>
      </c>
      <c r="L17" s="7" t="str">
        <f t="shared" si="3"/>
        <v>PASS</v>
      </c>
    </row>
    <row r="18" spans="1:12">
      <c r="A18" s="7" t="s">
        <v>233</v>
      </c>
      <c r="B18" s="7" t="s">
        <v>271</v>
      </c>
      <c r="C18" s="7">
        <v>25</v>
      </c>
      <c r="D18" s="7">
        <v>2</v>
      </c>
      <c r="E18" s="7">
        <v>0</v>
      </c>
      <c r="F18" s="7">
        <v>0</v>
      </c>
      <c r="G18" s="7">
        <v>23</v>
      </c>
      <c r="H18" s="15">
        <f t="shared" si="0"/>
        <v>1</v>
      </c>
      <c r="I18" s="15">
        <f t="shared" si="1"/>
        <v>0.8528</v>
      </c>
      <c r="J18" s="15">
        <f t="shared" si="2"/>
        <v>1</v>
      </c>
      <c r="K18" s="7" t="s">
        <v>338</v>
      </c>
      <c r="L18" s="7" t="str">
        <f t="shared" si="3"/>
        <v>PASS</v>
      </c>
    </row>
    <row r="19" spans="1:12">
      <c r="A19" s="7" t="s">
        <v>233</v>
      </c>
      <c r="B19" s="7" t="s">
        <v>276</v>
      </c>
      <c r="C19" s="7">
        <v>25</v>
      </c>
      <c r="D19" s="7">
        <v>10</v>
      </c>
      <c r="E19" s="7">
        <v>0</v>
      </c>
      <c r="F19" s="7">
        <v>0</v>
      </c>
      <c r="G19" s="7">
        <v>15</v>
      </c>
      <c r="H19" s="15">
        <f t="shared" si="0"/>
        <v>1</v>
      </c>
      <c r="I19" s="15">
        <f t="shared" si="1"/>
        <v>0.52</v>
      </c>
      <c r="J19" s="15">
        <f t="shared" si="2"/>
        <v>1</v>
      </c>
      <c r="K19" s="7" t="s">
        <v>338</v>
      </c>
      <c r="L19" s="7" t="str">
        <f t="shared" si="3"/>
        <v>PASS</v>
      </c>
    </row>
    <row r="20" spans="1:12">
      <c r="A20" s="7" t="s">
        <v>233</v>
      </c>
      <c r="B20" s="7" t="s">
        <v>280</v>
      </c>
      <c r="C20" s="7">
        <v>25</v>
      </c>
      <c r="D20" s="7">
        <v>12</v>
      </c>
      <c r="E20" s="7">
        <v>0</v>
      </c>
      <c r="F20" s="7">
        <v>0</v>
      </c>
      <c r="G20" s="7">
        <v>13</v>
      </c>
      <c r="H20" s="15">
        <f t="shared" si="0"/>
        <v>1</v>
      </c>
      <c r="I20" s="15">
        <f t="shared" si="1"/>
        <v>0.50080000000000002</v>
      </c>
      <c r="J20" s="15">
        <f t="shared" si="2"/>
        <v>1</v>
      </c>
      <c r="K20" s="7" t="s">
        <v>338</v>
      </c>
      <c r="L20" s="7" t="str">
        <f t="shared" si="3"/>
        <v>PASS</v>
      </c>
    </row>
    <row r="21" spans="1:12">
      <c r="A21" s="7" t="s">
        <v>233</v>
      </c>
      <c r="B21" s="7" t="s">
        <v>284</v>
      </c>
      <c r="C21" s="7">
        <v>25</v>
      </c>
      <c r="D21" s="7">
        <v>0</v>
      </c>
      <c r="E21" s="7">
        <v>0</v>
      </c>
      <c r="F21" s="7">
        <v>0</v>
      </c>
      <c r="G21" s="7">
        <v>25</v>
      </c>
      <c r="H21" s="15">
        <f t="shared" si="0"/>
        <v>1</v>
      </c>
      <c r="I21" s="15">
        <f t="shared" si="1"/>
        <v>1</v>
      </c>
      <c r="J21" s="15" t="str">
        <f t="shared" si="2"/>
        <v/>
      </c>
      <c r="K21" s="7" t="s">
        <v>338</v>
      </c>
      <c r="L21" s="7" t="str">
        <f t="shared" si="3"/>
        <v>Pending</v>
      </c>
    </row>
    <row r="22" spans="1:12">
      <c r="A22" s="7" t="s">
        <v>233</v>
      </c>
      <c r="B22" s="7" t="s">
        <v>288</v>
      </c>
      <c r="C22" s="7">
        <v>25</v>
      </c>
      <c r="D22" s="7">
        <v>1</v>
      </c>
      <c r="E22" s="7">
        <v>0</v>
      </c>
      <c r="F22" s="7">
        <v>0</v>
      </c>
      <c r="G22" s="7">
        <v>24</v>
      </c>
      <c r="H22" s="15">
        <f t="shared" si="0"/>
        <v>1</v>
      </c>
      <c r="I22" s="15">
        <f t="shared" si="1"/>
        <v>0.92320000000000002</v>
      </c>
      <c r="J22" s="15">
        <f t="shared" si="2"/>
        <v>1</v>
      </c>
      <c r="K22" s="7" t="s">
        <v>338</v>
      </c>
      <c r="L22" s="7" t="str">
        <f t="shared" si="3"/>
        <v>PASS</v>
      </c>
    </row>
    <row r="23" spans="1:12">
      <c r="A23" s="7" t="s">
        <v>233</v>
      </c>
      <c r="B23" s="7" t="s">
        <v>290</v>
      </c>
      <c r="C23" s="7">
        <v>25</v>
      </c>
      <c r="D23" s="7">
        <v>3</v>
      </c>
      <c r="E23" s="7">
        <v>0</v>
      </c>
      <c r="F23" s="7">
        <v>0</v>
      </c>
      <c r="G23" s="7">
        <v>22</v>
      </c>
      <c r="H23" s="15">
        <f t="shared" si="0"/>
        <v>1</v>
      </c>
      <c r="I23" s="15">
        <f t="shared" si="1"/>
        <v>0.78879999999999995</v>
      </c>
      <c r="J23" s="15">
        <f t="shared" si="2"/>
        <v>1</v>
      </c>
      <c r="K23" s="7" t="s">
        <v>338</v>
      </c>
      <c r="L23" s="7" t="str">
        <f t="shared" si="3"/>
        <v>PASS</v>
      </c>
    </row>
    <row r="24" spans="1:12">
      <c r="A24" s="7" t="s">
        <v>233</v>
      </c>
      <c r="B24" s="7" t="s">
        <v>292</v>
      </c>
      <c r="C24" s="7">
        <v>25</v>
      </c>
      <c r="D24" s="7">
        <v>0</v>
      </c>
      <c r="E24" s="7">
        <v>0</v>
      </c>
      <c r="F24" s="7">
        <v>0</v>
      </c>
      <c r="G24" s="7">
        <v>25</v>
      </c>
      <c r="H24" s="15">
        <f t="shared" si="0"/>
        <v>1</v>
      </c>
      <c r="I24" s="15">
        <f t="shared" si="1"/>
        <v>1</v>
      </c>
      <c r="J24" s="15" t="str">
        <f t="shared" si="2"/>
        <v/>
      </c>
      <c r="K24" s="7" t="s">
        <v>338</v>
      </c>
      <c r="L24" s="7" t="str">
        <f t="shared" si="3"/>
        <v>Pending</v>
      </c>
    </row>
    <row r="25" spans="1:12">
      <c r="A25" s="7" t="s">
        <v>233</v>
      </c>
      <c r="B25" s="7" t="s">
        <v>294</v>
      </c>
      <c r="C25" s="7">
        <v>25</v>
      </c>
      <c r="D25" s="7">
        <v>3</v>
      </c>
      <c r="E25" s="7">
        <v>0</v>
      </c>
      <c r="F25" s="7">
        <v>0</v>
      </c>
      <c r="G25" s="7">
        <v>22</v>
      </c>
      <c r="H25" s="15">
        <f t="shared" si="0"/>
        <v>1</v>
      </c>
      <c r="I25" s="15">
        <f t="shared" si="1"/>
        <v>0.78879999999999995</v>
      </c>
      <c r="J25" s="15">
        <f t="shared" si="2"/>
        <v>1</v>
      </c>
      <c r="K25" s="7" t="s">
        <v>338</v>
      </c>
      <c r="L25" s="7" t="str">
        <f t="shared" si="3"/>
        <v>PASS</v>
      </c>
    </row>
    <row r="26" spans="1:12">
      <c r="A26" s="7" t="s">
        <v>234</v>
      </c>
      <c r="B26" s="7" t="s">
        <v>243</v>
      </c>
      <c r="C26" s="7">
        <v>25</v>
      </c>
      <c r="D26" s="7">
        <v>3</v>
      </c>
      <c r="E26" s="7">
        <v>0</v>
      </c>
      <c r="F26" s="7">
        <v>0</v>
      </c>
      <c r="G26" s="7">
        <v>22</v>
      </c>
      <c r="H26" s="15">
        <f t="shared" si="0"/>
        <v>1</v>
      </c>
      <c r="I26" s="15">
        <f t="shared" si="1"/>
        <v>0.78879999999999995</v>
      </c>
      <c r="J26" s="15">
        <f t="shared" si="2"/>
        <v>1</v>
      </c>
      <c r="K26" s="7" t="s">
        <v>338</v>
      </c>
      <c r="L26" s="7" t="str">
        <f t="shared" si="3"/>
        <v>PASS</v>
      </c>
    </row>
    <row r="27" spans="1:12">
      <c r="A27" s="7" t="s">
        <v>234</v>
      </c>
      <c r="B27" s="7" t="s">
        <v>252</v>
      </c>
      <c r="C27" s="7">
        <v>25</v>
      </c>
      <c r="D27" s="7">
        <v>15</v>
      </c>
      <c r="E27" s="7">
        <v>0</v>
      </c>
      <c r="F27" s="7">
        <v>0</v>
      </c>
      <c r="G27" s="7">
        <v>10</v>
      </c>
      <c r="H27" s="15">
        <f t="shared" si="0"/>
        <v>1</v>
      </c>
      <c r="I27" s="15">
        <f t="shared" si="1"/>
        <v>0.52</v>
      </c>
      <c r="J27" s="15">
        <f t="shared" si="2"/>
        <v>1</v>
      </c>
      <c r="K27" s="7" t="s">
        <v>338</v>
      </c>
      <c r="L27" s="7" t="str">
        <f t="shared" si="3"/>
        <v>PASS</v>
      </c>
    </row>
    <row r="28" spans="1:12">
      <c r="A28" s="7" t="s">
        <v>234</v>
      </c>
      <c r="B28" s="7" t="s">
        <v>261</v>
      </c>
      <c r="C28" s="7">
        <v>25</v>
      </c>
      <c r="D28" s="7">
        <v>18</v>
      </c>
      <c r="E28" s="7">
        <v>0</v>
      </c>
      <c r="F28" s="7">
        <v>0</v>
      </c>
      <c r="G28" s="7">
        <v>7</v>
      </c>
      <c r="H28" s="15">
        <f t="shared" si="0"/>
        <v>1</v>
      </c>
      <c r="I28" s="15">
        <f t="shared" si="1"/>
        <v>0.5968</v>
      </c>
      <c r="J28" s="15">
        <f t="shared" si="2"/>
        <v>1</v>
      </c>
      <c r="K28" s="7" t="s">
        <v>338</v>
      </c>
      <c r="L28" s="7" t="str">
        <f t="shared" si="3"/>
        <v>PASS</v>
      </c>
    </row>
    <row r="29" spans="1:12">
      <c r="A29" s="7" t="s">
        <v>234</v>
      </c>
      <c r="B29" s="7" t="s">
        <v>267</v>
      </c>
      <c r="C29" s="7">
        <v>25</v>
      </c>
      <c r="D29" s="7">
        <v>23</v>
      </c>
      <c r="E29" s="7">
        <v>0</v>
      </c>
      <c r="F29" s="7">
        <v>0</v>
      </c>
      <c r="G29" s="7">
        <v>2</v>
      </c>
      <c r="H29" s="15">
        <f t="shared" si="0"/>
        <v>1</v>
      </c>
      <c r="I29" s="15">
        <f t="shared" si="1"/>
        <v>0.8528</v>
      </c>
      <c r="J29" s="15">
        <f t="shared" si="2"/>
        <v>1</v>
      </c>
      <c r="K29" s="7" t="s">
        <v>338</v>
      </c>
      <c r="L29" s="7" t="str">
        <f t="shared" si="3"/>
        <v>PASS</v>
      </c>
    </row>
    <row r="30" spans="1:12">
      <c r="A30" s="7" t="s">
        <v>234</v>
      </c>
      <c r="B30" s="7" t="s">
        <v>272</v>
      </c>
      <c r="C30" s="7">
        <v>25</v>
      </c>
      <c r="D30" s="7">
        <v>3</v>
      </c>
      <c r="E30" s="7">
        <v>0</v>
      </c>
      <c r="F30" s="7">
        <v>0</v>
      </c>
      <c r="G30" s="7">
        <v>22</v>
      </c>
      <c r="H30" s="15">
        <f t="shared" si="0"/>
        <v>1</v>
      </c>
      <c r="I30" s="15">
        <f t="shared" si="1"/>
        <v>0.78879999999999995</v>
      </c>
      <c r="J30" s="15">
        <f t="shared" si="2"/>
        <v>1</v>
      </c>
      <c r="K30" s="7" t="s">
        <v>338</v>
      </c>
      <c r="L30" s="7" t="str">
        <f t="shared" si="3"/>
        <v>PASS</v>
      </c>
    </row>
    <row r="31" spans="1:12">
      <c r="A31" s="7" t="s">
        <v>234</v>
      </c>
      <c r="B31" s="7" t="s">
        <v>277</v>
      </c>
      <c r="C31" s="7">
        <v>25</v>
      </c>
      <c r="D31" s="7">
        <v>0</v>
      </c>
      <c r="E31" s="7">
        <v>0</v>
      </c>
      <c r="F31" s="7">
        <v>0</v>
      </c>
      <c r="G31" s="7">
        <v>25</v>
      </c>
      <c r="H31" s="15">
        <f t="shared" si="0"/>
        <v>1</v>
      </c>
      <c r="I31" s="15">
        <f t="shared" si="1"/>
        <v>1</v>
      </c>
      <c r="J31" s="15" t="str">
        <f t="shared" si="2"/>
        <v/>
      </c>
      <c r="K31" s="7" t="s">
        <v>338</v>
      </c>
      <c r="L31" s="7" t="str">
        <f t="shared" si="3"/>
        <v>Pending</v>
      </c>
    </row>
    <row r="32" spans="1:12">
      <c r="A32" s="7" t="s">
        <v>234</v>
      </c>
      <c r="B32" s="7" t="s">
        <v>281</v>
      </c>
      <c r="C32" s="7">
        <v>25</v>
      </c>
      <c r="D32" s="7">
        <v>1</v>
      </c>
      <c r="E32" s="7">
        <v>0</v>
      </c>
      <c r="F32" s="7">
        <v>0</v>
      </c>
      <c r="G32" s="7">
        <v>24</v>
      </c>
      <c r="H32" s="15">
        <f t="shared" si="0"/>
        <v>1</v>
      </c>
      <c r="I32" s="15">
        <f t="shared" si="1"/>
        <v>0.92320000000000002</v>
      </c>
      <c r="J32" s="15">
        <f t="shared" si="2"/>
        <v>1</v>
      </c>
      <c r="K32" s="7" t="s">
        <v>338</v>
      </c>
      <c r="L32" s="7" t="str">
        <f t="shared" si="3"/>
        <v>PASS</v>
      </c>
    </row>
    <row r="33" spans="1:12">
      <c r="A33" s="7" t="s">
        <v>234</v>
      </c>
      <c r="B33" s="7" t="s">
        <v>285</v>
      </c>
      <c r="C33" s="7">
        <v>25</v>
      </c>
      <c r="D33" s="7">
        <v>0</v>
      </c>
      <c r="E33" s="7">
        <v>0</v>
      </c>
      <c r="F33" s="7">
        <v>0</v>
      </c>
      <c r="G33" s="7">
        <v>25</v>
      </c>
      <c r="H33" s="15">
        <f t="shared" si="0"/>
        <v>1</v>
      </c>
      <c r="I33" s="15">
        <f t="shared" si="1"/>
        <v>1</v>
      </c>
      <c r="J33" s="15" t="str">
        <f t="shared" si="2"/>
        <v/>
      </c>
      <c r="K33" s="7" t="s">
        <v>338</v>
      </c>
      <c r="L33" s="7" t="str">
        <f t="shared" si="3"/>
        <v>Pending</v>
      </c>
    </row>
    <row r="34" spans="1:12">
      <c r="A34" s="7" t="s">
        <v>235</v>
      </c>
      <c r="B34" s="7" t="s">
        <v>244</v>
      </c>
      <c r="C34" s="7">
        <v>25</v>
      </c>
      <c r="D34" s="7">
        <v>0</v>
      </c>
      <c r="E34" s="7">
        <v>0</v>
      </c>
      <c r="F34" s="7">
        <v>0</v>
      </c>
      <c r="G34" s="7">
        <v>25</v>
      </c>
      <c r="H34" s="15">
        <f t="shared" si="0"/>
        <v>1</v>
      </c>
      <c r="I34" s="15">
        <f t="shared" si="1"/>
        <v>1</v>
      </c>
      <c r="J34" s="15" t="str">
        <f t="shared" si="2"/>
        <v/>
      </c>
      <c r="K34" s="7" t="s">
        <v>338</v>
      </c>
      <c r="L34" s="7" t="str">
        <f t="shared" si="3"/>
        <v>Pending</v>
      </c>
    </row>
    <row r="35" spans="1:12">
      <c r="A35" s="7" t="s">
        <v>235</v>
      </c>
      <c r="B35" s="7" t="s">
        <v>253</v>
      </c>
      <c r="C35" s="7">
        <v>25</v>
      </c>
      <c r="D35" s="7">
        <v>1</v>
      </c>
      <c r="E35" s="7">
        <v>0</v>
      </c>
      <c r="F35" s="7">
        <v>0</v>
      </c>
      <c r="G35" s="7">
        <v>24</v>
      </c>
      <c r="H35" s="15">
        <f t="shared" si="0"/>
        <v>1</v>
      </c>
      <c r="I35" s="15">
        <f t="shared" si="1"/>
        <v>0.92320000000000002</v>
      </c>
      <c r="J35" s="15">
        <f t="shared" si="2"/>
        <v>1</v>
      </c>
      <c r="K35" s="7" t="s">
        <v>338</v>
      </c>
      <c r="L35" s="7" t="str">
        <f t="shared" si="3"/>
        <v>PASS</v>
      </c>
    </row>
    <row r="36" spans="1:12">
      <c r="A36" s="7" t="s">
        <v>235</v>
      </c>
      <c r="B36" s="7" t="s">
        <v>262</v>
      </c>
      <c r="C36" s="7">
        <v>25</v>
      </c>
      <c r="D36" s="7">
        <v>1</v>
      </c>
      <c r="E36" s="7">
        <v>0</v>
      </c>
      <c r="F36" s="7">
        <v>0</v>
      </c>
      <c r="G36" s="7">
        <v>24</v>
      </c>
      <c r="H36" s="15">
        <f t="shared" si="0"/>
        <v>1</v>
      </c>
      <c r="I36" s="15">
        <f t="shared" si="1"/>
        <v>0.92320000000000002</v>
      </c>
      <c r="J36" s="15">
        <f t="shared" si="2"/>
        <v>1</v>
      </c>
      <c r="K36" s="7" t="s">
        <v>338</v>
      </c>
      <c r="L36" s="7" t="str">
        <f t="shared" si="3"/>
        <v>PASS</v>
      </c>
    </row>
    <row r="37" spans="1:12">
      <c r="A37" s="7" t="s">
        <v>235</v>
      </c>
      <c r="B37" s="7" t="s">
        <v>268</v>
      </c>
      <c r="C37" s="7">
        <v>25</v>
      </c>
      <c r="D37" s="7">
        <v>2</v>
      </c>
      <c r="E37" s="7">
        <v>0</v>
      </c>
      <c r="F37" s="7">
        <v>0</v>
      </c>
      <c r="G37" s="7">
        <v>23</v>
      </c>
      <c r="H37" s="15">
        <f t="shared" si="0"/>
        <v>1</v>
      </c>
      <c r="I37" s="15">
        <f t="shared" si="1"/>
        <v>0.8528</v>
      </c>
      <c r="J37" s="15">
        <f t="shared" si="2"/>
        <v>1</v>
      </c>
      <c r="K37" s="7" t="s">
        <v>338</v>
      </c>
      <c r="L37" s="7" t="str">
        <f t="shared" si="3"/>
        <v>PASS</v>
      </c>
    </row>
    <row r="38" spans="1:12">
      <c r="A38" s="7" t="s">
        <v>235</v>
      </c>
      <c r="B38" s="7" t="s">
        <v>273</v>
      </c>
      <c r="C38" s="7">
        <v>25</v>
      </c>
      <c r="D38" s="7">
        <v>15</v>
      </c>
      <c r="E38" s="7">
        <v>0</v>
      </c>
      <c r="F38" s="7">
        <v>0</v>
      </c>
      <c r="G38" s="7">
        <v>10</v>
      </c>
      <c r="H38" s="15">
        <f t="shared" si="0"/>
        <v>1</v>
      </c>
      <c r="I38" s="15">
        <f t="shared" si="1"/>
        <v>0.52</v>
      </c>
      <c r="J38" s="15">
        <f t="shared" si="2"/>
        <v>1</v>
      </c>
      <c r="K38" s="7" t="s">
        <v>338</v>
      </c>
      <c r="L38" s="7" t="str">
        <f t="shared" si="3"/>
        <v>PASS</v>
      </c>
    </row>
    <row r="39" spans="1:12">
      <c r="A39" s="7" t="s">
        <v>235</v>
      </c>
      <c r="B39" s="7" t="s">
        <v>278</v>
      </c>
      <c r="C39" s="7">
        <v>25</v>
      </c>
      <c r="D39" s="7">
        <v>14</v>
      </c>
      <c r="E39" s="7">
        <v>0</v>
      </c>
      <c r="F39" s="7">
        <v>0</v>
      </c>
      <c r="G39" s="7">
        <v>11</v>
      </c>
      <c r="H39" s="15">
        <f t="shared" si="0"/>
        <v>1</v>
      </c>
      <c r="I39" s="15">
        <f t="shared" si="1"/>
        <v>0.5072000000000001</v>
      </c>
      <c r="J39" s="15">
        <f t="shared" si="2"/>
        <v>1</v>
      </c>
      <c r="K39" s="7" t="s">
        <v>338</v>
      </c>
      <c r="L39" s="7" t="str">
        <f t="shared" si="3"/>
        <v>PASS</v>
      </c>
    </row>
    <row r="40" spans="1:12">
      <c r="A40" s="7" t="s">
        <v>235</v>
      </c>
      <c r="B40" s="7" t="s">
        <v>282</v>
      </c>
      <c r="C40" s="7">
        <v>25</v>
      </c>
      <c r="D40" s="7">
        <v>4</v>
      </c>
      <c r="E40" s="7">
        <v>0</v>
      </c>
      <c r="F40" s="7">
        <v>0</v>
      </c>
      <c r="G40" s="7">
        <v>21</v>
      </c>
      <c r="H40" s="15">
        <f t="shared" si="0"/>
        <v>1</v>
      </c>
      <c r="I40" s="15">
        <f t="shared" si="1"/>
        <v>0.73119999999999985</v>
      </c>
      <c r="J40" s="15">
        <f t="shared" si="2"/>
        <v>1</v>
      </c>
      <c r="K40" s="7" t="s">
        <v>338</v>
      </c>
      <c r="L40" s="7" t="str">
        <f t="shared" si="3"/>
        <v>PASS</v>
      </c>
    </row>
    <row r="41" spans="1:12">
      <c r="A41" s="7" t="s">
        <v>235</v>
      </c>
      <c r="B41" s="7" t="s">
        <v>286</v>
      </c>
      <c r="C41" s="7">
        <v>25</v>
      </c>
      <c r="D41" s="7">
        <v>3</v>
      </c>
      <c r="E41" s="7">
        <v>0</v>
      </c>
      <c r="F41" s="7">
        <v>0</v>
      </c>
      <c r="G41" s="7">
        <v>22</v>
      </c>
      <c r="H41" s="15">
        <f t="shared" si="0"/>
        <v>1</v>
      </c>
      <c r="I41" s="15">
        <f t="shared" si="1"/>
        <v>0.78879999999999995</v>
      </c>
      <c r="J41" s="15">
        <f t="shared" si="2"/>
        <v>1</v>
      </c>
      <c r="K41" s="7" t="s">
        <v>338</v>
      </c>
      <c r="L41" s="7" t="str">
        <f t="shared" si="3"/>
        <v>PASS</v>
      </c>
    </row>
    <row r="42" spans="1:12">
      <c r="A42" s="7" t="s">
        <v>235</v>
      </c>
      <c r="B42" s="7" t="s">
        <v>289</v>
      </c>
      <c r="C42" s="7">
        <v>25</v>
      </c>
      <c r="D42" s="7">
        <v>2</v>
      </c>
      <c r="E42" s="7">
        <v>0</v>
      </c>
      <c r="F42" s="7">
        <v>0</v>
      </c>
      <c r="G42" s="7">
        <v>23</v>
      </c>
      <c r="H42" s="15">
        <f t="shared" si="0"/>
        <v>1</v>
      </c>
      <c r="I42" s="15">
        <f t="shared" si="1"/>
        <v>0.8528</v>
      </c>
      <c r="J42" s="15">
        <f t="shared" si="2"/>
        <v>1</v>
      </c>
      <c r="K42" s="7" t="s">
        <v>338</v>
      </c>
      <c r="L42" s="7" t="str">
        <f t="shared" si="3"/>
        <v>PASS</v>
      </c>
    </row>
    <row r="43" spans="1:12">
      <c r="A43" s="7" t="s">
        <v>235</v>
      </c>
      <c r="B43" s="7" t="s">
        <v>291</v>
      </c>
      <c r="C43" s="7">
        <v>25</v>
      </c>
      <c r="D43" s="7">
        <v>2</v>
      </c>
      <c r="E43" s="7">
        <v>0</v>
      </c>
      <c r="F43" s="7">
        <v>0</v>
      </c>
      <c r="G43" s="7">
        <v>23</v>
      </c>
      <c r="H43" s="15">
        <f t="shared" si="0"/>
        <v>1</v>
      </c>
      <c r="I43" s="15">
        <f t="shared" si="1"/>
        <v>0.8528</v>
      </c>
      <c r="J43" s="15">
        <f t="shared" si="2"/>
        <v>1</v>
      </c>
      <c r="K43" s="7" t="s">
        <v>338</v>
      </c>
      <c r="L43" s="7" t="str">
        <f t="shared" si="3"/>
        <v>PASS</v>
      </c>
    </row>
    <row r="44" spans="1:12">
      <c r="A44" s="7" t="s">
        <v>235</v>
      </c>
      <c r="B44" s="7" t="s">
        <v>293</v>
      </c>
      <c r="C44" s="7">
        <v>25</v>
      </c>
      <c r="D44" s="7">
        <v>0</v>
      </c>
      <c r="E44" s="7">
        <v>0</v>
      </c>
      <c r="F44" s="7">
        <v>0</v>
      </c>
      <c r="G44" s="7">
        <v>25</v>
      </c>
      <c r="H44" s="15">
        <f t="shared" si="0"/>
        <v>1</v>
      </c>
      <c r="I44" s="15">
        <f t="shared" si="1"/>
        <v>1</v>
      </c>
      <c r="J44" s="15" t="str">
        <f t="shared" si="2"/>
        <v/>
      </c>
      <c r="K44" s="7" t="s">
        <v>338</v>
      </c>
      <c r="L44" s="7" t="str">
        <f t="shared" si="3"/>
        <v>Pending</v>
      </c>
    </row>
    <row r="45" spans="1:12">
      <c r="A45" s="7" t="s">
        <v>235</v>
      </c>
      <c r="B45" s="7" t="s">
        <v>295</v>
      </c>
      <c r="C45" s="7">
        <v>25</v>
      </c>
      <c r="D45" s="7">
        <v>0</v>
      </c>
      <c r="E45" s="7">
        <v>0</v>
      </c>
      <c r="F45" s="7">
        <v>0</v>
      </c>
      <c r="G45" s="7">
        <v>25</v>
      </c>
      <c r="H45" s="15">
        <f t="shared" si="0"/>
        <v>1</v>
      </c>
      <c r="I45" s="15">
        <f t="shared" si="1"/>
        <v>1</v>
      </c>
      <c r="J45" s="15" t="str">
        <f t="shared" si="2"/>
        <v/>
      </c>
      <c r="K45" s="7" t="s">
        <v>338</v>
      </c>
      <c r="L45" s="7" t="str">
        <f t="shared" si="3"/>
        <v>Pending</v>
      </c>
    </row>
    <row r="46" spans="1:12">
      <c r="J46" t="str">
        <f>IF(C46=0,"Not calculable",IF(I46=1,"NA - zero variance",(H46-I46)/(1-I46)))</f>
        <v>Not calculable</v>
      </c>
      <c r="L46" t="s">
        <v>500</v>
      </c>
    </row>
    <row r="47" spans="1:12">
      <c r="J47" t="str">
        <f>IF(C47=0,"Not calculable",IF(I47=1,"NA - zero variance",(H47-I47)/(1-I47)))</f>
        <v>Not calculable</v>
      </c>
      <c r="L47" t="s">
        <v>500</v>
      </c>
    </row>
    <row r="49" spans="1:4" ht="31.5">
      <c r="A49" s="5" t="s">
        <v>339</v>
      </c>
      <c r="B49" s="5" t="s">
        <v>340</v>
      </c>
      <c r="C49" s="5" t="s">
        <v>341</v>
      </c>
      <c r="D49" s="5" t="s">
        <v>342</v>
      </c>
    </row>
    <row r="50" spans="1:4" ht="110.25">
      <c r="A50" s="7" t="s">
        <v>343</v>
      </c>
      <c r="B50" s="7" t="s">
        <v>344</v>
      </c>
      <c r="C50" s="7" t="s">
        <v>345</v>
      </c>
      <c r="D50" s="7" t="s">
        <v>346</v>
      </c>
    </row>
    <row r="51" spans="1:4" ht="110.25">
      <c r="A51" s="7" t="s">
        <v>347</v>
      </c>
      <c r="B51" s="7" t="s">
        <v>348</v>
      </c>
      <c r="C51" s="7" t="s">
        <v>349</v>
      </c>
      <c r="D51" s="7" t="s">
        <v>350</v>
      </c>
    </row>
    <row r="52" spans="1:4" ht="141.75">
      <c r="A52" s="7" t="s">
        <v>351</v>
      </c>
      <c r="B52" s="7" t="s">
        <v>352</v>
      </c>
      <c r="C52" s="7" t="s">
        <v>353</v>
      </c>
      <c r="D52" s="7" t="s">
        <v>354</v>
      </c>
    </row>
  </sheetData>
  <mergeCells count="1">
    <mergeCell ref="A1:L1"/>
  </mergeCells>
  <conditionalFormatting sqref="L4:L45">
    <cfRule type="expression" dxfId="3" priority="1">
      <formula>L4="PASS"</formula>
    </cfRule>
    <cfRule type="expression" dxfId="2" priority="2">
      <formula>L4="REVIEW"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H12"/>
  <sheetViews>
    <sheetView workbookViewId="0">
      <selection activeCell="A2" sqref="A2:XFD2"/>
    </sheetView>
  </sheetViews>
  <sheetFormatPr defaultRowHeight="15.75"/>
  <cols>
    <col min="1" max="1" width="34" style="4" customWidth="1"/>
    <col min="2" max="2" width="30" style="4" customWidth="1"/>
    <col min="3" max="3" width="34" style="4" customWidth="1"/>
    <col min="4" max="4" width="36" style="4" customWidth="1"/>
    <col min="5" max="5" width="18" style="4" customWidth="1"/>
    <col min="6" max="6" width="16" style="4" customWidth="1"/>
    <col min="7" max="7" width="52" style="4" customWidth="1"/>
    <col min="8" max="8" width="60" style="4" customWidth="1"/>
    <col min="9" max="16384" width="9" style="4"/>
  </cols>
  <sheetData>
    <row r="1" spans="1:8">
      <c r="A1" s="25" t="s">
        <v>355</v>
      </c>
      <c r="B1" s="25"/>
      <c r="C1" s="25"/>
      <c r="D1" s="25"/>
      <c r="E1" s="25"/>
      <c r="F1" s="25"/>
      <c r="G1" s="25"/>
      <c r="H1" s="25"/>
    </row>
    <row r="2" spans="1:8">
      <c r="A2" s="5" t="s">
        <v>356</v>
      </c>
      <c r="B2" s="5" t="s">
        <v>357</v>
      </c>
      <c r="C2" s="5" t="s">
        <v>358</v>
      </c>
      <c r="D2" s="5" t="s">
        <v>359</v>
      </c>
      <c r="E2" s="5" t="s">
        <v>323</v>
      </c>
      <c r="F2" s="5" t="s">
        <v>39</v>
      </c>
      <c r="G2" s="5" t="s">
        <v>360</v>
      </c>
      <c r="H2" s="5" t="s">
        <v>361</v>
      </c>
    </row>
    <row r="3" spans="1:8" ht="31.5">
      <c r="A3" s="7" t="s">
        <v>362</v>
      </c>
      <c r="B3" s="7" t="s">
        <v>363</v>
      </c>
      <c r="C3" s="7" t="s">
        <v>364</v>
      </c>
      <c r="D3" s="7" t="s">
        <v>365</v>
      </c>
      <c r="E3" s="20">
        <v>1</v>
      </c>
      <c r="F3" s="7" t="s">
        <v>338</v>
      </c>
      <c r="G3" s="7" t="s">
        <v>366</v>
      </c>
      <c r="H3" s="7" t="s">
        <v>501</v>
      </c>
    </row>
    <row r="4" spans="1:8" ht="31.5">
      <c r="A4" s="7" t="s">
        <v>367</v>
      </c>
      <c r="B4" s="7" t="s">
        <v>368</v>
      </c>
      <c r="C4" s="7" t="s">
        <v>364</v>
      </c>
      <c r="D4" s="7" t="s">
        <v>369</v>
      </c>
      <c r="E4" s="20">
        <v>1</v>
      </c>
      <c r="F4" s="7" t="s">
        <v>338</v>
      </c>
      <c r="G4" s="7" t="s">
        <v>370</v>
      </c>
      <c r="H4" s="7" t="s">
        <v>502</v>
      </c>
    </row>
    <row r="5" spans="1:8" ht="31.5">
      <c r="A5" s="7" t="s">
        <v>371</v>
      </c>
      <c r="B5" s="7" t="s">
        <v>368</v>
      </c>
      <c r="C5" s="7" t="s">
        <v>364</v>
      </c>
      <c r="D5" s="7" t="s">
        <v>372</v>
      </c>
      <c r="E5" s="20">
        <v>1</v>
      </c>
      <c r="F5" s="7" t="s">
        <v>338</v>
      </c>
      <c r="G5" s="7" t="s">
        <v>373</v>
      </c>
      <c r="H5" s="7" t="s">
        <v>503</v>
      </c>
    </row>
    <row r="7" spans="1:8">
      <c r="A7" s="5" t="s">
        <v>18</v>
      </c>
      <c r="B7" s="5" t="s">
        <v>374</v>
      </c>
      <c r="C7" s="5" t="s">
        <v>375</v>
      </c>
      <c r="D7" s="5" t="s">
        <v>40</v>
      </c>
    </row>
    <row r="8" spans="1:8" ht="31.5">
      <c r="A8" s="7" t="s">
        <v>376</v>
      </c>
      <c r="B8" s="7" t="s">
        <v>377</v>
      </c>
      <c r="C8" s="7" t="s">
        <v>378</v>
      </c>
      <c r="D8" s="7" t="s">
        <v>379</v>
      </c>
    </row>
    <row r="9" spans="1:8" ht="31.5">
      <c r="A9" s="7" t="s">
        <v>380</v>
      </c>
      <c r="B9" s="7" t="s">
        <v>381</v>
      </c>
      <c r="C9" s="7" t="s">
        <v>382</v>
      </c>
      <c r="D9" s="7" t="s">
        <v>379</v>
      </c>
    </row>
    <row r="11" spans="1:8">
      <c r="A11" s="5" t="s">
        <v>383</v>
      </c>
      <c r="B11" s="5" t="s">
        <v>384</v>
      </c>
      <c r="C11" s="5" t="s">
        <v>385</v>
      </c>
      <c r="D11" s="5" t="s">
        <v>386</v>
      </c>
    </row>
    <row r="12" spans="1:8" ht="31.5">
      <c r="A12" s="7" t="s">
        <v>387</v>
      </c>
      <c r="B12" s="7" t="s">
        <v>388</v>
      </c>
      <c r="C12" s="7" t="s">
        <v>389</v>
      </c>
      <c r="D12" s="7" t="s">
        <v>390</v>
      </c>
    </row>
  </sheetData>
  <mergeCells count="1">
    <mergeCell ref="A1:H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7030A0"/>
  </sheetPr>
  <dimension ref="A1:L4"/>
  <sheetViews>
    <sheetView workbookViewId="0">
      <selection activeCell="D8" sqref="D8"/>
    </sheetView>
  </sheetViews>
  <sheetFormatPr defaultRowHeight="14.25"/>
  <cols>
    <col min="1" max="1" width="10" customWidth="1"/>
    <col min="2" max="2" width="16" customWidth="1"/>
    <col min="3" max="3" width="20" customWidth="1"/>
    <col min="4" max="4" width="24" customWidth="1"/>
    <col min="5" max="6" width="58" customWidth="1"/>
    <col min="7" max="7" width="64" customWidth="1"/>
    <col min="8" max="8" width="24" customWidth="1"/>
    <col min="9" max="9" width="48" customWidth="1"/>
    <col min="10" max="10" width="22" customWidth="1"/>
    <col min="11" max="11" width="20" customWidth="1"/>
    <col min="12" max="12" width="26" customWidth="1"/>
  </cols>
  <sheetData>
    <row r="1" spans="1:12" ht="18.75">
      <c r="A1" s="26" t="s">
        <v>391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5.75">
      <c r="A3" s="28" t="s">
        <v>392</v>
      </c>
      <c r="B3" s="28" t="s">
        <v>393</v>
      </c>
      <c r="C3" s="28" t="s">
        <v>394</v>
      </c>
      <c r="D3" s="28" t="s">
        <v>395</v>
      </c>
      <c r="E3" s="28" t="s">
        <v>396</v>
      </c>
      <c r="F3" s="28" t="s">
        <v>397</v>
      </c>
      <c r="G3" s="28" t="s">
        <v>398</v>
      </c>
      <c r="H3" s="28" t="s">
        <v>399</v>
      </c>
      <c r="I3" s="28" t="s">
        <v>400</v>
      </c>
      <c r="J3" s="28" t="s">
        <v>401</v>
      </c>
      <c r="K3" s="28" t="s">
        <v>402</v>
      </c>
      <c r="L3" s="28" t="s">
        <v>403</v>
      </c>
    </row>
    <row r="4" spans="1:12" ht="63">
      <c r="A4" s="29" t="s">
        <v>40</v>
      </c>
      <c r="B4" s="29" t="s">
        <v>504</v>
      </c>
      <c r="C4" s="29" t="s">
        <v>505</v>
      </c>
      <c r="D4" s="29" t="s">
        <v>506</v>
      </c>
      <c r="E4" s="29" t="s">
        <v>507</v>
      </c>
      <c r="F4" s="29" t="s">
        <v>508</v>
      </c>
      <c r="G4" s="29" t="s">
        <v>509</v>
      </c>
      <c r="H4" s="29" t="s">
        <v>510</v>
      </c>
      <c r="I4" s="29" t="s">
        <v>511</v>
      </c>
      <c r="J4" s="29" t="s">
        <v>512</v>
      </c>
      <c r="K4" s="29" t="s">
        <v>513</v>
      </c>
      <c r="L4" s="29" t="s">
        <v>514</v>
      </c>
    </row>
  </sheetData>
  <mergeCells count="1">
    <mergeCell ref="A1:L1"/>
  </mergeCells>
  <dataValidations count="2">
    <dataValidation type="list" sqref="H4:H103" xr:uid="{00000000-0002-0000-0900-000000000000}">
      <formula1>"Definition clarified,Boundary clarified,Example added,Category added,Category split,Category merged,No codebook change"</formula1>
    </dataValidation>
    <dataValidation type="list" sqref="J4:K103" xr:uid="{00000000-0002-0000-0900-000001000000}">
      <formula1>"Yes,No,UNC"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-0.249977111117893"/>
  </sheetPr>
  <dimension ref="A1:L4"/>
  <sheetViews>
    <sheetView workbookViewId="0">
      <selection activeCell="D10" sqref="D10"/>
    </sheetView>
  </sheetViews>
  <sheetFormatPr defaultRowHeight="15.75"/>
  <cols>
    <col min="1" max="1" width="10" style="31" customWidth="1"/>
    <col min="2" max="2" width="11" style="31" customWidth="1"/>
    <col min="3" max="3" width="26" style="31" customWidth="1"/>
    <col min="4" max="5" width="22" style="31" customWidth="1"/>
    <col min="6" max="7" width="48" style="31" customWidth="1"/>
    <col min="8" max="8" width="18" style="31" customWidth="1"/>
    <col min="9" max="9" width="24" style="31" customWidth="1"/>
    <col min="10" max="10" width="20" style="31" customWidth="1"/>
    <col min="11" max="11" width="28" style="31" customWidth="1"/>
    <col min="12" max="12" width="48" style="31" customWidth="1"/>
    <col min="13" max="16384" width="9" style="31"/>
  </cols>
  <sheetData>
    <row r="1" spans="1:12">
      <c r="A1" s="30" t="s">
        <v>404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3" spans="1:12" ht="31.5">
      <c r="A3" s="28" t="s">
        <v>392</v>
      </c>
      <c r="B3" s="28" t="s">
        <v>27</v>
      </c>
      <c r="C3" s="28" t="s">
        <v>356</v>
      </c>
      <c r="D3" s="28" t="s">
        <v>405</v>
      </c>
      <c r="E3" s="28" t="s">
        <v>406</v>
      </c>
      <c r="F3" s="28" t="s">
        <v>407</v>
      </c>
      <c r="G3" s="28" t="s">
        <v>408</v>
      </c>
      <c r="H3" s="28" t="s">
        <v>409</v>
      </c>
      <c r="I3" s="28" t="s">
        <v>410</v>
      </c>
      <c r="J3" s="28" t="s">
        <v>411</v>
      </c>
      <c r="K3" s="28" t="s">
        <v>412</v>
      </c>
      <c r="L3" s="28" t="s">
        <v>413</v>
      </c>
    </row>
    <row r="4" spans="1:12" ht="63">
      <c r="A4" s="29" t="s">
        <v>40</v>
      </c>
      <c r="B4" s="29" t="s">
        <v>505</v>
      </c>
      <c r="C4" s="29" t="s">
        <v>515</v>
      </c>
      <c r="D4" s="29" t="s">
        <v>516</v>
      </c>
      <c r="E4" s="29" t="s">
        <v>517</v>
      </c>
      <c r="F4" s="29" t="s">
        <v>518</v>
      </c>
      <c r="G4" s="29" t="s">
        <v>519</v>
      </c>
      <c r="H4" s="29" t="s">
        <v>520</v>
      </c>
      <c r="I4" s="29" t="s">
        <v>521</v>
      </c>
      <c r="J4" s="29" t="s">
        <v>522</v>
      </c>
      <c r="K4" s="29" t="s">
        <v>348</v>
      </c>
      <c r="L4" s="29" t="s">
        <v>523</v>
      </c>
    </row>
  </sheetData>
  <mergeCells count="1">
    <mergeCell ref="A1:L1"/>
  </mergeCells>
  <dataValidations count="1">
    <dataValidation type="list" sqref="H4:H203 J4:J203" xr:uid="{00000000-0002-0000-0A00-000000000000}">
      <formula1>"Yes,No,UNC"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 tint="0.59999389629810485"/>
  </sheetPr>
  <dimension ref="A1:J12"/>
  <sheetViews>
    <sheetView workbookViewId="0">
      <selection activeCell="A2" sqref="A2:XFD2"/>
    </sheetView>
  </sheetViews>
  <sheetFormatPr defaultRowHeight="15.75"/>
  <cols>
    <col min="1" max="1" width="30" style="4" customWidth="1"/>
    <col min="2" max="2" width="42" style="4" customWidth="1"/>
    <col min="3" max="3" width="24" style="4" customWidth="1"/>
    <col min="4" max="4" width="18" style="4" customWidth="1"/>
    <col min="5" max="5" width="20" style="4" customWidth="1"/>
    <col min="6" max="6" width="26" style="4" customWidth="1"/>
    <col min="7" max="7" width="14" style="4" customWidth="1"/>
    <col min="8" max="8" width="18" style="4" customWidth="1"/>
    <col min="9" max="9" width="22" style="4" customWidth="1"/>
    <col min="10" max="10" width="54" style="4" customWidth="1"/>
    <col min="11" max="16384" width="9" style="4"/>
  </cols>
  <sheetData>
    <row r="1" spans="1:10" s="9" customFormat="1" ht="18.75">
      <c r="A1" s="23" t="s">
        <v>414</v>
      </c>
      <c r="B1" s="23"/>
      <c r="C1" s="23"/>
      <c r="D1" s="23"/>
      <c r="E1" s="23"/>
      <c r="F1" s="23"/>
      <c r="G1" s="23"/>
      <c r="H1" s="23"/>
      <c r="I1" s="23"/>
      <c r="J1" s="23"/>
    </row>
    <row r="2" spans="1:10" s="9" customFormat="1" ht="37.5">
      <c r="A2" s="8" t="s">
        <v>356</v>
      </c>
      <c r="B2" s="8" t="s">
        <v>415</v>
      </c>
      <c r="C2" s="8" t="s">
        <v>416</v>
      </c>
      <c r="D2" s="8" t="s">
        <v>323</v>
      </c>
      <c r="E2" s="8" t="s">
        <v>417</v>
      </c>
      <c r="F2" s="8" t="s">
        <v>39</v>
      </c>
      <c r="G2" s="8" t="s">
        <v>40</v>
      </c>
      <c r="H2" s="8" t="s">
        <v>418</v>
      </c>
      <c r="I2" s="8" t="s">
        <v>419</v>
      </c>
      <c r="J2" s="8" t="s">
        <v>420</v>
      </c>
    </row>
    <row r="3" spans="1:10" ht="47.25">
      <c r="A3" s="7" t="s">
        <v>524</v>
      </c>
      <c r="B3" s="7" t="s">
        <v>525</v>
      </c>
      <c r="C3" s="7" t="s">
        <v>248</v>
      </c>
      <c r="D3" s="7" t="s">
        <v>526</v>
      </c>
      <c r="E3" s="7" t="s">
        <v>526</v>
      </c>
      <c r="F3" s="7" t="s">
        <v>527</v>
      </c>
      <c r="G3" s="7" t="s">
        <v>499</v>
      </c>
      <c r="H3" s="7" t="s">
        <v>528</v>
      </c>
      <c r="I3" s="7" t="s">
        <v>443</v>
      </c>
      <c r="J3" s="7" t="s">
        <v>529</v>
      </c>
    </row>
    <row r="4" spans="1:10" ht="47.25">
      <c r="A4" s="7" t="s">
        <v>530</v>
      </c>
      <c r="B4" s="7" t="s">
        <v>525</v>
      </c>
      <c r="C4" s="7" t="s">
        <v>248</v>
      </c>
      <c r="D4" s="7" t="s">
        <v>526</v>
      </c>
      <c r="E4" s="7" t="s">
        <v>526</v>
      </c>
      <c r="F4" s="7" t="s">
        <v>527</v>
      </c>
      <c r="G4" s="7" t="s">
        <v>499</v>
      </c>
      <c r="H4" s="7" t="s">
        <v>528</v>
      </c>
      <c r="I4" s="7" t="s">
        <v>443</v>
      </c>
      <c r="J4" s="7" t="s">
        <v>531</v>
      </c>
    </row>
    <row r="5" spans="1:10" ht="47.25">
      <c r="A5" s="7" t="s">
        <v>532</v>
      </c>
      <c r="B5" s="7" t="s">
        <v>533</v>
      </c>
      <c r="C5" s="7" t="s">
        <v>534</v>
      </c>
      <c r="D5" s="7" t="s">
        <v>535</v>
      </c>
      <c r="E5" s="7" t="s">
        <v>536</v>
      </c>
      <c r="F5" s="7" t="s">
        <v>527</v>
      </c>
      <c r="G5" s="7" t="s">
        <v>537</v>
      </c>
      <c r="H5" s="7" t="s">
        <v>538</v>
      </c>
      <c r="I5" s="7" t="s">
        <v>521</v>
      </c>
      <c r="J5" s="7" t="s">
        <v>539</v>
      </c>
    </row>
    <row r="6" spans="1:10" ht="47.25">
      <c r="A6" s="7" t="s">
        <v>540</v>
      </c>
      <c r="B6" s="7" t="s">
        <v>533</v>
      </c>
      <c r="C6" s="7" t="s">
        <v>534</v>
      </c>
      <c r="D6" s="7" t="s">
        <v>535</v>
      </c>
      <c r="E6" s="7" t="s">
        <v>536</v>
      </c>
      <c r="F6" s="7" t="s">
        <v>527</v>
      </c>
      <c r="G6" s="7" t="s">
        <v>537</v>
      </c>
      <c r="H6" s="7" t="s">
        <v>538</v>
      </c>
      <c r="I6" s="7" t="s">
        <v>521</v>
      </c>
      <c r="J6" s="7" t="s">
        <v>539</v>
      </c>
    </row>
    <row r="7" spans="1:10" ht="47.25">
      <c r="A7" s="7" t="s">
        <v>541</v>
      </c>
      <c r="B7" s="7" t="s">
        <v>533</v>
      </c>
      <c r="C7" s="7" t="s">
        <v>534</v>
      </c>
      <c r="D7" s="7" t="s">
        <v>535</v>
      </c>
      <c r="E7" s="7" t="s">
        <v>536</v>
      </c>
      <c r="F7" s="7" t="s">
        <v>527</v>
      </c>
      <c r="G7" s="7" t="s">
        <v>537</v>
      </c>
      <c r="H7" s="7" t="s">
        <v>538</v>
      </c>
      <c r="I7" s="7" t="s">
        <v>521</v>
      </c>
      <c r="J7" s="7" t="s">
        <v>539</v>
      </c>
    </row>
    <row r="8" spans="1:10" ht="47.25">
      <c r="A8" s="7" t="s">
        <v>542</v>
      </c>
      <c r="B8" s="7" t="s">
        <v>533</v>
      </c>
      <c r="C8" s="7" t="s">
        <v>534</v>
      </c>
      <c r="D8" s="7" t="s">
        <v>535</v>
      </c>
      <c r="E8" s="7" t="s">
        <v>536</v>
      </c>
      <c r="F8" s="7" t="s">
        <v>527</v>
      </c>
      <c r="G8" s="7" t="s">
        <v>537</v>
      </c>
      <c r="H8" s="7" t="s">
        <v>538</v>
      </c>
      <c r="I8" s="7" t="s">
        <v>521</v>
      </c>
      <c r="J8" s="7" t="s">
        <v>539</v>
      </c>
    </row>
    <row r="9" spans="1:10" ht="47.25">
      <c r="A9" s="7" t="s">
        <v>543</v>
      </c>
      <c r="B9" s="7" t="s">
        <v>533</v>
      </c>
      <c r="C9" s="7" t="s">
        <v>534</v>
      </c>
      <c r="D9" s="7" t="s">
        <v>535</v>
      </c>
      <c r="E9" s="7" t="s">
        <v>536</v>
      </c>
      <c r="F9" s="7" t="s">
        <v>527</v>
      </c>
      <c r="G9" s="7" t="s">
        <v>537</v>
      </c>
      <c r="H9" s="7" t="s">
        <v>538</v>
      </c>
      <c r="I9" s="7" t="s">
        <v>521</v>
      </c>
      <c r="J9" s="7" t="s">
        <v>539</v>
      </c>
    </row>
    <row r="10" spans="1:10" ht="47.25">
      <c r="A10" s="7" t="s">
        <v>362</v>
      </c>
      <c r="B10" s="7" t="s">
        <v>544</v>
      </c>
      <c r="C10" s="7" t="s">
        <v>545</v>
      </c>
      <c r="D10" s="7" t="s">
        <v>535</v>
      </c>
      <c r="E10" s="7" t="s">
        <v>546</v>
      </c>
      <c r="F10" s="7" t="s">
        <v>547</v>
      </c>
      <c r="G10" s="7" t="s">
        <v>537</v>
      </c>
      <c r="H10" s="7" t="s">
        <v>538</v>
      </c>
      <c r="I10" s="7" t="s">
        <v>521</v>
      </c>
      <c r="J10" s="7" t="s">
        <v>548</v>
      </c>
    </row>
    <row r="11" spans="1:10" ht="47.25">
      <c r="A11" s="7" t="s">
        <v>549</v>
      </c>
      <c r="B11" s="7" t="s">
        <v>544</v>
      </c>
      <c r="C11" s="7" t="s">
        <v>550</v>
      </c>
      <c r="D11" s="7" t="s">
        <v>535</v>
      </c>
      <c r="E11" s="7" t="s">
        <v>546</v>
      </c>
      <c r="F11" s="7" t="s">
        <v>547</v>
      </c>
      <c r="G11" s="7" t="s">
        <v>537</v>
      </c>
      <c r="H11" s="7" t="s">
        <v>538</v>
      </c>
      <c r="I11" s="7" t="s">
        <v>521</v>
      </c>
      <c r="J11" s="7" t="s">
        <v>551</v>
      </c>
    </row>
    <row r="12" spans="1:10" ht="47.25">
      <c r="A12" s="7" t="s">
        <v>552</v>
      </c>
      <c r="B12" s="7" t="s">
        <v>544</v>
      </c>
      <c r="C12" s="7" t="s">
        <v>550</v>
      </c>
      <c r="D12" s="7" t="s">
        <v>535</v>
      </c>
      <c r="E12" s="7" t="s">
        <v>546</v>
      </c>
      <c r="F12" s="7" t="s">
        <v>547</v>
      </c>
      <c r="G12" s="7" t="s">
        <v>537</v>
      </c>
      <c r="H12" s="7" t="s">
        <v>538</v>
      </c>
      <c r="I12" s="7" t="s">
        <v>521</v>
      </c>
      <c r="J12" s="7" t="s">
        <v>553</v>
      </c>
    </row>
  </sheetData>
  <mergeCells count="1">
    <mergeCell ref="A1:J1"/>
  </mergeCells>
  <conditionalFormatting sqref="G3:G12">
    <cfRule type="expression" dxfId="1" priority="1">
      <formula>G3="PASS"</formula>
    </cfRule>
    <cfRule type="expression" dxfId="0" priority="2">
      <formula>G3="REVIEW"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D14"/>
  <sheetViews>
    <sheetView workbookViewId="0">
      <selection sqref="A1:D1"/>
    </sheetView>
  </sheetViews>
  <sheetFormatPr defaultRowHeight="15.75"/>
  <cols>
    <col min="1" max="1" width="28" style="4" customWidth="1"/>
    <col min="2" max="2" width="90" style="4" customWidth="1"/>
    <col min="3" max="3" width="16" style="4" customWidth="1"/>
    <col min="4" max="4" width="48" style="4" customWidth="1"/>
    <col min="5" max="16384" width="9" style="4"/>
  </cols>
  <sheetData>
    <row r="1" spans="1:4" s="10" customFormat="1" ht="20.25">
      <c r="A1" s="22" t="s">
        <v>421</v>
      </c>
      <c r="B1" s="22"/>
      <c r="C1" s="22"/>
      <c r="D1" s="22"/>
    </row>
    <row r="3" spans="1:4" s="9" customFormat="1" ht="18.75">
      <c r="A3" s="8" t="s">
        <v>1</v>
      </c>
      <c r="B3" s="8" t="s">
        <v>422</v>
      </c>
      <c r="C3" s="8" t="s">
        <v>423</v>
      </c>
      <c r="D3" s="8" t="s">
        <v>424</v>
      </c>
    </row>
    <row r="4" spans="1:4" ht="31.5">
      <c r="A4" s="7" t="s">
        <v>6</v>
      </c>
      <c r="B4" s="7" t="s">
        <v>554</v>
      </c>
      <c r="C4" s="7" t="s">
        <v>555</v>
      </c>
      <c r="D4" s="7" t="s">
        <v>556</v>
      </c>
    </row>
    <row r="5" spans="1:4" ht="47.25">
      <c r="A5" s="7" t="s">
        <v>557</v>
      </c>
      <c r="B5" s="7" t="s">
        <v>558</v>
      </c>
      <c r="C5" s="7" t="s">
        <v>512</v>
      </c>
      <c r="D5" s="7" t="s">
        <v>559</v>
      </c>
    </row>
    <row r="6" spans="1:4" ht="31.5">
      <c r="A6" s="7" t="s">
        <v>560</v>
      </c>
      <c r="B6" s="7" t="s">
        <v>561</v>
      </c>
      <c r="C6" s="7" t="s">
        <v>562</v>
      </c>
      <c r="D6" s="7" t="s">
        <v>563</v>
      </c>
    </row>
    <row r="7" spans="1:4" ht="47.25">
      <c r="A7" s="7" t="s">
        <v>564</v>
      </c>
      <c r="B7" s="7" t="s">
        <v>565</v>
      </c>
      <c r="C7" s="7" t="s">
        <v>562</v>
      </c>
      <c r="D7" s="7" t="s">
        <v>566</v>
      </c>
    </row>
    <row r="8" spans="1:4" ht="31.5">
      <c r="A8" s="7" t="s">
        <v>567</v>
      </c>
      <c r="B8" s="7" t="s">
        <v>568</v>
      </c>
      <c r="C8" s="7" t="s">
        <v>562</v>
      </c>
      <c r="D8" s="7" t="s">
        <v>569</v>
      </c>
    </row>
    <row r="9" spans="1:4" ht="31.5">
      <c r="A9" s="7" t="s">
        <v>10</v>
      </c>
      <c r="B9" s="7" t="s">
        <v>570</v>
      </c>
      <c r="C9" s="7" t="s">
        <v>512</v>
      </c>
      <c r="D9" s="7" t="s">
        <v>571</v>
      </c>
    </row>
    <row r="10" spans="1:4" ht="31.5">
      <c r="A10" s="7" t="s">
        <v>572</v>
      </c>
      <c r="B10" s="7" t="s">
        <v>573</v>
      </c>
      <c r="C10" s="7" t="s">
        <v>562</v>
      </c>
      <c r="D10" s="7" t="s">
        <v>574</v>
      </c>
    </row>
    <row r="11" spans="1:4" ht="47.25">
      <c r="A11" s="7" t="s">
        <v>575</v>
      </c>
      <c r="B11" s="7" t="s">
        <v>576</v>
      </c>
      <c r="C11" s="7" t="s">
        <v>562</v>
      </c>
      <c r="D11" s="7" t="s">
        <v>577</v>
      </c>
    </row>
    <row r="12" spans="1:4" ht="47.25">
      <c r="A12" s="7" t="s">
        <v>20</v>
      </c>
      <c r="B12" s="7" t="s">
        <v>578</v>
      </c>
      <c r="C12" s="7" t="s">
        <v>555</v>
      </c>
      <c r="D12" s="7" t="s">
        <v>579</v>
      </c>
    </row>
    <row r="13" spans="1:4" ht="31.5">
      <c r="A13" s="7" t="s">
        <v>580</v>
      </c>
      <c r="B13" s="7" t="s">
        <v>581</v>
      </c>
      <c r="C13" s="7" t="s">
        <v>348</v>
      </c>
      <c r="D13" s="7" t="s">
        <v>582</v>
      </c>
    </row>
    <row r="14" spans="1:4" ht="31.5">
      <c r="A14" s="7" t="s">
        <v>583</v>
      </c>
      <c r="B14" s="7" t="s">
        <v>584</v>
      </c>
      <c r="C14" s="7" t="s">
        <v>348</v>
      </c>
      <c r="D14" s="7" t="s">
        <v>585</v>
      </c>
    </row>
  </sheetData>
  <mergeCells count="1">
    <mergeCell ref="A1:D1"/>
  </mergeCells>
  <dataValidations count="1">
    <dataValidation type="list" sqref="C4:C14" xr:uid="{00000000-0002-0000-0C00-000000000000}">
      <formula1>"Yes,No,NA"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8" tint="0.39997558519241921"/>
  </sheetPr>
  <dimension ref="A1:AR28"/>
  <sheetViews>
    <sheetView workbookViewId="0">
      <selection sqref="A1:AR1"/>
    </sheetView>
  </sheetViews>
  <sheetFormatPr defaultRowHeight="15.75"/>
  <cols>
    <col min="1" max="1" width="10" style="4" customWidth="1"/>
    <col min="2" max="2" width="11" style="4" customWidth="1"/>
    <col min="3" max="44" width="8" style="4" customWidth="1"/>
    <col min="45" max="16384" width="9" style="4"/>
  </cols>
  <sheetData>
    <row r="1" spans="1:44" s="10" customFormat="1" ht="20.25">
      <c r="A1" s="27" t="s">
        <v>586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</row>
    <row r="2" spans="1:44">
      <c r="A2" s="24" t="s">
        <v>587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</row>
    <row r="3" spans="1:44" s="9" customFormat="1" ht="18.75">
      <c r="A3" s="16" t="s">
        <v>26</v>
      </c>
      <c r="B3" s="16" t="s">
        <v>27</v>
      </c>
      <c r="C3" s="16" t="s">
        <v>44</v>
      </c>
      <c r="D3" s="16" t="s">
        <v>60</v>
      </c>
      <c r="E3" s="16" t="s">
        <v>70</v>
      </c>
      <c r="F3" s="16" t="s">
        <v>78</v>
      </c>
      <c r="G3" s="16" t="s">
        <v>241</v>
      </c>
      <c r="H3" s="16" t="s">
        <v>250</v>
      </c>
      <c r="I3" s="16" t="s">
        <v>259</v>
      </c>
      <c r="J3" s="16" t="s">
        <v>265</v>
      </c>
      <c r="K3" s="16" t="s">
        <v>270</v>
      </c>
      <c r="L3" s="16" t="s">
        <v>275</v>
      </c>
      <c r="M3" s="16" t="s">
        <v>242</v>
      </c>
      <c r="N3" s="16" t="s">
        <v>251</v>
      </c>
      <c r="O3" s="16" t="s">
        <v>260</v>
      </c>
      <c r="P3" s="16" t="s">
        <v>266</v>
      </c>
      <c r="Q3" s="16" t="s">
        <v>271</v>
      </c>
      <c r="R3" s="16" t="s">
        <v>276</v>
      </c>
      <c r="S3" s="16" t="s">
        <v>280</v>
      </c>
      <c r="T3" s="16" t="s">
        <v>284</v>
      </c>
      <c r="U3" s="16" t="s">
        <v>288</v>
      </c>
      <c r="V3" s="16" t="s">
        <v>290</v>
      </c>
      <c r="W3" s="16" t="s">
        <v>292</v>
      </c>
      <c r="X3" s="16" t="s">
        <v>294</v>
      </c>
      <c r="Y3" s="16" t="s">
        <v>243</v>
      </c>
      <c r="Z3" s="16" t="s">
        <v>252</v>
      </c>
      <c r="AA3" s="16" t="s">
        <v>261</v>
      </c>
      <c r="AB3" s="16" t="s">
        <v>267</v>
      </c>
      <c r="AC3" s="16" t="s">
        <v>272</v>
      </c>
      <c r="AD3" s="16" t="s">
        <v>277</v>
      </c>
      <c r="AE3" s="16" t="s">
        <v>281</v>
      </c>
      <c r="AF3" s="16" t="s">
        <v>285</v>
      </c>
      <c r="AG3" s="16" t="s">
        <v>244</v>
      </c>
      <c r="AH3" s="16" t="s">
        <v>253</v>
      </c>
      <c r="AI3" s="16" t="s">
        <v>262</v>
      </c>
      <c r="AJ3" s="16" t="s">
        <v>268</v>
      </c>
      <c r="AK3" s="16" t="s">
        <v>273</v>
      </c>
      <c r="AL3" s="16" t="s">
        <v>278</v>
      </c>
      <c r="AM3" s="16" t="s">
        <v>282</v>
      </c>
      <c r="AN3" s="16" t="s">
        <v>286</v>
      </c>
      <c r="AO3" s="16" t="s">
        <v>289</v>
      </c>
      <c r="AP3" s="16" t="s">
        <v>291</v>
      </c>
      <c r="AQ3" s="16" t="s">
        <v>293</v>
      </c>
      <c r="AR3" s="16" t="s">
        <v>295</v>
      </c>
    </row>
    <row r="4" spans="1:44">
      <c r="A4" s="4" t="s">
        <v>41</v>
      </c>
      <c r="B4" s="4" t="s">
        <v>42</v>
      </c>
      <c r="C4" s="17" t="s">
        <v>257</v>
      </c>
      <c r="D4" s="17" t="s">
        <v>248</v>
      </c>
      <c r="E4" s="17" t="s">
        <v>248</v>
      </c>
      <c r="F4" s="17" t="s">
        <v>248</v>
      </c>
      <c r="G4" s="17" t="s">
        <v>257</v>
      </c>
      <c r="H4" s="17" t="s">
        <v>257</v>
      </c>
      <c r="I4" s="17" t="s">
        <v>248</v>
      </c>
      <c r="J4" s="17" t="s">
        <v>248</v>
      </c>
      <c r="K4" s="17" t="s">
        <v>248</v>
      </c>
      <c r="L4" s="17" t="s">
        <v>248</v>
      </c>
      <c r="M4" s="17" t="s">
        <v>248</v>
      </c>
      <c r="N4" s="17" t="s">
        <v>248</v>
      </c>
      <c r="O4" s="17" t="s">
        <v>257</v>
      </c>
      <c r="P4" s="17" t="s">
        <v>248</v>
      </c>
      <c r="Q4" s="17" t="s">
        <v>248</v>
      </c>
      <c r="R4" s="17" t="s">
        <v>248</v>
      </c>
      <c r="S4" s="17" t="s">
        <v>248</v>
      </c>
      <c r="T4" s="17" t="s">
        <v>248</v>
      </c>
      <c r="U4" s="17" t="s">
        <v>257</v>
      </c>
      <c r="V4" s="17" t="s">
        <v>248</v>
      </c>
      <c r="W4" s="17" t="s">
        <v>248</v>
      </c>
      <c r="X4" s="17" t="s">
        <v>248</v>
      </c>
      <c r="Y4" s="17" t="s">
        <v>248</v>
      </c>
      <c r="Z4" s="17" t="s">
        <v>248</v>
      </c>
      <c r="AA4" s="17" t="s">
        <v>257</v>
      </c>
      <c r="AB4" s="17" t="s">
        <v>257</v>
      </c>
      <c r="AC4" s="17" t="s">
        <v>248</v>
      </c>
      <c r="AD4" s="17" t="s">
        <v>248</v>
      </c>
      <c r="AE4" s="17" t="s">
        <v>248</v>
      </c>
      <c r="AF4" s="17" t="s">
        <v>248</v>
      </c>
      <c r="AG4" s="17" t="s">
        <v>248</v>
      </c>
      <c r="AH4" s="17" t="s">
        <v>248</v>
      </c>
      <c r="AI4" s="17" t="s">
        <v>248</v>
      </c>
      <c r="AJ4" s="17" t="s">
        <v>248</v>
      </c>
      <c r="AK4" s="17" t="s">
        <v>257</v>
      </c>
      <c r="AL4" s="17" t="s">
        <v>257</v>
      </c>
      <c r="AM4" s="17" t="s">
        <v>248</v>
      </c>
      <c r="AN4" s="17" t="s">
        <v>248</v>
      </c>
      <c r="AO4" s="17" t="s">
        <v>248</v>
      </c>
      <c r="AP4" s="17" t="s">
        <v>248</v>
      </c>
      <c r="AQ4" s="17" t="s">
        <v>248</v>
      </c>
      <c r="AR4" s="17" t="s">
        <v>248</v>
      </c>
    </row>
    <row r="5" spans="1:44">
      <c r="A5" s="4" t="s">
        <v>51</v>
      </c>
      <c r="B5" s="4" t="s">
        <v>52</v>
      </c>
      <c r="C5" s="17" t="s">
        <v>257</v>
      </c>
      <c r="D5" s="17" t="s">
        <v>248</v>
      </c>
      <c r="E5" s="17" t="s">
        <v>248</v>
      </c>
      <c r="F5" s="17" t="s">
        <v>248</v>
      </c>
      <c r="G5" s="17" t="s">
        <v>257</v>
      </c>
      <c r="H5" s="17" t="s">
        <v>257</v>
      </c>
      <c r="I5" s="17" t="s">
        <v>248</v>
      </c>
      <c r="J5" s="17" t="s">
        <v>248</v>
      </c>
      <c r="K5" s="17" t="s">
        <v>248</v>
      </c>
      <c r="L5" s="17" t="s">
        <v>248</v>
      </c>
      <c r="M5" s="17" t="s">
        <v>257</v>
      </c>
      <c r="N5" s="17" t="s">
        <v>248</v>
      </c>
      <c r="O5" s="17" t="s">
        <v>248</v>
      </c>
      <c r="P5" s="17" t="s">
        <v>257</v>
      </c>
      <c r="Q5" s="17" t="s">
        <v>257</v>
      </c>
      <c r="R5" s="17" t="s">
        <v>248</v>
      </c>
      <c r="S5" s="17" t="s">
        <v>248</v>
      </c>
      <c r="T5" s="17" t="s">
        <v>248</v>
      </c>
      <c r="U5" s="17" t="s">
        <v>248</v>
      </c>
      <c r="V5" s="17" t="s">
        <v>248</v>
      </c>
      <c r="W5" s="17" t="s">
        <v>248</v>
      </c>
      <c r="X5" s="17" t="s">
        <v>248</v>
      </c>
      <c r="Y5" s="17" t="s">
        <v>248</v>
      </c>
      <c r="Z5" s="17" t="s">
        <v>257</v>
      </c>
      <c r="AA5" s="17" t="s">
        <v>257</v>
      </c>
      <c r="AB5" s="17" t="s">
        <v>257</v>
      </c>
      <c r="AC5" s="17" t="s">
        <v>248</v>
      </c>
      <c r="AD5" s="17" t="s">
        <v>248</v>
      </c>
      <c r="AE5" s="17" t="s">
        <v>248</v>
      </c>
      <c r="AF5" s="17" t="s">
        <v>248</v>
      </c>
      <c r="AG5" s="17" t="s">
        <v>248</v>
      </c>
      <c r="AH5" s="17" t="s">
        <v>248</v>
      </c>
      <c r="AI5" s="17" t="s">
        <v>248</v>
      </c>
      <c r="AJ5" s="17" t="s">
        <v>257</v>
      </c>
      <c r="AK5" s="17" t="s">
        <v>248</v>
      </c>
      <c r="AL5" s="17" t="s">
        <v>248</v>
      </c>
      <c r="AM5" s="17" t="s">
        <v>248</v>
      </c>
      <c r="AN5" s="17" t="s">
        <v>248</v>
      </c>
      <c r="AO5" s="17" t="s">
        <v>248</v>
      </c>
      <c r="AP5" s="17" t="s">
        <v>248</v>
      </c>
      <c r="AQ5" s="17" t="s">
        <v>248</v>
      </c>
      <c r="AR5" s="17" t="s">
        <v>248</v>
      </c>
    </row>
    <row r="6" spans="1:44">
      <c r="A6" s="4" t="s">
        <v>61</v>
      </c>
      <c r="B6" s="4" t="s">
        <v>62</v>
      </c>
      <c r="C6" s="17" t="s">
        <v>257</v>
      </c>
      <c r="D6" s="17" t="s">
        <v>248</v>
      </c>
      <c r="E6" s="17" t="s">
        <v>248</v>
      </c>
      <c r="F6" s="17" t="s">
        <v>248</v>
      </c>
      <c r="G6" s="17" t="s">
        <v>257</v>
      </c>
      <c r="H6" s="17" t="s">
        <v>257</v>
      </c>
      <c r="I6" s="17" t="s">
        <v>248</v>
      </c>
      <c r="J6" s="17" t="s">
        <v>248</v>
      </c>
      <c r="K6" s="17" t="s">
        <v>248</v>
      </c>
      <c r="L6" s="17" t="s">
        <v>248</v>
      </c>
      <c r="M6" s="17" t="s">
        <v>248</v>
      </c>
      <c r="N6" s="17" t="s">
        <v>248</v>
      </c>
      <c r="O6" s="17" t="s">
        <v>257</v>
      </c>
      <c r="P6" s="17" t="s">
        <v>257</v>
      </c>
      <c r="Q6" s="17" t="s">
        <v>248</v>
      </c>
      <c r="R6" s="17" t="s">
        <v>257</v>
      </c>
      <c r="S6" s="17" t="s">
        <v>248</v>
      </c>
      <c r="T6" s="17" t="s">
        <v>248</v>
      </c>
      <c r="U6" s="17" t="s">
        <v>248</v>
      </c>
      <c r="V6" s="17" t="s">
        <v>248</v>
      </c>
      <c r="W6" s="17" t="s">
        <v>248</v>
      </c>
      <c r="X6" s="17" t="s">
        <v>248</v>
      </c>
      <c r="Y6" s="17" t="s">
        <v>248</v>
      </c>
      <c r="Z6" s="17" t="s">
        <v>257</v>
      </c>
      <c r="AA6" s="17" t="s">
        <v>257</v>
      </c>
      <c r="AB6" s="17" t="s">
        <v>257</v>
      </c>
      <c r="AC6" s="17" t="s">
        <v>248</v>
      </c>
      <c r="AD6" s="17" t="s">
        <v>248</v>
      </c>
      <c r="AE6" s="17" t="s">
        <v>248</v>
      </c>
      <c r="AF6" s="17" t="s">
        <v>248</v>
      </c>
      <c r="AG6" s="17" t="s">
        <v>248</v>
      </c>
      <c r="AH6" s="17" t="s">
        <v>248</v>
      </c>
      <c r="AI6" s="17" t="s">
        <v>248</v>
      </c>
      <c r="AJ6" s="17" t="s">
        <v>248</v>
      </c>
      <c r="AK6" s="17" t="s">
        <v>257</v>
      </c>
      <c r="AL6" s="17" t="s">
        <v>248</v>
      </c>
      <c r="AM6" s="17" t="s">
        <v>248</v>
      </c>
      <c r="AN6" s="17" t="s">
        <v>248</v>
      </c>
      <c r="AO6" s="17" t="s">
        <v>248</v>
      </c>
      <c r="AP6" s="17" t="s">
        <v>248</v>
      </c>
      <c r="AQ6" s="17" t="s">
        <v>248</v>
      </c>
      <c r="AR6" s="17" t="s">
        <v>248</v>
      </c>
    </row>
    <row r="7" spans="1:44">
      <c r="A7" s="4" t="s">
        <v>71</v>
      </c>
      <c r="B7" s="4" t="s">
        <v>72</v>
      </c>
      <c r="C7" s="17" t="s">
        <v>257</v>
      </c>
      <c r="D7" s="17" t="s">
        <v>248</v>
      </c>
      <c r="E7" s="17" t="s">
        <v>248</v>
      </c>
      <c r="F7" s="17" t="s">
        <v>248</v>
      </c>
      <c r="G7" s="17" t="s">
        <v>257</v>
      </c>
      <c r="H7" s="17" t="s">
        <v>257</v>
      </c>
      <c r="I7" s="17" t="s">
        <v>248</v>
      </c>
      <c r="J7" s="17" t="s">
        <v>248</v>
      </c>
      <c r="K7" s="17" t="s">
        <v>248</v>
      </c>
      <c r="L7" s="17" t="s">
        <v>248</v>
      </c>
      <c r="M7" s="17" t="s">
        <v>248</v>
      </c>
      <c r="N7" s="17" t="s">
        <v>248</v>
      </c>
      <c r="O7" s="17" t="s">
        <v>248</v>
      </c>
      <c r="P7" s="17" t="s">
        <v>257</v>
      </c>
      <c r="Q7" s="17" t="s">
        <v>248</v>
      </c>
      <c r="R7" s="17" t="s">
        <v>257</v>
      </c>
      <c r="S7" s="17" t="s">
        <v>248</v>
      </c>
      <c r="T7" s="17" t="s">
        <v>248</v>
      </c>
      <c r="U7" s="17" t="s">
        <v>248</v>
      </c>
      <c r="V7" s="17" t="s">
        <v>248</v>
      </c>
      <c r="W7" s="17" t="s">
        <v>248</v>
      </c>
      <c r="X7" s="17" t="s">
        <v>248</v>
      </c>
      <c r="Y7" s="17" t="s">
        <v>248</v>
      </c>
      <c r="Z7" s="17" t="s">
        <v>257</v>
      </c>
      <c r="AA7" s="17" t="s">
        <v>257</v>
      </c>
      <c r="AB7" s="17" t="s">
        <v>257</v>
      </c>
      <c r="AC7" s="17" t="s">
        <v>248</v>
      </c>
      <c r="AD7" s="17" t="s">
        <v>248</v>
      </c>
      <c r="AE7" s="17" t="s">
        <v>248</v>
      </c>
      <c r="AF7" s="17" t="s">
        <v>248</v>
      </c>
      <c r="AG7" s="17" t="s">
        <v>248</v>
      </c>
      <c r="AH7" s="17" t="s">
        <v>248</v>
      </c>
      <c r="AI7" s="17" t="s">
        <v>248</v>
      </c>
      <c r="AJ7" s="17" t="s">
        <v>248</v>
      </c>
      <c r="AK7" s="17" t="s">
        <v>257</v>
      </c>
      <c r="AL7" s="17" t="s">
        <v>248</v>
      </c>
      <c r="AM7" s="17" t="s">
        <v>248</v>
      </c>
      <c r="AN7" s="17" t="s">
        <v>248</v>
      </c>
      <c r="AO7" s="17" t="s">
        <v>257</v>
      </c>
      <c r="AP7" s="17" t="s">
        <v>248</v>
      </c>
      <c r="AQ7" s="17" t="s">
        <v>248</v>
      </c>
      <c r="AR7" s="17" t="s">
        <v>248</v>
      </c>
    </row>
    <row r="8" spans="1:44">
      <c r="A8" s="4" t="s">
        <v>79</v>
      </c>
      <c r="B8" s="4" t="s">
        <v>80</v>
      </c>
      <c r="C8" s="17" t="s">
        <v>257</v>
      </c>
      <c r="D8" s="17" t="s">
        <v>248</v>
      </c>
      <c r="E8" s="17" t="s">
        <v>248</v>
      </c>
      <c r="F8" s="17" t="s">
        <v>248</v>
      </c>
      <c r="G8" s="17" t="s">
        <v>257</v>
      </c>
      <c r="H8" s="17" t="s">
        <v>257</v>
      </c>
      <c r="I8" s="17" t="s">
        <v>248</v>
      </c>
      <c r="J8" s="17" t="s">
        <v>248</v>
      </c>
      <c r="K8" s="17" t="s">
        <v>248</v>
      </c>
      <c r="L8" s="17" t="s">
        <v>248</v>
      </c>
      <c r="M8" s="17" t="s">
        <v>248</v>
      </c>
      <c r="N8" s="17" t="s">
        <v>248</v>
      </c>
      <c r="O8" s="17" t="s">
        <v>248</v>
      </c>
      <c r="P8" s="17" t="s">
        <v>248</v>
      </c>
      <c r="Q8" s="17" t="s">
        <v>248</v>
      </c>
      <c r="R8" s="17" t="s">
        <v>257</v>
      </c>
      <c r="S8" s="17" t="s">
        <v>248</v>
      </c>
      <c r="T8" s="17" t="s">
        <v>248</v>
      </c>
      <c r="U8" s="17" t="s">
        <v>248</v>
      </c>
      <c r="V8" s="17" t="s">
        <v>248</v>
      </c>
      <c r="W8" s="17" t="s">
        <v>248</v>
      </c>
      <c r="X8" s="17" t="s">
        <v>248</v>
      </c>
      <c r="Y8" s="17" t="s">
        <v>248</v>
      </c>
      <c r="Z8" s="17" t="s">
        <v>257</v>
      </c>
      <c r="AA8" s="17" t="s">
        <v>257</v>
      </c>
      <c r="AB8" s="17" t="s">
        <v>257</v>
      </c>
      <c r="AC8" s="17" t="s">
        <v>248</v>
      </c>
      <c r="AD8" s="17" t="s">
        <v>248</v>
      </c>
      <c r="AE8" s="17" t="s">
        <v>248</v>
      </c>
      <c r="AF8" s="17" t="s">
        <v>248</v>
      </c>
      <c r="AG8" s="17" t="s">
        <v>248</v>
      </c>
      <c r="AH8" s="17" t="s">
        <v>248</v>
      </c>
      <c r="AI8" s="17" t="s">
        <v>248</v>
      </c>
      <c r="AJ8" s="17" t="s">
        <v>248</v>
      </c>
      <c r="AK8" s="17" t="s">
        <v>257</v>
      </c>
      <c r="AL8" s="17" t="s">
        <v>257</v>
      </c>
      <c r="AM8" s="17" t="s">
        <v>248</v>
      </c>
      <c r="AN8" s="17" t="s">
        <v>248</v>
      </c>
      <c r="AO8" s="17" t="s">
        <v>248</v>
      </c>
      <c r="AP8" s="17" t="s">
        <v>248</v>
      </c>
      <c r="AQ8" s="17" t="s">
        <v>248</v>
      </c>
      <c r="AR8" s="17" t="s">
        <v>248</v>
      </c>
    </row>
    <row r="9" spans="1:44">
      <c r="A9" s="4" t="s">
        <v>87</v>
      </c>
      <c r="B9" s="4" t="s">
        <v>88</v>
      </c>
      <c r="C9" s="17" t="s">
        <v>257</v>
      </c>
      <c r="D9" s="17" t="s">
        <v>248</v>
      </c>
      <c r="E9" s="17" t="s">
        <v>248</v>
      </c>
      <c r="F9" s="17" t="s">
        <v>248</v>
      </c>
      <c r="G9" s="17" t="s">
        <v>257</v>
      </c>
      <c r="H9" s="17" t="s">
        <v>257</v>
      </c>
      <c r="I9" s="17" t="s">
        <v>248</v>
      </c>
      <c r="J9" s="17" t="s">
        <v>248</v>
      </c>
      <c r="K9" s="17" t="s">
        <v>248</v>
      </c>
      <c r="L9" s="17" t="s">
        <v>248</v>
      </c>
      <c r="M9" s="17" t="s">
        <v>248</v>
      </c>
      <c r="N9" s="17" t="s">
        <v>248</v>
      </c>
      <c r="O9" s="17" t="s">
        <v>248</v>
      </c>
      <c r="P9" s="17" t="s">
        <v>257</v>
      </c>
      <c r="Q9" s="17" t="s">
        <v>248</v>
      </c>
      <c r="R9" s="17" t="s">
        <v>257</v>
      </c>
      <c r="S9" s="17" t="s">
        <v>248</v>
      </c>
      <c r="T9" s="17" t="s">
        <v>248</v>
      </c>
      <c r="U9" s="17" t="s">
        <v>248</v>
      </c>
      <c r="V9" s="17" t="s">
        <v>248</v>
      </c>
      <c r="W9" s="17" t="s">
        <v>248</v>
      </c>
      <c r="X9" s="17" t="s">
        <v>248</v>
      </c>
      <c r="Y9" s="17" t="s">
        <v>248</v>
      </c>
      <c r="Z9" s="17" t="s">
        <v>257</v>
      </c>
      <c r="AA9" s="17" t="s">
        <v>257</v>
      </c>
      <c r="AB9" s="17" t="s">
        <v>257</v>
      </c>
      <c r="AC9" s="17" t="s">
        <v>248</v>
      </c>
      <c r="AD9" s="17" t="s">
        <v>248</v>
      </c>
      <c r="AE9" s="17" t="s">
        <v>248</v>
      </c>
      <c r="AF9" s="17" t="s">
        <v>248</v>
      </c>
      <c r="AG9" s="17" t="s">
        <v>248</v>
      </c>
      <c r="AH9" s="17" t="s">
        <v>248</v>
      </c>
      <c r="AI9" s="17" t="s">
        <v>248</v>
      </c>
      <c r="AJ9" s="17" t="s">
        <v>257</v>
      </c>
      <c r="AK9" s="17" t="s">
        <v>248</v>
      </c>
      <c r="AL9" s="17" t="s">
        <v>248</v>
      </c>
      <c r="AM9" s="17" t="s">
        <v>248</v>
      </c>
      <c r="AN9" s="17" t="s">
        <v>248</v>
      </c>
      <c r="AO9" s="17" t="s">
        <v>248</v>
      </c>
      <c r="AP9" s="17" t="s">
        <v>248</v>
      </c>
      <c r="AQ9" s="17" t="s">
        <v>248</v>
      </c>
      <c r="AR9" s="17" t="s">
        <v>248</v>
      </c>
    </row>
    <row r="10" spans="1:44">
      <c r="A10" s="4" t="s">
        <v>94</v>
      </c>
      <c r="B10" s="4" t="s">
        <v>95</v>
      </c>
      <c r="C10" s="17" t="s">
        <v>248</v>
      </c>
      <c r="D10" s="17" t="s">
        <v>257</v>
      </c>
      <c r="E10" s="17" t="s">
        <v>248</v>
      </c>
      <c r="F10" s="17" t="s">
        <v>248</v>
      </c>
      <c r="G10" s="17" t="s">
        <v>257</v>
      </c>
      <c r="H10" s="17" t="s">
        <v>257</v>
      </c>
      <c r="I10" s="17" t="s">
        <v>248</v>
      </c>
      <c r="J10" s="17" t="s">
        <v>248</v>
      </c>
      <c r="K10" s="17" t="s">
        <v>248</v>
      </c>
      <c r="L10" s="17" t="s">
        <v>248</v>
      </c>
      <c r="M10" s="17" t="s">
        <v>248</v>
      </c>
      <c r="N10" s="17" t="s">
        <v>248</v>
      </c>
      <c r="O10" s="17" t="s">
        <v>248</v>
      </c>
      <c r="P10" s="17" t="s">
        <v>248</v>
      </c>
      <c r="Q10" s="17" t="s">
        <v>248</v>
      </c>
      <c r="R10" s="17" t="s">
        <v>257</v>
      </c>
      <c r="S10" s="17" t="s">
        <v>248</v>
      </c>
      <c r="T10" s="17" t="s">
        <v>248</v>
      </c>
      <c r="U10" s="17" t="s">
        <v>248</v>
      </c>
      <c r="V10" s="17" t="s">
        <v>248</v>
      </c>
      <c r="W10" s="17" t="s">
        <v>248</v>
      </c>
      <c r="X10" s="17" t="s">
        <v>248</v>
      </c>
      <c r="Y10" s="17" t="s">
        <v>248</v>
      </c>
      <c r="Z10" s="17" t="s">
        <v>257</v>
      </c>
      <c r="AA10" s="17" t="s">
        <v>257</v>
      </c>
      <c r="AB10" s="17" t="s">
        <v>257</v>
      </c>
      <c r="AC10" s="17" t="s">
        <v>248</v>
      </c>
      <c r="AD10" s="17" t="s">
        <v>248</v>
      </c>
      <c r="AE10" s="17" t="s">
        <v>248</v>
      </c>
      <c r="AF10" s="17" t="s">
        <v>248</v>
      </c>
      <c r="AG10" s="17" t="s">
        <v>248</v>
      </c>
      <c r="AH10" s="17" t="s">
        <v>257</v>
      </c>
      <c r="AI10" s="17" t="s">
        <v>248</v>
      </c>
      <c r="AJ10" s="17" t="s">
        <v>248</v>
      </c>
      <c r="AK10" s="17" t="s">
        <v>248</v>
      </c>
      <c r="AL10" s="17" t="s">
        <v>248</v>
      </c>
      <c r="AM10" s="17" t="s">
        <v>248</v>
      </c>
      <c r="AN10" s="17" t="s">
        <v>248</v>
      </c>
      <c r="AO10" s="17" t="s">
        <v>248</v>
      </c>
      <c r="AP10" s="17" t="s">
        <v>248</v>
      </c>
      <c r="AQ10" s="17" t="s">
        <v>248</v>
      </c>
      <c r="AR10" s="17" t="s">
        <v>248</v>
      </c>
    </row>
    <row r="11" spans="1:44">
      <c r="A11" s="4" t="s">
        <v>102</v>
      </c>
      <c r="B11" s="4" t="s">
        <v>103</v>
      </c>
      <c r="C11" s="17" t="s">
        <v>248</v>
      </c>
      <c r="D11" s="17" t="s">
        <v>257</v>
      </c>
      <c r="E11" s="17" t="s">
        <v>248</v>
      </c>
      <c r="F11" s="17" t="s">
        <v>248</v>
      </c>
      <c r="G11" s="17" t="s">
        <v>257</v>
      </c>
      <c r="H11" s="17" t="s">
        <v>257</v>
      </c>
      <c r="I11" s="17" t="s">
        <v>248</v>
      </c>
      <c r="J11" s="17" t="s">
        <v>248</v>
      </c>
      <c r="K11" s="17" t="s">
        <v>248</v>
      </c>
      <c r="L11" s="17" t="s">
        <v>248</v>
      </c>
      <c r="M11" s="17" t="s">
        <v>248</v>
      </c>
      <c r="N11" s="17" t="s">
        <v>248</v>
      </c>
      <c r="O11" s="17" t="s">
        <v>257</v>
      </c>
      <c r="P11" s="17" t="s">
        <v>257</v>
      </c>
      <c r="Q11" s="17" t="s">
        <v>248</v>
      </c>
      <c r="R11" s="17" t="s">
        <v>257</v>
      </c>
      <c r="S11" s="17" t="s">
        <v>248</v>
      </c>
      <c r="T11" s="17" t="s">
        <v>248</v>
      </c>
      <c r="U11" s="17" t="s">
        <v>248</v>
      </c>
      <c r="V11" s="17" t="s">
        <v>248</v>
      </c>
      <c r="W11" s="17" t="s">
        <v>248</v>
      </c>
      <c r="X11" s="17" t="s">
        <v>248</v>
      </c>
      <c r="Y11" s="17" t="s">
        <v>248</v>
      </c>
      <c r="Z11" s="17" t="s">
        <v>257</v>
      </c>
      <c r="AA11" s="17" t="s">
        <v>257</v>
      </c>
      <c r="AB11" s="17" t="s">
        <v>257</v>
      </c>
      <c r="AC11" s="17" t="s">
        <v>248</v>
      </c>
      <c r="AD11" s="17" t="s">
        <v>248</v>
      </c>
      <c r="AE11" s="17" t="s">
        <v>248</v>
      </c>
      <c r="AF11" s="17" t="s">
        <v>248</v>
      </c>
      <c r="AG11" s="17" t="s">
        <v>248</v>
      </c>
      <c r="AH11" s="17" t="s">
        <v>248</v>
      </c>
      <c r="AI11" s="17" t="s">
        <v>248</v>
      </c>
      <c r="AJ11" s="17" t="s">
        <v>248</v>
      </c>
      <c r="AK11" s="17" t="s">
        <v>257</v>
      </c>
      <c r="AL11" s="17" t="s">
        <v>257</v>
      </c>
      <c r="AM11" s="17" t="s">
        <v>248</v>
      </c>
      <c r="AN11" s="17" t="s">
        <v>248</v>
      </c>
      <c r="AO11" s="17" t="s">
        <v>248</v>
      </c>
      <c r="AP11" s="17" t="s">
        <v>248</v>
      </c>
      <c r="AQ11" s="17" t="s">
        <v>248</v>
      </c>
      <c r="AR11" s="17" t="s">
        <v>248</v>
      </c>
    </row>
    <row r="12" spans="1:44">
      <c r="A12" s="4" t="s">
        <v>110</v>
      </c>
      <c r="B12" s="4" t="s">
        <v>111</v>
      </c>
      <c r="C12" s="17" t="s">
        <v>248</v>
      </c>
      <c r="D12" s="17" t="s">
        <v>257</v>
      </c>
      <c r="E12" s="17" t="s">
        <v>248</v>
      </c>
      <c r="F12" s="17" t="s">
        <v>248</v>
      </c>
      <c r="G12" s="17" t="s">
        <v>257</v>
      </c>
      <c r="H12" s="17" t="s">
        <v>257</v>
      </c>
      <c r="I12" s="17" t="s">
        <v>248</v>
      </c>
      <c r="J12" s="17" t="s">
        <v>248</v>
      </c>
      <c r="K12" s="17" t="s">
        <v>248</v>
      </c>
      <c r="L12" s="17" t="s">
        <v>248</v>
      </c>
      <c r="M12" s="17" t="s">
        <v>257</v>
      </c>
      <c r="N12" s="17" t="s">
        <v>248</v>
      </c>
      <c r="O12" s="17" t="s">
        <v>248</v>
      </c>
      <c r="P12" s="17" t="s">
        <v>248</v>
      </c>
      <c r="Q12" s="17" t="s">
        <v>248</v>
      </c>
      <c r="R12" s="17" t="s">
        <v>257</v>
      </c>
      <c r="S12" s="17" t="s">
        <v>248</v>
      </c>
      <c r="T12" s="17" t="s">
        <v>248</v>
      </c>
      <c r="U12" s="17" t="s">
        <v>248</v>
      </c>
      <c r="V12" s="17" t="s">
        <v>248</v>
      </c>
      <c r="W12" s="17" t="s">
        <v>248</v>
      </c>
      <c r="X12" s="17" t="s">
        <v>248</v>
      </c>
      <c r="Y12" s="17" t="s">
        <v>248</v>
      </c>
      <c r="Z12" s="17" t="s">
        <v>257</v>
      </c>
      <c r="AA12" s="17" t="s">
        <v>257</v>
      </c>
      <c r="AB12" s="17" t="s">
        <v>257</v>
      </c>
      <c r="AC12" s="17" t="s">
        <v>248</v>
      </c>
      <c r="AD12" s="17" t="s">
        <v>248</v>
      </c>
      <c r="AE12" s="17" t="s">
        <v>248</v>
      </c>
      <c r="AF12" s="17" t="s">
        <v>248</v>
      </c>
      <c r="AG12" s="17" t="s">
        <v>248</v>
      </c>
      <c r="AH12" s="17" t="s">
        <v>248</v>
      </c>
      <c r="AI12" s="17" t="s">
        <v>248</v>
      </c>
      <c r="AJ12" s="17" t="s">
        <v>248</v>
      </c>
      <c r="AK12" s="17" t="s">
        <v>257</v>
      </c>
      <c r="AL12" s="17" t="s">
        <v>257</v>
      </c>
      <c r="AM12" s="17" t="s">
        <v>248</v>
      </c>
      <c r="AN12" s="17" t="s">
        <v>248</v>
      </c>
      <c r="AO12" s="17" t="s">
        <v>248</v>
      </c>
      <c r="AP12" s="17" t="s">
        <v>248</v>
      </c>
      <c r="AQ12" s="17" t="s">
        <v>248</v>
      </c>
      <c r="AR12" s="17" t="s">
        <v>248</v>
      </c>
    </row>
    <row r="13" spans="1:44">
      <c r="A13" s="4" t="s">
        <v>116</v>
      </c>
      <c r="B13" s="4" t="s">
        <v>117</v>
      </c>
      <c r="C13" s="17" t="s">
        <v>248</v>
      </c>
      <c r="D13" s="17" t="s">
        <v>257</v>
      </c>
      <c r="E13" s="17" t="s">
        <v>248</v>
      </c>
      <c r="F13" s="17" t="s">
        <v>248</v>
      </c>
      <c r="G13" s="17" t="s">
        <v>257</v>
      </c>
      <c r="H13" s="17" t="s">
        <v>257</v>
      </c>
      <c r="I13" s="17" t="s">
        <v>248</v>
      </c>
      <c r="J13" s="17" t="s">
        <v>248</v>
      </c>
      <c r="K13" s="17" t="s">
        <v>248</v>
      </c>
      <c r="L13" s="17" t="s">
        <v>248</v>
      </c>
      <c r="M13" s="17" t="s">
        <v>248</v>
      </c>
      <c r="N13" s="17" t="s">
        <v>248</v>
      </c>
      <c r="O13" s="17" t="s">
        <v>248</v>
      </c>
      <c r="P13" s="17" t="s">
        <v>257</v>
      </c>
      <c r="Q13" s="17" t="s">
        <v>248</v>
      </c>
      <c r="R13" s="17" t="s">
        <v>257</v>
      </c>
      <c r="S13" s="17" t="s">
        <v>248</v>
      </c>
      <c r="T13" s="17" t="s">
        <v>248</v>
      </c>
      <c r="U13" s="17" t="s">
        <v>248</v>
      </c>
      <c r="V13" s="17" t="s">
        <v>248</v>
      </c>
      <c r="W13" s="17" t="s">
        <v>248</v>
      </c>
      <c r="X13" s="17" t="s">
        <v>248</v>
      </c>
      <c r="Y13" s="17" t="s">
        <v>248</v>
      </c>
      <c r="Z13" s="17" t="s">
        <v>257</v>
      </c>
      <c r="AA13" s="17" t="s">
        <v>257</v>
      </c>
      <c r="AB13" s="17" t="s">
        <v>257</v>
      </c>
      <c r="AC13" s="17" t="s">
        <v>248</v>
      </c>
      <c r="AD13" s="17" t="s">
        <v>248</v>
      </c>
      <c r="AE13" s="17" t="s">
        <v>248</v>
      </c>
      <c r="AF13" s="17" t="s">
        <v>248</v>
      </c>
      <c r="AG13" s="17" t="s">
        <v>248</v>
      </c>
      <c r="AH13" s="17" t="s">
        <v>248</v>
      </c>
      <c r="AI13" s="17" t="s">
        <v>248</v>
      </c>
      <c r="AJ13" s="17" t="s">
        <v>248</v>
      </c>
      <c r="AK13" s="17" t="s">
        <v>257</v>
      </c>
      <c r="AL13" s="17" t="s">
        <v>257</v>
      </c>
      <c r="AM13" s="17" t="s">
        <v>248</v>
      </c>
      <c r="AN13" s="17" t="s">
        <v>248</v>
      </c>
      <c r="AO13" s="17" t="s">
        <v>248</v>
      </c>
      <c r="AP13" s="17" t="s">
        <v>248</v>
      </c>
      <c r="AQ13" s="17" t="s">
        <v>248</v>
      </c>
      <c r="AR13" s="17" t="s">
        <v>248</v>
      </c>
    </row>
    <row r="14" spans="1:44">
      <c r="A14" s="4" t="s">
        <v>124</v>
      </c>
      <c r="B14" s="4" t="s">
        <v>125</v>
      </c>
      <c r="C14" s="17" t="s">
        <v>248</v>
      </c>
      <c r="D14" s="17" t="s">
        <v>257</v>
      </c>
      <c r="E14" s="17" t="s">
        <v>248</v>
      </c>
      <c r="F14" s="17" t="s">
        <v>248</v>
      </c>
      <c r="G14" s="17" t="s">
        <v>257</v>
      </c>
      <c r="H14" s="17" t="s">
        <v>257</v>
      </c>
      <c r="I14" s="17" t="s">
        <v>248</v>
      </c>
      <c r="J14" s="17" t="s">
        <v>248</v>
      </c>
      <c r="K14" s="17" t="s">
        <v>248</v>
      </c>
      <c r="L14" s="17" t="s">
        <v>248</v>
      </c>
      <c r="M14" s="17" t="s">
        <v>248</v>
      </c>
      <c r="N14" s="17" t="s">
        <v>248</v>
      </c>
      <c r="O14" s="17" t="s">
        <v>257</v>
      </c>
      <c r="P14" s="17" t="s">
        <v>248</v>
      </c>
      <c r="Q14" s="17" t="s">
        <v>248</v>
      </c>
      <c r="R14" s="17" t="s">
        <v>257</v>
      </c>
      <c r="S14" s="17" t="s">
        <v>257</v>
      </c>
      <c r="T14" s="17" t="s">
        <v>248</v>
      </c>
      <c r="U14" s="17" t="s">
        <v>248</v>
      </c>
      <c r="V14" s="17" t="s">
        <v>248</v>
      </c>
      <c r="W14" s="17" t="s">
        <v>248</v>
      </c>
      <c r="X14" s="17" t="s">
        <v>248</v>
      </c>
      <c r="Y14" s="17" t="s">
        <v>248</v>
      </c>
      <c r="Z14" s="17" t="s">
        <v>257</v>
      </c>
      <c r="AA14" s="17" t="s">
        <v>257</v>
      </c>
      <c r="AB14" s="17" t="s">
        <v>257</v>
      </c>
      <c r="AC14" s="17" t="s">
        <v>248</v>
      </c>
      <c r="AD14" s="17" t="s">
        <v>248</v>
      </c>
      <c r="AE14" s="17" t="s">
        <v>248</v>
      </c>
      <c r="AF14" s="17" t="s">
        <v>248</v>
      </c>
      <c r="AG14" s="17" t="s">
        <v>248</v>
      </c>
      <c r="AH14" s="17" t="s">
        <v>248</v>
      </c>
      <c r="AI14" s="17" t="s">
        <v>248</v>
      </c>
      <c r="AJ14" s="17" t="s">
        <v>248</v>
      </c>
      <c r="AK14" s="17" t="s">
        <v>257</v>
      </c>
      <c r="AL14" s="17" t="s">
        <v>257</v>
      </c>
      <c r="AM14" s="17" t="s">
        <v>248</v>
      </c>
      <c r="AN14" s="17" t="s">
        <v>248</v>
      </c>
      <c r="AO14" s="17" t="s">
        <v>248</v>
      </c>
      <c r="AP14" s="17" t="s">
        <v>248</v>
      </c>
      <c r="AQ14" s="17" t="s">
        <v>248</v>
      </c>
      <c r="AR14" s="17" t="s">
        <v>248</v>
      </c>
    </row>
    <row r="15" spans="1:44">
      <c r="A15" s="4" t="s">
        <v>131</v>
      </c>
      <c r="B15" s="4" t="s">
        <v>132</v>
      </c>
      <c r="C15" s="17" t="s">
        <v>248</v>
      </c>
      <c r="D15" s="17" t="s">
        <v>257</v>
      </c>
      <c r="E15" s="17" t="s">
        <v>248</v>
      </c>
      <c r="F15" s="17" t="s">
        <v>248</v>
      </c>
      <c r="G15" s="17" t="s">
        <v>257</v>
      </c>
      <c r="H15" s="17" t="s">
        <v>257</v>
      </c>
      <c r="I15" s="17" t="s">
        <v>248</v>
      </c>
      <c r="J15" s="17" t="s">
        <v>248</v>
      </c>
      <c r="K15" s="17" t="s">
        <v>248</v>
      </c>
      <c r="L15" s="17" t="s">
        <v>248</v>
      </c>
      <c r="M15" s="17" t="s">
        <v>248</v>
      </c>
      <c r="N15" s="17" t="s">
        <v>248</v>
      </c>
      <c r="O15" s="17" t="s">
        <v>248</v>
      </c>
      <c r="P15" s="17" t="s">
        <v>257</v>
      </c>
      <c r="Q15" s="17" t="s">
        <v>248</v>
      </c>
      <c r="R15" s="17" t="s">
        <v>257</v>
      </c>
      <c r="S15" s="17" t="s">
        <v>257</v>
      </c>
      <c r="T15" s="17" t="s">
        <v>248</v>
      </c>
      <c r="U15" s="17" t="s">
        <v>248</v>
      </c>
      <c r="V15" s="17" t="s">
        <v>248</v>
      </c>
      <c r="W15" s="17" t="s">
        <v>248</v>
      </c>
      <c r="X15" s="17" t="s">
        <v>248</v>
      </c>
      <c r="Y15" s="17" t="s">
        <v>248</v>
      </c>
      <c r="Z15" s="17" t="s">
        <v>257</v>
      </c>
      <c r="AA15" s="17" t="s">
        <v>257</v>
      </c>
      <c r="AB15" s="17" t="s">
        <v>257</v>
      </c>
      <c r="AC15" s="17" t="s">
        <v>248</v>
      </c>
      <c r="AD15" s="17" t="s">
        <v>248</v>
      </c>
      <c r="AE15" s="17" t="s">
        <v>248</v>
      </c>
      <c r="AF15" s="17" t="s">
        <v>248</v>
      </c>
      <c r="AG15" s="17" t="s">
        <v>248</v>
      </c>
      <c r="AH15" s="17" t="s">
        <v>248</v>
      </c>
      <c r="AI15" s="17" t="s">
        <v>248</v>
      </c>
      <c r="AJ15" s="17" t="s">
        <v>248</v>
      </c>
      <c r="AK15" s="17" t="s">
        <v>257</v>
      </c>
      <c r="AL15" s="17" t="s">
        <v>257</v>
      </c>
      <c r="AM15" s="17" t="s">
        <v>248</v>
      </c>
      <c r="AN15" s="17" t="s">
        <v>248</v>
      </c>
      <c r="AO15" s="17" t="s">
        <v>248</v>
      </c>
      <c r="AP15" s="17" t="s">
        <v>248</v>
      </c>
      <c r="AQ15" s="17" t="s">
        <v>248</v>
      </c>
      <c r="AR15" s="17" t="s">
        <v>248</v>
      </c>
    </row>
    <row r="16" spans="1:44">
      <c r="A16" s="4" t="s">
        <v>138</v>
      </c>
      <c r="B16" s="4" t="s">
        <v>139</v>
      </c>
      <c r="C16" s="17" t="s">
        <v>248</v>
      </c>
      <c r="D16" s="17" t="s">
        <v>248</v>
      </c>
      <c r="E16" s="17" t="s">
        <v>257</v>
      </c>
      <c r="F16" s="17" t="s">
        <v>248</v>
      </c>
      <c r="G16" s="17" t="s">
        <v>248</v>
      </c>
      <c r="H16" s="17" t="s">
        <v>248</v>
      </c>
      <c r="I16" s="17" t="s">
        <v>257</v>
      </c>
      <c r="J16" s="17" t="s">
        <v>248</v>
      </c>
      <c r="K16" s="17" t="s">
        <v>248</v>
      </c>
      <c r="L16" s="17" t="s">
        <v>248</v>
      </c>
      <c r="M16" s="17" t="s">
        <v>248</v>
      </c>
      <c r="N16" s="17" t="s">
        <v>248</v>
      </c>
      <c r="O16" s="17" t="s">
        <v>248</v>
      </c>
      <c r="P16" s="17" t="s">
        <v>248</v>
      </c>
      <c r="Q16" s="17" t="s">
        <v>248</v>
      </c>
      <c r="R16" s="17" t="s">
        <v>248</v>
      </c>
      <c r="S16" s="17" t="s">
        <v>248</v>
      </c>
      <c r="T16" s="17" t="s">
        <v>248</v>
      </c>
      <c r="U16" s="17" t="s">
        <v>248</v>
      </c>
      <c r="V16" s="17" t="s">
        <v>257</v>
      </c>
      <c r="W16" s="17" t="s">
        <v>248</v>
      </c>
      <c r="X16" s="17" t="s">
        <v>257</v>
      </c>
      <c r="Y16" s="17" t="s">
        <v>257</v>
      </c>
      <c r="Z16" s="17" t="s">
        <v>257</v>
      </c>
      <c r="AA16" s="17" t="s">
        <v>257</v>
      </c>
      <c r="AB16" s="17" t="s">
        <v>257</v>
      </c>
      <c r="AC16" s="17" t="s">
        <v>248</v>
      </c>
      <c r="AD16" s="17" t="s">
        <v>248</v>
      </c>
      <c r="AE16" s="17" t="s">
        <v>248</v>
      </c>
      <c r="AF16" s="17" t="s">
        <v>248</v>
      </c>
      <c r="AG16" s="17" t="s">
        <v>248</v>
      </c>
      <c r="AH16" s="17" t="s">
        <v>248</v>
      </c>
      <c r="AI16" s="17" t="s">
        <v>248</v>
      </c>
      <c r="AJ16" s="17" t="s">
        <v>248</v>
      </c>
      <c r="AK16" s="17" t="s">
        <v>248</v>
      </c>
      <c r="AL16" s="17" t="s">
        <v>248</v>
      </c>
      <c r="AM16" s="17" t="s">
        <v>257</v>
      </c>
      <c r="AN16" s="17" t="s">
        <v>248</v>
      </c>
      <c r="AO16" s="17" t="s">
        <v>248</v>
      </c>
      <c r="AP16" s="17" t="s">
        <v>248</v>
      </c>
      <c r="AQ16" s="17" t="s">
        <v>248</v>
      </c>
      <c r="AR16" s="17" t="s">
        <v>248</v>
      </c>
    </row>
    <row r="17" spans="1:44">
      <c r="A17" s="4" t="s">
        <v>146</v>
      </c>
      <c r="B17" s="4" t="s">
        <v>147</v>
      </c>
      <c r="C17" s="17" t="s">
        <v>248</v>
      </c>
      <c r="D17" s="17" t="s">
        <v>248</v>
      </c>
      <c r="E17" s="17" t="s">
        <v>257</v>
      </c>
      <c r="F17" s="17" t="s">
        <v>248</v>
      </c>
      <c r="G17" s="17" t="s">
        <v>248</v>
      </c>
      <c r="H17" s="17" t="s">
        <v>248</v>
      </c>
      <c r="I17" s="17" t="s">
        <v>257</v>
      </c>
      <c r="J17" s="17" t="s">
        <v>248</v>
      </c>
      <c r="K17" s="17" t="s">
        <v>248</v>
      </c>
      <c r="L17" s="17" t="s">
        <v>248</v>
      </c>
      <c r="M17" s="17" t="s">
        <v>248</v>
      </c>
      <c r="N17" s="17" t="s">
        <v>248</v>
      </c>
      <c r="O17" s="17" t="s">
        <v>248</v>
      </c>
      <c r="P17" s="17" t="s">
        <v>248</v>
      </c>
      <c r="Q17" s="17" t="s">
        <v>248</v>
      </c>
      <c r="R17" s="17" t="s">
        <v>248</v>
      </c>
      <c r="S17" s="17" t="s">
        <v>248</v>
      </c>
      <c r="T17" s="17" t="s">
        <v>248</v>
      </c>
      <c r="U17" s="17" t="s">
        <v>248</v>
      </c>
      <c r="V17" s="17" t="s">
        <v>248</v>
      </c>
      <c r="W17" s="17" t="s">
        <v>248</v>
      </c>
      <c r="X17" s="17" t="s">
        <v>257</v>
      </c>
      <c r="Y17" s="17" t="s">
        <v>257</v>
      </c>
      <c r="Z17" s="17" t="s">
        <v>248</v>
      </c>
      <c r="AA17" s="17" t="s">
        <v>257</v>
      </c>
      <c r="AB17" s="17" t="s">
        <v>248</v>
      </c>
      <c r="AC17" s="17" t="s">
        <v>248</v>
      </c>
      <c r="AD17" s="17" t="s">
        <v>248</v>
      </c>
      <c r="AE17" s="17" t="s">
        <v>248</v>
      </c>
      <c r="AF17" s="17" t="s">
        <v>248</v>
      </c>
      <c r="AG17" s="17" t="s">
        <v>248</v>
      </c>
      <c r="AH17" s="17" t="s">
        <v>248</v>
      </c>
      <c r="AI17" s="17" t="s">
        <v>248</v>
      </c>
      <c r="AJ17" s="17" t="s">
        <v>248</v>
      </c>
      <c r="AK17" s="17" t="s">
        <v>248</v>
      </c>
      <c r="AL17" s="17" t="s">
        <v>248</v>
      </c>
      <c r="AM17" s="17" t="s">
        <v>248</v>
      </c>
      <c r="AN17" s="17" t="s">
        <v>257</v>
      </c>
      <c r="AO17" s="17" t="s">
        <v>248</v>
      </c>
      <c r="AP17" s="17" t="s">
        <v>248</v>
      </c>
      <c r="AQ17" s="17" t="s">
        <v>248</v>
      </c>
      <c r="AR17" s="17" t="s">
        <v>248</v>
      </c>
    </row>
    <row r="18" spans="1:44">
      <c r="A18" s="4" t="s">
        <v>153</v>
      </c>
      <c r="B18" s="4" t="s">
        <v>154</v>
      </c>
      <c r="C18" s="17" t="s">
        <v>248</v>
      </c>
      <c r="D18" s="17" t="s">
        <v>248</v>
      </c>
      <c r="E18" s="17" t="s">
        <v>257</v>
      </c>
      <c r="F18" s="17" t="s">
        <v>248</v>
      </c>
      <c r="G18" s="17" t="s">
        <v>257</v>
      </c>
      <c r="H18" s="17" t="s">
        <v>248</v>
      </c>
      <c r="I18" s="17" t="s">
        <v>257</v>
      </c>
      <c r="J18" s="17" t="s">
        <v>248</v>
      </c>
      <c r="K18" s="17" t="s">
        <v>248</v>
      </c>
      <c r="L18" s="17" t="s">
        <v>248</v>
      </c>
      <c r="M18" s="17" t="s">
        <v>248</v>
      </c>
      <c r="N18" s="17" t="s">
        <v>257</v>
      </c>
      <c r="O18" s="17" t="s">
        <v>248</v>
      </c>
      <c r="P18" s="17" t="s">
        <v>248</v>
      </c>
      <c r="Q18" s="17" t="s">
        <v>248</v>
      </c>
      <c r="R18" s="17" t="s">
        <v>248</v>
      </c>
      <c r="S18" s="17" t="s">
        <v>248</v>
      </c>
      <c r="T18" s="17" t="s">
        <v>248</v>
      </c>
      <c r="U18" s="17" t="s">
        <v>248</v>
      </c>
      <c r="V18" s="17" t="s">
        <v>257</v>
      </c>
      <c r="W18" s="17" t="s">
        <v>248</v>
      </c>
      <c r="X18" s="17" t="s">
        <v>248</v>
      </c>
      <c r="Y18" s="17" t="s">
        <v>257</v>
      </c>
      <c r="Z18" s="17" t="s">
        <v>257</v>
      </c>
      <c r="AA18" s="17" t="s">
        <v>257</v>
      </c>
      <c r="AB18" s="17" t="s">
        <v>257</v>
      </c>
      <c r="AC18" s="17" t="s">
        <v>257</v>
      </c>
      <c r="AD18" s="17" t="s">
        <v>248</v>
      </c>
      <c r="AE18" s="17" t="s">
        <v>248</v>
      </c>
      <c r="AF18" s="17" t="s">
        <v>248</v>
      </c>
      <c r="AG18" s="17" t="s">
        <v>248</v>
      </c>
      <c r="AH18" s="17" t="s">
        <v>248</v>
      </c>
      <c r="AI18" s="17" t="s">
        <v>248</v>
      </c>
      <c r="AJ18" s="17" t="s">
        <v>248</v>
      </c>
      <c r="AK18" s="17" t="s">
        <v>248</v>
      </c>
      <c r="AL18" s="17" t="s">
        <v>248</v>
      </c>
      <c r="AM18" s="17" t="s">
        <v>257</v>
      </c>
      <c r="AN18" s="17" t="s">
        <v>257</v>
      </c>
      <c r="AO18" s="17" t="s">
        <v>257</v>
      </c>
      <c r="AP18" s="17" t="s">
        <v>248</v>
      </c>
      <c r="AQ18" s="17" t="s">
        <v>248</v>
      </c>
      <c r="AR18" s="17" t="s">
        <v>248</v>
      </c>
    </row>
    <row r="19" spans="1:44">
      <c r="A19" s="4" t="s">
        <v>160</v>
      </c>
      <c r="B19" s="4" t="s">
        <v>161</v>
      </c>
      <c r="C19" s="17" t="s">
        <v>248</v>
      </c>
      <c r="D19" s="17" t="s">
        <v>248</v>
      </c>
      <c r="E19" s="17" t="s">
        <v>257</v>
      </c>
      <c r="F19" s="17" t="s">
        <v>248</v>
      </c>
      <c r="G19" s="17" t="s">
        <v>257</v>
      </c>
      <c r="H19" s="17" t="s">
        <v>248</v>
      </c>
      <c r="I19" s="17" t="s">
        <v>257</v>
      </c>
      <c r="J19" s="17" t="s">
        <v>248</v>
      </c>
      <c r="K19" s="17" t="s">
        <v>248</v>
      </c>
      <c r="L19" s="17" t="s">
        <v>248</v>
      </c>
      <c r="M19" s="17" t="s">
        <v>248</v>
      </c>
      <c r="N19" s="17" t="s">
        <v>248</v>
      </c>
      <c r="O19" s="17" t="s">
        <v>257</v>
      </c>
      <c r="P19" s="17" t="s">
        <v>248</v>
      </c>
      <c r="Q19" s="17" t="s">
        <v>248</v>
      </c>
      <c r="R19" s="17" t="s">
        <v>248</v>
      </c>
      <c r="S19" s="17" t="s">
        <v>257</v>
      </c>
      <c r="T19" s="17" t="s">
        <v>248</v>
      </c>
      <c r="U19" s="17" t="s">
        <v>248</v>
      </c>
      <c r="V19" s="17" t="s">
        <v>248</v>
      </c>
      <c r="W19" s="17" t="s">
        <v>248</v>
      </c>
      <c r="X19" s="17" t="s">
        <v>248</v>
      </c>
      <c r="Y19" s="17" t="s">
        <v>248</v>
      </c>
      <c r="Z19" s="17" t="s">
        <v>248</v>
      </c>
      <c r="AA19" s="17" t="s">
        <v>257</v>
      </c>
      <c r="AB19" s="17" t="s">
        <v>248</v>
      </c>
      <c r="AC19" s="17" t="s">
        <v>257</v>
      </c>
      <c r="AD19" s="17" t="s">
        <v>248</v>
      </c>
      <c r="AE19" s="17" t="s">
        <v>248</v>
      </c>
      <c r="AF19" s="17" t="s">
        <v>248</v>
      </c>
      <c r="AG19" s="17" t="s">
        <v>248</v>
      </c>
      <c r="AH19" s="17" t="s">
        <v>248</v>
      </c>
      <c r="AI19" s="17" t="s">
        <v>248</v>
      </c>
      <c r="AJ19" s="17" t="s">
        <v>248</v>
      </c>
      <c r="AK19" s="17" t="s">
        <v>248</v>
      </c>
      <c r="AL19" s="17" t="s">
        <v>248</v>
      </c>
      <c r="AM19" s="17" t="s">
        <v>248</v>
      </c>
      <c r="AN19" s="17" t="s">
        <v>248</v>
      </c>
      <c r="AO19" s="17" t="s">
        <v>248</v>
      </c>
      <c r="AP19" s="17" t="s">
        <v>257</v>
      </c>
      <c r="AQ19" s="17" t="s">
        <v>248</v>
      </c>
      <c r="AR19" s="17" t="s">
        <v>248</v>
      </c>
    </row>
    <row r="20" spans="1:44">
      <c r="A20" s="4" t="s">
        <v>168</v>
      </c>
      <c r="B20" s="4" t="s">
        <v>169</v>
      </c>
      <c r="C20" s="17" t="s">
        <v>248</v>
      </c>
      <c r="D20" s="17" t="s">
        <v>248</v>
      </c>
      <c r="E20" s="17" t="s">
        <v>257</v>
      </c>
      <c r="F20" s="17" t="s">
        <v>248</v>
      </c>
      <c r="G20" s="17" t="s">
        <v>257</v>
      </c>
      <c r="H20" s="17" t="s">
        <v>257</v>
      </c>
      <c r="I20" s="17" t="s">
        <v>248</v>
      </c>
      <c r="J20" s="17" t="s">
        <v>248</v>
      </c>
      <c r="K20" s="17" t="s">
        <v>248</v>
      </c>
      <c r="L20" s="17" t="s">
        <v>248</v>
      </c>
      <c r="M20" s="17" t="s">
        <v>248</v>
      </c>
      <c r="N20" s="17" t="s">
        <v>257</v>
      </c>
      <c r="O20" s="17" t="s">
        <v>248</v>
      </c>
      <c r="P20" s="17" t="s">
        <v>248</v>
      </c>
      <c r="Q20" s="17" t="s">
        <v>248</v>
      </c>
      <c r="R20" s="17" t="s">
        <v>248</v>
      </c>
      <c r="S20" s="17" t="s">
        <v>257</v>
      </c>
      <c r="T20" s="17" t="s">
        <v>248</v>
      </c>
      <c r="U20" s="17" t="s">
        <v>248</v>
      </c>
      <c r="V20" s="17" t="s">
        <v>248</v>
      </c>
      <c r="W20" s="17" t="s">
        <v>248</v>
      </c>
      <c r="X20" s="17" t="s">
        <v>248</v>
      </c>
      <c r="Y20" s="17" t="s">
        <v>248</v>
      </c>
      <c r="Z20" s="17" t="s">
        <v>257</v>
      </c>
      <c r="AA20" s="17" t="s">
        <v>257</v>
      </c>
      <c r="AB20" s="17" t="s">
        <v>257</v>
      </c>
      <c r="AC20" s="17" t="s">
        <v>257</v>
      </c>
      <c r="AD20" s="17" t="s">
        <v>248</v>
      </c>
      <c r="AE20" s="17" t="s">
        <v>248</v>
      </c>
      <c r="AF20" s="17" t="s">
        <v>248</v>
      </c>
      <c r="AG20" s="17" t="s">
        <v>248</v>
      </c>
      <c r="AH20" s="17" t="s">
        <v>248</v>
      </c>
      <c r="AI20" s="17" t="s">
        <v>248</v>
      </c>
      <c r="AJ20" s="17" t="s">
        <v>248</v>
      </c>
      <c r="AK20" s="17" t="s">
        <v>257</v>
      </c>
      <c r="AL20" s="17" t="s">
        <v>248</v>
      </c>
      <c r="AM20" s="17" t="s">
        <v>257</v>
      </c>
      <c r="AN20" s="17" t="s">
        <v>248</v>
      </c>
      <c r="AO20" s="17" t="s">
        <v>248</v>
      </c>
      <c r="AP20" s="17" t="s">
        <v>248</v>
      </c>
      <c r="AQ20" s="17" t="s">
        <v>248</v>
      </c>
      <c r="AR20" s="17" t="s">
        <v>248</v>
      </c>
    </row>
    <row r="21" spans="1:44">
      <c r="A21" s="4" t="s">
        <v>175</v>
      </c>
      <c r="B21" s="4" t="s">
        <v>176</v>
      </c>
      <c r="C21" s="17" t="s">
        <v>248</v>
      </c>
      <c r="D21" s="17" t="s">
        <v>248</v>
      </c>
      <c r="E21" s="17" t="s">
        <v>257</v>
      </c>
      <c r="F21" s="17" t="s">
        <v>248</v>
      </c>
      <c r="G21" s="17" t="s">
        <v>248</v>
      </c>
      <c r="H21" s="17" t="s">
        <v>257</v>
      </c>
      <c r="I21" s="17" t="s">
        <v>257</v>
      </c>
      <c r="J21" s="17" t="s">
        <v>248</v>
      </c>
      <c r="K21" s="17" t="s">
        <v>248</v>
      </c>
      <c r="L21" s="17" t="s">
        <v>248</v>
      </c>
      <c r="M21" s="17" t="s">
        <v>248</v>
      </c>
      <c r="N21" s="17" t="s">
        <v>248</v>
      </c>
      <c r="O21" s="17" t="s">
        <v>248</v>
      </c>
      <c r="P21" s="17" t="s">
        <v>248</v>
      </c>
      <c r="Q21" s="17" t="s">
        <v>257</v>
      </c>
      <c r="R21" s="17" t="s">
        <v>248</v>
      </c>
      <c r="S21" s="17" t="s">
        <v>257</v>
      </c>
      <c r="T21" s="17" t="s">
        <v>248</v>
      </c>
      <c r="U21" s="17" t="s">
        <v>248</v>
      </c>
      <c r="V21" s="17" t="s">
        <v>248</v>
      </c>
      <c r="W21" s="17" t="s">
        <v>248</v>
      </c>
      <c r="X21" s="17" t="s">
        <v>257</v>
      </c>
      <c r="Y21" s="17" t="s">
        <v>248</v>
      </c>
      <c r="Z21" s="17" t="s">
        <v>248</v>
      </c>
      <c r="AA21" s="17" t="s">
        <v>248</v>
      </c>
      <c r="AB21" s="17" t="s">
        <v>257</v>
      </c>
      <c r="AC21" s="17" t="s">
        <v>248</v>
      </c>
      <c r="AD21" s="17" t="s">
        <v>248</v>
      </c>
      <c r="AE21" s="17" t="s">
        <v>257</v>
      </c>
      <c r="AF21" s="17" t="s">
        <v>248</v>
      </c>
      <c r="AG21" s="17" t="s">
        <v>248</v>
      </c>
      <c r="AH21" s="17" t="s">
        <v>248</v>
      </c>
      <c r="AI21" s="17" t="s">
        <v>248</v>
      </c>
      <c r="AJ21" s="17" t="s">
        <v>248</v>
      </c>
      <c r="AK21" s="17" t="s">
        <v>248</v>
      </c>
      <c r="AL21" s="17" t="s">
        <v>257</v>
      </c>
      <c r="AM21" s="17" t="s">
        <v>257</v>
      </c>
      <c r="AN21" s="17" t="s">
        <v>257</v>
      </c>
      <c r="AO21" s="17" t="s">
        <v>248</v>
      </c>
      <c r="AP21" s="17" t="s">
        <v>248</v>
      </c>
      <c r="AQ21" s="17" t="s">
        <v>248</v>
      </c>
      <c r="AR21" s="17" t="s">
        <v>248</v>
      </c>
    </row>
    <row r="22" spans="1:44">
      <c r="A22" s="4" t="s">
        <v>182</v>
      </c>
      <c r="B22" s="4" t="s">
        <v>183</v>
      </c>
      <c r="C22" s="17" t="s">
        <v>248</v>
      </c>
      <c r="D22" s="17" t="s">
        <v>248</v>
      </c>
      <c r="E22" s="17" t="s">
        <v>248</v>
      </c>
      <c r="F22" s="17" t="s">
        <v>257</v>
      </c>
      <c r="G22" s="17" t="s">
        <v>257</v>
      </c>
      <c r="H22" s="17" t="s">
        <v>257</v>
      </c>
      <c r="I22" s="17" t="s">
        <v>248</v>
      </c>
      <c r="J22" s="17" t="s">
        <v>248</v>
      </c>
      <c r="K22" s="17" t="s">
        <v>248</v>
      </c>
      <c r="L22" s="17" t="s">
        <v>248</v>
      </c>
      <c r="M22" s="17" t="s">
        <v>248</v>
      </c>
      <c r="N22" s="17" t="s">
        <v>257</v>
      </c>
      <c r="O22" s="17" t="s">
        <v>248</v>
      </c>
      <c r="P22" s="17" t="s">
        <v>248</v>
      </c>
      <c r="Q22" s="17" t="s">
        <v>248</v>
      </c>
      <c r="R22" s="17" t="s">
        <v>248</v>
      </c>
      <c r="S22" s="17" t="s">
        <v>257</v>
      </c>
      <c r="T22" s="17" t="s">
        <v>248</v>
      </c>
      <c r="U22" s="17" t="s">
        <v>248</v>
      </c>
      <c r="V22" s="17" t="s">
        <v>248</v>
      </c>
      <c r="W22" s="17" t="s">
        <v>248</v>
      </c>
      <c r="X22" s="17" t="s">
        <v>248</v>
      </c>
      <c r="Y22" s="17" t="s">
        <v>248</v>
      </c>
      <c r="Z22" s="17" t="s">
        <v>248</v>
      </c>
      <c r="AA22" s="17" t="s">
        <v>248</v>
      </c>
      <c r="AB22" s="17" t="s">
        <v>257</v>
      </c>
      <c r="AC22" s="17" t="s">
        <v>248</v>
      </c>
      <c r="AD22" s="17" t="s">
        <v>248</v>
      </c>
      <c r="AE22" s="17" t="s">
        <v>248</v>
      </c>
      <c r="AF22" s="17" t="s">
        <v>248</v>
      </c>
      <c r="AG22" s="17" t="s">
        <v>248</v>
      </c>
      <c r="AH22" s="17" t="s">
        <v>248</v>
      </c>
      <c r="AI22" s="17" t="s">
        <v>248</v>
      </c>
      <c r="AJ22" s="17" t="s">
        <v>248</v>
      </c>
      <c r="AK22" s="17" t="s">
        <v>257</v>
      </c>
      <c r="AL22" s="17" t="s">
        <v>257</v>
      </c>
      <c r="AM22" s="17" t="s">
        <v>248</v>
      </c>
      <c r="AN22" s="17" t="s">
        <v>248</v>
      </c>
      <c r="AO22" s="17" t="s">
        <v>248</v>
      </c>
      <c r="AP22" s="17" t="s">
        <v>248</v>
      </c>
      <c r="AQ22" s="17" t="s">
        <v>248</v>
      </c>
      <c r="AR22" s="17" t="s">
        <v>248</v>
      </c>
    </row>
    <row r="23" spans="1:44">
      <c r="A23" s="4" t="s">
        <v>189</v>
      </c>
      <c r="B23" s="4" t="s">
        <v>190</v>
      </c>
      <c r="C23" s="17" t="s">
        <v>248</v>
      </c>
      <c r="D23" s="17" t="s">
        <v>248</v>
      </c>
      <c r="E23" s="17" t="s">
        <v>248</v>
      </c>
      <c r="F23" s="17" t="s">
        <v>257</v>
      </c>
      <c r="G23" s="17" t="s">
        <v>257</v>
      </c>
      <c r="H23" s="17" t="s">
        <v>257</v>
      </c>
      <c r="I23" s="17" t="s">
        <v>257</v>
      </c>
      <c r="J23" s="17" t="s">
        <v>248</v>
      </c>
      <c r="K23" s="17" t="s">
        <v>248</v>
      </c>
      <c r="L23" s="17" t="s">
        <v>248</v>
      </c>
      <c r="M23" s="17" t="s">
        <v>248</v>
      </c>
      <c r="N23" s="17" t="s">
        <v>257</v>
      </c>
      <c r="O23" s="17" t="s">
        <v>248</v>
      </c>
      <c r="P23" s="17" t="s">
        <v>248</v>
      </c>
      <c r="Q23" s="17" t="s">
        <v>248</v>
      </c>
      <c r="R23" s="17" t="s">
        <v>248</v>
      </c>
      <c r="S23" s="17" t="s">
        <v>257</v>
      </c>
      <c r="T23" s="17" t="s">
        <v>248</v>
      </c>
      <c r="U23" s="17" t="s">
        <v>248</v>
      </c>
      <c r="V23" s="17" t="s">
        <v>248</v>
      </c>
      <c r="W23" s="17" t="s">
        <v>248</v>
      </c>
      <c r="X23" s="17" t="s">
        <v>248</v>
      </c>
      <c r="Y23" s="17" t="s">
        <v>248</v>
      </c>
      <c r="Z23" s="17" t="s">
        <v>248</v>
      </c>
      <c r="AA23" s="17" t="s">
        <v>248</v>
      </c>
      <c r="AB23" s="17" t="s">
        <v>257</v>
      </c>
      <c r="AC23" s="17" t="s">
        <v>248</v>
      </c>
      <c r="AD23" s="17" t="s">
        <v>248</v>
      </c>
      <c r="AE23" s="17" t="s">
        <v>248</v>
      </c>
      <c r="AF23" s="17" t="s">
        <v>248</v>
      </c>
      <c r="AG23" s="17" t="s">
        <v>248</v>
      </c>
      <c r="AH23" s="17" t="s">
        <v>248</v>
      </c>
      <c r="AI23" s="17" t="s">
        <v>248</v>
      </c>
      <c r="AJ23" s="17" t="s">
        <v>248</v>
      </c>
      <c r="AK23" s="17" t="s">
        <v>248</v>
      </c>
      <c r="AL23" s="17" t="s">
        <v>257</v>
      </c>
      <c r="AM23" s="17" t="s">
        <v>248</v>
      </c>
      <c r="AN23" s="17" t="s">
        <v>248</v>
      </c>
      <c r="AO23" s="17" t="s">
        <v>248</v>
      </c>
      <c r="AP23" s="17" t="s">
        <v>257</v>
      </c>
      <c r="AQ23" s="17" t="s">
        <v>248</v>
      </c>
      <c r="AR23" s="17" t="s">
        <v>248</v>
      </c>
    </row>
    <row r="24" spans="1:44">
      <c r="A24" s="4" t="s">
        <v>195</v>
      </c>
      <c r="B24" s="4" t="s">
        <v>196</v>
      </c>
      <c r="C24" s="17" t="s">
        <v>248</v>
      </c>
      <c r="D24" s="17" t="s">
        <v>248</v>
      </c>
      <c r="E24" s="17" t="s">
        <v>248</v>
      </c>
      <c r="F24" s="17" t="s">
        <v>257</v>
      </c>
      <c r="G24" s="17" t="s">
        <v>257</v>
      </c>
      <c r="H24" s="17" t="s">
        <v>257</v>
      </c>
      <c r="I24" s="17" t="s">
        <v>248</v>
      </c>
      <c r="J24" s="17" t="s">
        <v>248</v>
      </c>
      <c r="K24" s="17" t="s">
        <v>248</v>
      </c>
      <c r="L24" s="17" t="s">
        <v>248</v>
      </c>
      <c r="M24" s="17" t="s">
        <v>248</v>
      </c>
      <c r="N24" s="17" t="s">
        <v>257</v>
      </c>
      <c r="O24" s="17" t="s">
        <v>248</v>
      </c>
      <c r="P24" s="17" t="s">
        <v>248</v>
      </c>
      <c r="Q24" s="17" t="s">
        <v>248</v>
      </c>
      <c r="R24" s="17" t="s">
        <v>248</v>
      </c>
      <c r="S24" s="17" t="s">
        <v>257</v>
      </c>
      <c r="T24" s="17" t="s">
        <v>248</v>
      </c>
      <c r="U24" s="17" t="s">
        <v>248</v>
      </c>
      <c r="V24" s="17" t="s">
        <v>248</v>
      </c>
      <c r="W24" s="17" t="s">
        <v>248</v>
      </c>
      <c r="X24" s="17" t="s">
        <v>248</v>
      </c>
      <c r="Y24" s="17" t="s">
        <v>248</v>
      </c>
      <c r="Z24" s="17" t="s">
        <v>248</v>
      </c>
      <c r="AA24" s="17" t="s">
        <v>248</v>
      </c>
      <c r="AB24" s="17" t="s">
        <v>257</v>
      </c>
      <c r="AC24" s="17" t="s">
        <v>248</v>
      </c>
      <c r="AD24" s="17" t="s">
        <v>248</v>
      </c>
      <c r="AE24" s="17" t="s">
        <v>248</v>
      </c>
      <c r="AF24" s="17" t="s">
        <v>248</v>
      </c>
      <c r="AG24" s="17" t="s">
        <v>248</v>
      </c>
      <c r="AH24" s="17" t="s">
        <v>248</v>
      </c>
      <c r="AI24" s="17" t="s">
        <v>248</v>
      </c>
      <c r="AJ24" s="17" t="s">
        <v>248</v>
      </c>
      <c r="AK24" s="17" t="s">
        <v>257</v>
      </c>
      <c r="AL24" s="17" t="s">
        <v>257</v>
      </c>
      <c r="AM24" s="17" t="s">
        <v>248</v>
      </c>
      <c r="AN24" s="17" t="s">
        <v>248</v>
      </c>
      <c r="AO24" s="17" t="s">
        <v>248</v>
      </c>
      <c r="AP24" s="17" t="s">
        <v>248</v>
      </c>
      <c r="AQ24" s="17" t="s">
        <v>248</v>
      </c>
      <c r="AR24" s="17" t="s">
        <v>248</v>
      </c>
    </row>
    <row r="25" spans="1:44">
      <c r="A25" s="4" t="s">
        <v>202</v>
      </c>
      <c r="B25" s="4" t="s">
        <v>203</v>
      </c>
      <c r="C25" s="17" t="s">
        <v>248</v>
      </c>
      <c r="D25" s="17" t="s">
        <v>248</v>
      </c>
      <c r="E25" s="17" t="s">
        <v>257</v>
      </c>
      <c r="F25" s="17" t="s">
        <v>257</v>
      </c>
      <c r="G25" s="17" t="s">
        <v>257</v>
      </c>
      <c r="H25" s="17" t="s">
        <v>257</v>
      </c>
      <c r="I25" s="17" t="s">
        <v>248</v>
      </c>
      <c r="J25" s="17" t="s">
        <v>248</v>
      </c>
      <c r="K25" s="17" t="s">
        <v>248</v>
      </c>
      <c r="L25" s="17" t="s">
        <v>248</v>
      </c>
      <c r="M25" s="17" t="s">
        <v>248</v>
      </c>
      <c r="N25" s="17" t="s">
        <v>257</v>
      </c>
      <c r="O25" s="17" t="s">
        <v>248</v>
      </c>
      <c r="P25" s="17" t="s">
        <v>248</v>
      </c>
      <c r="Q25" s="17" t="s">
        <v>248</v>
      </c>
      <c r="R25" s="17" t="s">
        <v>248</v>
      </c>
      <c r="S25" s="17" t="s">
        <v>257</v>
      </c>
      <c r="T25" s="17" t="s">
        <v>248</v>
      </c>
      <c r="U25" s="17" t="s">
        <v>248</v>
      </c>
      <c r="V25" s="17" t="s">
        <v>257</v>
      </c>
      <c r="W25" s="17" t="s">
        <v>248</v>
      </c>
      <c r="X25" s="17" t="s">
        <v>248</v>
      </c>
      <c r="Y25" s="17" t="s">
        <v>248</v>
      </c>
      <c r="Z25" s="17" t="s">
        <v>257</v>
      </c>
      <c r="AA25" s="17" t="s">
        <v>257</v>
      </c>
      <c r="AB25" s="17" t="s">
        <v>257</v>
      </c>
      <c r="AC25" s="17" t="s">
        <v>248</v>
      </c>
      <c r="AD25" s="17" t="s">
        <v>248</v>
      </c>
      <c r="AE25" s="17" t="s">
        <v>248</v>
      </c>
      <c r="AF25" s="17" t="s">
        <v>248</v>
      </c>
      <c r="AG25" s="17" t="s">
        <v>248</v>
      </c>
      <c r="AH25" s="17" t="s">
        <v>248</v>
      </c>
      <c r="AI25" s="17" t="s">
        <v>248</v>
      </c>
      <c r="AJ25" s="17" t="s">
        <v>248</v>
      </c>
      <c r="AK25" s="17" t="s">
        <v>257</v>
      </c>
      <c r="AL25" s="17" t="s">
        <v>257</v>
      </c>
      <c r="AM25" s="17" t="s">
        <v>248</v>
      </c>
      <c r="AN25" s="17" t="s">
        <v>248</v>
      </c>
      <c r="AO25" s="17" t="s">
        <v>248</v>
      </c>
      <c r="AP25" s="17" t="s">
        <v>248</v>
      </c>
      <c r="AQ25" s="17" t="s">
        <v>248</v>
      </c>
      <c r="AR25" s="17" t="s">
        <v>248</v>
      </c>
    </row>
    <row r="26" spans="1:44">
      <c r="A26" s="4" t="s">
        <v>209</v>
      </c>
      <c r="B26" s="4" t="s">
        <v>210</v>
      </c>
      <c r="C26" s="17" t="s">
        <v>248</v>
      </c>
      <c r="D26" s="17" t="s">
        <v>248</v>
      </c>
      <c r="E26" s="17" t="s">
        <v>248</v>
      </c>
      <c r="F26" s="17" t="s">
        <v>257</v>
      </c>
      <c r="G26" s="17" t="s">
        <v>257</v>
      </c>
      <c r="H26" s="17" t="s">
        <v>257</v>
      </c>
      <c r="I26" s="17" t="s">
        <v>248</v>
      </c>
      <c r="J26" s="17" t="s">
        <v>248</v>
      </c>
      <c r="K26" s="17" t="s">
        <v>248</v>
      </c>
      <c r="L26" s="17" t="s">
        <v>248</v>
      </c>
      <c r="M26" s="17" t="s">
        <v>248</v>
      </c>
      <c r="N26" s="17" t="s">
        <v>248</v>
      </c>
      <c r="O26" s="17" t="s">
        <v>248</v>
      </c>
      <c r="P26" s="17" t="s">
        <v>248</v>
      </c>
      <c r="Q26" s="17" t="s">
        <v>248</v>
      </c>
      <c r="R26" s="17" t="s">
        <v>248</v>
      </c>
      <c r="S26" s="17" t="s">
        <v>257</v>
      </c>
      <c r="T26" s="17" t="s">
        <v>248</v>
      </c>
      <c r="U26" s="17" t="s">
        <v>248</v>
      </c>
      <c r="V26" s="17" t="s">
        <v>248</v>
      </c>
      <c r="W26" s="17" t="s">
        <v>248</v>
      </c>
      <c r="X26" s="17" t="s">
        <v>248</v>
      </c>
      <c r="Y26" s="17" t="s">
        <v>248</v>
      </c>
      <c r="Z26" s="17" t="s">
        <v>248</v>
      </c>
      <c r="AA26" s="17" t="s">
        <v>248</v>
      </c>
      <c r="AB26" s="17" t="s">
        <v>257</v>
      </c>
      <c r="AC26" s="17" t="s">
        <v>248</v>
      </c>
      <c r="AD26" s="17" t="s">
        <v>248</v>
      </c>
      <c r="AE26" s="17" t="s">
        <v>248</v>
      </c>
      <c r="AF26" s="17" t="s">
        <v>248</v>
      </c>
      <c r="AG26" s="17" t="s">
        <v>248</v>
      </c>
      <c r="AH26" s="17" t="s">
        <v>248</v>
      </c>
      <c r="AI26" s="17" t="s">
        <v>257</v>
      </c>
      <c r="AJ26" s="17" t="s">
        <v>248</v>
      </c>
      <c r="AK26" s="17" t="s">
        <v>248</v>
      </c>
      <c r="AL26" s="17" t="s">
        <v>248</v>
      </c>
      <c r="AM26" s="17" t="s">
        <v>248</v>
      </c>
      <c r="AN26" s="17" t="s">
        <v>248</v>
      </c>
      <c r="AO26" s="17" t="s">
        <v>248</v>
      </c>
      <c r="AP26" s="17" t="s">
        <v>248</v>
      </c>
      <c r="AQ26" s="17" t="s">
        <v>248</v>
      </c>
      <c r="AR26" s="17" t="s">
        <v>248</v>
      </c>
    </row>
    <row r="27" spans="1:44">
      <c r="A27" s="4" t="s">
        <v>216</v>
      </c>
      <c r="B27" s="4" t="s">
        <v>217</v>
      </c>
      <c r="C27" s="17" t="s">
        <v>248</v>
      </c>
      <c r="D27" s="17" t="s">
        <v>248</v>
      </c>
      <c r="E27" s="17" t="s">
        <v>248</v>
      </c>
      <c r="F27" s="17" t="s">
        <v>257</v>
      </c>
      <c r="G27" s="17" t="s">
        <v>257</v>
      </c>
      <c r="H27" s="17" t="s">
        <v>257</v>
      </c>
      <c r="I27" s="17" t="s">
        <v>248</v>
      </c>
      <c r="J27" s="17" t="s">
        <v>248</v>
      </c>
      <c r="K27" s="17" t="s">
        <v>248</v>
      </c>
      <c r="L27" s="17" t="s">
        <v>248</v>
      </c>
      <c r="M27" s="17" t="s">
        <v>248</v>
      </c>
      <c r="N27" s="17" t="s">
        <v>257</v>
      </c>
      <c r="O27" s="17" t="s">
        <v>248</v>
      </c>
      <c r="P27" s="17" t="s">
        <v>248</v>
      </c>
      <c r="Q27" s="17" t="s">
        <v>248</v>
      </c>
      <c r="R27" s="17" t="s">
        <v>248</v>
      </c>
      <c r="S27" s="17" t="s">
        <v>257</v>
      </c>
      <c r="T27" s="17" t="s">
        <v>248</v>
      </c>
      <c r="U27" s="17" t="s">
        <v>248</v>
      </c>
      <c r="V27" s="17" t="s">
        <v>248</v>
      </c>
      <c r="W27" s="17" t="s">
        <v>248</v>
      </c>
      <c r="X27" s="17" t="s">
        <v>248</v>
      </c>
      <c r="Y27" s="17" t="s">
        <v>248</v>
      </c>
      <c r="Z27" s="17" t="s">
        <v>248</v>
      </c>
      <c r="AA27" s="17" t="s">
        <v>248</v>
      </c>
      <c r="AB27" s="17" t="s">
        <v>257</v>
      </c>
      <c r="AC27" s="17" t="s">
        <v>248</v>
      </c>
      <c r="AD27" s="17" t="s">
        <v>248</v>
      </c>
      <c r="AE27" s="17" t="s">
        <v>248</v>
      </c>
      <c r="AF27" s="17" t="s">
        <v>248</v>
      </c>
      <c r="AG27" s="17" t="s">
        <v>248</v>
      </c>
      <c r="AH27" s="17" t="s">
        <v>248</v>
      </c>
      <c r="AI27" s="17" t="s">
        <v>248</v>
      </c>
      <c r="AJ27" s="17" t="s">
        <v>248</v>
      </c>
      <c r="AK27" s="17" t="s">
        <v>257</v>
      </c>
      <c r="AL27" s="17" t="s">
        <v>257</v>
      </c>
      <c r="AM27" s="17" t="s">
        <v>248</v>
      </c>
      <c r="AN27" s="17" t="s">
        <v>248</v>
      </c>
      <c r="AO27" s="17" t="s">
        <v>248</v>
      </c>
      <c r="AP27" s="17" t="s">
        <v>248</v>
      </c>
      <c r="AQ27" s="17" t="s">
        <v>248</v>
      </c>
      <c r="AR27" s="17" t="s">
        <v>248</v>
      </c>
    </row>
    <row r="28" spans="1:44">
      <c r="A28" s="4" t="s">
        <v>223</v>
      </c>
      <c r="B28" s="4" t="s">
        <v>224</v>
      </c>
      <c r="C28" s="17" t="s">
        <v>248</v>
      </c>
      <c r="D28" s="17" t="s">
        <v>248</v>
      </c>
      <c r="E28" s="17" t="s">
        <v>248</v>
      </c>
      <c r="F28" s="17" t="s">
        <v>257</v>
      </c>
      <c r="G28" s="17" t="s">
        <v>257</v>
      </c>
      <c r="H28" s="17" t="s">
        <v>257</v>
      </c>
      <c r="I28" s="17" t="s">
        <v>248</v>
      </c>
      <c r="J28" s="17" t="s">
        <v>248</v>
      </c>
      <c r="K28" s="17" t="s">
        <v>248</v>
      </c>
      <c r="L28" s="17" t="s">
        <v>248</v>
      </c>
      <c r="M28" s="17" t="s">
        <v>248</v>
      </c>
      <c r="N28" s="17" t="s">
        <v>257</v>
      </c>
      <c r="O28" s="17" t="s">
        <v>248</v>
      </c>
      <c r="P28" s="17" t="s">
        <v>248</v>
      </c>
      <c r="Q28" s="17" t="s">
        <v>248</v>
      </c>
      <c r="R28" s="17" t="s">
        <v>248</v>
      </c>
      <c r="S28" s="17" t="s">
        <v>257</v>
      </c>
      <c r="T28" s="17" t="s">
        <v>248</v>
      </c>
      <c r="U28" s="17" t="s">
        <v>248</v>
      </c>
      <c r="V28" s="17" t="s">
        <v>248</v>
      </c>
      <c r="W28" s="17" t="s">
        <v>248</v>
      </c>
      <c r="X28" s="17" t="s">
        <v>248</v>
      </c>
      <c r="Y28" s="17" t="s">
        <v>248</v>
      </c>
      <c r="Z28" s="17" t="s">
        <v>248</v>
      </c>
      <c r="AA28" s="17" t="s">
        <v>248</v>
      </c>
      <c r="AB28" s="17" t="s">
        <v>257</v>
      </c>
      <c r="AC28" s="17" t="s">
        <v>248</v>
      </c>
      <c r="AD28" s="17" t="s">
        <v>248</v>
      </c>
      <c r="AE28" s="17" t="s">
        <v>248</v>
      </c>
      <c r="AF28" s="17" t="s">
        <v>248</v>
      </c>
      <c r="AG28" s="17" t="s">
        <v>248</v>
      </c>
      <c r="AH28" s="17" t="s">
        <v>248</v>
      </c>
      <c r="AI28" s="17" t="s">
        <v>248</v>
      </c>
      <c r="AJ28" s="17" t="s">
        <v>248</v>
      </c>
      <c r="AK28" s="17" t="s">
        <v>257</v>
      </c>
      <c r="AL28" s="17" t="s">
        <v>257</v>
      </c>
      <c r="AM28" s="17" t="s">
        <v>248</v>
      </c>
      <c r="AN28" s="17" t="s">
        <v>248</v>
      </c>
      <c r="AO28" s="17" t="s">
        <v>248</v>
      </c>
      <c r="AP28" s="17" t="s">
        <v>248</v>
      </c>
      <c r="AQ28" s="17" t="s">
        <v>248</v>
      </c>
      <c r="AR28" s="17" t="s">
        <v>248</v>
      </c>
    </row>
  </sheetData>
  <mergeCells count="2">
    <mergeCell ref="A1:AR1"/>
    <mergeCell ref="A2:AR2"/>
  </mergeCells>
  <dataValidations count="1">
    <dataValidation type="list" sqref="C4:AR28" xr:uid="{00000000-0002-0000-0D00-000000000000}">
      <formula1>"0,1"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8" tint="-0.249977111117893"/>
  </sheetPr>
  <dimension ref="A1:AR27"/>
  <sheetViews>
    <sheetView workbookViewId="0">
      <selection activeCell="A2" sqref="A2:XFD2"/>
    </sheetView>
  </sheetViews>
  <sheetFormatPr defaultRowHeight="15.75"/>
  <cols>
    <col min="1" max="1" width="10" style="4" customWidth="1"/>
    <col min="2" max="2" width="11" style="4" customWidth="1"/>
    <col min="3" max="44" width="8" style="4" customWidth="1"/>
    <col min="45" max="16384" width="9" style="4"/>
  </cols>
  <sheetData>
    <row r="1" spans="1:44" s="10" customFormat="1" ht="20.25">
      <c r="A1" s="27" t="s">
        <v>588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</row>
    <row r="2" spans="1:44" s="9" customFormat="1" ht="18.75">
      <c r="A2" s="16" t="s">
        <v>26</v>
      </c>
      <c r="B2" s="16" t="s">
        <v>27</v>
      </c>
      <c r="C2" s="16" t="s">
        <v>44</v>
      </c>
      <c r="D2" s="16" t="s">
        <v>60</v>
      </c>
      <c r="E2" s="16" t="s">
        <v>70</v>
      </c>
      <c r="F2" s="16" t="s">
        <v>78</v>
      </c>
      <c r="G2" s="16" t="s">
        <v>241</v>
      </c>
      <c r="H2" s="16" t="s">
        <v>250</v>
      </c>
      <c r="I2" s="16" t="s">
        <v>259</v>
      </c>
      <c r="J2" s="16" t="s">
        <v>265</v>
      </c>
      <c r="K2" s="16" t="s">
        <v>270</v>
      </c>
      <c r="L2" s="16" t="s">
        <v>275</v>
      </c>
      <c r="M2" s="16" t="s">
        <v>242</v>
      </c>
      <c r="N2" s="16" t="s">
        <v>251</v>
      </c>
      <c r="O2" s="16" t="s">
        <v>260</v>
      </c>
      <c r="P2" s="16" t="s">
        <v>266</v>
      </c>
      <c r="Q2" s="16" t="s">
        <v>271</v>
      </c>
      <c r="R2" s="16" t="s">
        <v>276</v>
      </c>
      <c r="S2" s="16" t="s">
        <v>280</v>
      </c>
      <c r="T2" s="16" t="s">
        <v>284</v>
      </c>
      <c r="U2" s="16" t="s">
        <v>288</v>
      </c>
      <c r="V2" s="16" t="s">
        <v>290</v>
      </c>
      <c r="W2" s="16" t="s">
        <v>292</v>
      </c>
      <c r="X2" s="16" t="s">
        <v>294</v>
      </c>
      <c r="Y2" s="16" t="s">
        <v>243</v>
      </c>
      <c r="Z2" s="16" t="s">
        <v>252</v>
      </c>
      <c r="AA2" s="16" t="s">
        <v>261</v>
      </c>
      <c r="AB2" s="16" t="s">
        <v>267</v>
      </c>
      <c r="AC2" s="16" t="s">
        <v>272</v>
      </c>
      <c r="AD2" s="16" t="s">
        <v>277</v>
      </c>
      <c r="AE2" s="16" t="s">
        <v>281</v>
      </c>
      <c r="AF2" s="16" t="s">
        <v>285</v>
      </c>
      <c r="AG2" s="16" t="s">
        <v>244</v>
      </c>
      <c r="AH2" s="16" t="s">
        <v>253</v>
      </c>
      <c r="AI2" s="16" t="s">
        <v>262</v>
      </c>
      <c r="AJ2" s="16" t="s">
        <v>268</v>
      </c>
      <c r="AK2" s="16" t="s">
        <v>273</v>
      </c>
      <c r="AL2" s="16" t="s">
        <v>278</v>
      </c>
      <c r="AM2" s="16" t="s">
        <v>282</v>
      </c>
      <c r="AN2" s="16" t="s">
        <v>286</v>
      </c>
      <c r="AO2" s="16" t="s">
        <v>289</v>
      </c>
      <c r="AP2" s="16" t="s">
        <v>291</v>
      </c>
      <c r="AQ2" s="16" t="s">
        <v>293</v>
      </c>
      <c r="AR2" s="16" t="s">
        <v>295</v>
      </c>
    </row>
    <row r="3" spans="1:44">
      <c r="A3" s="4" t="s">
        <v>41</v>
      </c>
      <c r="B3" s="4" t="s">
        <v>42</v>
      </c>
      <c r="C3" s="17" t="s">
        <v>257</v>
      </c>
      <c r="D3" s="17" t="s">
        <v>248</v>
      </c>
      <c r="E3" s="17" t="s">
        <v>248</v>
      </c>
      <c r="F3" s="17" t="s">
        <v>248</v>
      </c>
      <c r="G3" s="17" t="s">
        <v>257</v>
      </c>
      <c r="H3" s="17" t="s">
        <v>257</v>
      </c>
      <c r="I3" s="17" t="s">
        <v>248</v>
      </c>
      <c r="J3" s="17" t="s">
        <v>248</v>
      </c>
      <c r="K3" s="17" t="s">
        <v>248</v>
      </c>
      <c r="L3" s="17" t="s">
        <v>248</v>
      </c>
      <c r="M3" s="17" t="s">
        <v>248</v>
      </c>
      <c r="N3" s="17" t="s">
        <v>248</v>
      </c>
      <c r="O3" s="17" t="s">
        <v>257</v>
      </c>
      <c r="P3" s="17" t="s">
        <v>248</v>
      </c>
      <c r="Q3" s="17" t="s">
        <v>248</v>
      </c>
      <c r="R3" s="17" t="s">
        <v>248</v>
      </c>
      <c r="S3" s="17" t="s">
        <v>248</v>
      </c>
      <c r="T3" s="17" t="s">
        <v>248</v>
      </c>
      <c r="U3" s="17" t="s">
        <v>257</v>
      </c>
      <c r="V3" s="17" t="s">
        <v>248</v>
      </c>
      <c r="W3" s="17" t="s">
        <v>248</v>
      </c>
      <c r="X3" s="17" t="s">
        <v>248</v>
      </c>
      <c r="Y3" s="17" t="s">
        <v>248</v>
      </c>
      <c r="Z3" s="17" t="s">
        <v>248</v>
      </c>
      <c r="AA3" s="17" t="s">
        <v>257</v>
      </c>
      <c r="AB3" s="17" t="s">
        <v>257</v>
      </c>
      <c r="AC3" s="17" t="s">
        <v>248</v>
      </c>
      <c r="AD3" s="17" t="s">
        <v>248</v>
      </c>
      <c r="AE3" s="17" t="s">
        <v>248</v>
      </c>
      <c r="AF3" s="17" t="s">
        <v>248</v>
      </c>
      <c r="AG3" s="17" t="s">
        <v>248</v>
      </c>
      <c r="AH3" s="17" t="s">
        <v>248</v>
      </c>
      <c r="AI3" s="17" t="s">
        <v>248</v>
      </c>
      <c r="AJ3" s="17" t="s">
        <v>248</v>
      </c>
      <c r="AK3" s="17" t="s">
        <v>257</v>
      </c>
      <c r="AL3" s="17" t="s">
        <v>257</v>
      </c>
      <c r="AM3" s="17" t="s">
        <v>248</v>
      </c>
      <c r="AN3" s="17" t="s">
        <v>248</v>
      </c>
      <c r="AO3" s="17" t="s">
        <v>248</v>
      </c>
      <c r="AP3" s="17" t="s">
        <v>248</v>
      </c>
      <c r="AQ3" s="17" t="s">
        <v>248</v>
      </c>
      <c r="AR3" s="17" t="s">
        <v>248</v>
      </c>
    </row>
    <row r="4" spans="1:44">
      <c r="A4" s="4" t="s">
        <v>51</v>
      </c>
      <c r="B4" s="4" t="s">
        <v>52</v>
      </c>
      <c r="C4" s="17" t="s">
        <v>257</v>
      </c>
      <c r="D4" s="17" t="s">
        <v>248</v>
      </c>
      <c r="E4" s="17" t="s">
        <v>248</v>
      </c>
      <c r="F4" s="17" t="s">
        <v>248</v>
      </c>
      <c r="G4" s="17" t="s">
        <v>257</v>
      </c>
      <c r="H4" s="17" t="s">
        <v>257</v>
      </c>
      <c r="I4" s="17" t="s">
        <v>248</v>
      </c>
      <c r="J4" s="17" t="s">
        <v>248</v>
      </c>
      <c r="K4" s="17" t="s">
        <v>248</v>
      </c>
      <c r="L4" s="17" t="s">
        <v>248</v>
      </c>
      <c r="M4" s="17" t="s">
        <v>257</v>
      </c>
      <c r="N4" s="17" t="s">
        <v>248</v>
      </c>
      <c r="O4" s="17" t="s">
        <v>248</v>
      </c>
      <c r="P4" s="17" t="s">
        <v>257</v>
      </c>
      <c r="Q4" s="17" t="s">
        <v>257</v>
      </c>
      <c r="R4" s="17" t="s">
        <v>248</v>
      </c>
      <c r="S4" s="17" t="s">
        <v>248</v>
      </c>
      <c r="T4" s="17" t="s">
        <v>248</v>
      </c>
      <c r="U4" s="17" t="s">
        <v>248</v>
      </c>
      <c r="V4" s="17" t="s">
        <v>248</v>
      </c>
      <c r="W4" s="17" t="s">
        <v>248</v>
      </c>
      <c r="X4" s="17" t="s">
        <v>248</v>
      </c>
      <c r="Y4" s="17" t="s">
        <v>248</v>
      </c>
      <c r="Z4" s="17" t="s">
        <v>257</v>
      </c>
      <c r="AA4" s="17" t="s">
        <v>257</v>
      </c>
      <c r="AB4" s="17" t="s">
        <v>257</v>
      </c>
      <c r="AC4" s="17" t="s">
        <v>248</v>
      </c>
      <c r="AD4" s="17" t="s">
        <v>248</v>
      </c>
      <c r="AE4" s="17" t="s">
        <v>248</v>
      </c>
      <c r="AF4" s="17" t="s">
        <v>248</v>
      </c>
      <c r="AG4" s="17" t="s">
        <v>248</v>
      </c>
      <c r="AH4" s="17" t="s">
        <v>248</v>
      </c>
      <c r="AI4" s="17" t="s">
        <v>248</v>
      </c>
      <c r="AJ4" s="17" t="s">
        <v>257</v>
      </c>
      <c r="AK4" s="17" t="s">
        <v>248</v>
      </c>
      <c r="AL4" s="17" t="s">
        <v>248</v>
      </c>
      <c r="AM4" s="17" t="s">
        <v>248</v>
      </c>
      <c r="AN4" s="17" t="s">
        <v>248</v>
      </c>
      <c r="AO4" s="17" t="s">
        <v>248</v>
      </c>
      <c r="AP4" s="17" t="s">
        <v>248</v>
      </c>
      <c r="AQ4" s="17" t="s">
        <v>248</v>
      </c>
      <c r="AR4" s="17" t="s">
        <v>248</v>
      </c>
    </row>
    <row r="5" spans="1:44">
      <c r="A5" s="4" t="s">
        <v>61</v>
      </c>
      <c r="B5" s="4" t="s">
        <v>62</v>
      </c>
      <c r="C5" s="17" t="s">
        <v>257</v>
      </c>
      <c r="D5" s="17" t="s">
        <v>248</v>
      </c>
      <c r="E5" s="17" t="s">
        <v>248</v>
      </c>
      <c r="F5" s="17" t="s">
        <v>248</v>
      </c>
      <c r="G5" s="17" t="s">
        <v>257</v>
      </c>
      <c r="H5" s="17" t="s">
        <v>257</v>
      </c>
      <c r="I5" s="17" t="s">
        <v>248</v>
      </c>
      <c r="J5" s="17" t="s">
        <v>248</v>
      </c>
      <c r="K5" s="17" t="s">
        <v>248</v>
      </c>
      <c r="L5" s="17" t="s">
        <v>248</v>
      </c>
      <c r="M5" s="17" t="s">
        <v>248</v>
      </c>
      <c r="N5" s="17" t="s">
        <v>248</v>
      </c>
      <c r="O5" s="17" t="s">
        <v>257</v>
      </c>
      <c r="P5" s="17" t="s">
        <v>257</v>
      </c>
      <c r="Q5" s="17" t="s">
        <v>248</v>
      </c>
      <c r="R5" s="17" t="s">
        <v>257</v>
      </c>
      <c r="S5" s="17" t="s">
        <v>248</v>
      </c>
      <c r="T5" s="17" t="s">
        <v>248</v>
      </c>
      <c r="U5" s="17" t="s">
        <v>248</v>
      </c>
      <c r="V5" s="17" t="s">
        <v>248</v>
      </c>
      <c r="W5" s="17" t="s">
        <v>248</v>
      </c>
      <c r="X5" s="17" t="s">
        <v>248</v>
      </c>
      <c r="Y5" s="17" t="s">
        <v>248</v>
      </c>
      <c r="Z5" s="17" t="s">
        <v>257</v>
      </c>
      <c r="AA5" s="17" t="s">
        <v>257</v>
      </c>
      <c r="AB5" s="17" t="s">
        <v>257</v>
      </c>
      <c r="AC5" s="17" t="s">
        <v>248</v>
      </c>
      <c r="AD5" s="17" t="s">
        <v>248</v>
      </c>
      <c r="AE5" s="17" t="s">
        <v>248</v>
      </c>
      <c r="AF5" s="17" t="s">
        <v>248</v>
      </c>
      <c r="AG5" s="17" t="s">
        <v>248</v>
      </c>
      <c r="AH5" s="17" t="s">
        <v>248</v>
      </c>
      <c r="AI5" s="17" t="s">
        <v>248</v>
      </c>
      <c r="AJ5" s="17" t="s">
        <v>248</v>
      </c>
      <c r="AK5" s="17" t="s">
        <v>257</v>
      </c>
      <c r="AL5" s="17" t="s">
        <v>248</v>
      </c>
      <c r="AM5" s="17" t="s">
        <v>248</v>
      </c>
      <c r="AN5" s="17" t="s">
        <v>248</v>
      </c>
      <c r="AO5" s="17" t="s">
        <v>248</v>
      </c>
      <c r="AP5" s="17" t="s">
        <v>248</v>
      </c>
      <c r="AQ5" s="17" t="s">
        <v>248</v>
      </c>
      <c r="AR5" s="17" t="s">
        <v>248</v>
      </c>
    </row>
    <row r="6" spans="1:44">
      <c r="A6" s="4" t="s">
        <v>71</v>
      </c>
      <c r="B6" s="4" t="s">
        <v>72</v>
      </c>
      <c r="C6" s="17" t="s">
        <v>257</v>
      </c>
      <c r="D6" s="17" t="s">
        <v>248</v>
      </c>
      <c r="E6" s="17" t="s">
        <v>248</v>
      </c>
      <c r="F6" s="17" t="s">
        <v>248</v>
      </c>
      <c r="G6" s="17" t="s">
        <v>257</v>
      </c>
      <c r="H6" s="17" t="s">
        <v>257</v>
      </c>
      <c r="I6" s="17" t="s">
        <v>248</v>
      </c>
      <c r="J6" s="17" t="s">
        <v>248</v>
      </c>
      <c r="K6" s="17" t="s">
        <v>248</v>
      </c>
      <c r="L6" s="17" t="s">
        <v>248</v>
      </c>
      <c r="M6" s="17" t="s">
        <v>248</v>
      </c>
      <c r="N6" s="17" t="s">
        <v>248</v>
      </c>
      <c r="O6" s="17" t="s">
        <v>248</v>
      </c>
      <c r="P6" s="17" t="s">
        <v>257</v>
      </c>
      <c r="Q6" s="17" t="s">
        <v>248</v>
      </c>
      <c r="R6" s="17" t="s">
        <v>257</v>
      </c>
      <c r="S6" s="17" t="s">
        <v>248</v>
      </c>
      <c r="T6" s="17" t="s">
        <v>248</v>
      </c>
      <c r="U6" s="17" t="s">
        <v>248</v>
      </c>
      <c r="V6" s="17" t="s">
        <v>248</v>
      </c>
      <c r="W6" s="17" t="s">
        <v>248</v>
      </c>
      <c r="X6" s="17" t="s">
        <v>248</v>
      </c>
      <c r="Y6" s="17" t="s">
        <v>248</v>
      </c>
      <c r="Z6" s="17" t="s">
        <v>257</v>
      </c>
      <c r="AA6" s="17" t="s">
        <v>257</v>
      </c>
      <c r="AB6" s="17" t="s">
        <v>257</v>
      </c>
      <c r="AC6" s="17" t="s">
        <v>248</v>
      </c>
      <c r="AD6" s="17" t="s">
        <v>248</v>
      </c>
      <c r="AE6" s="17" t="s">
        <v>248</v>
      </c>
      <c r="AF6" s="17" t="s">
        <v>248</v>
      </c>
      <c r="AG6" s="17" t="s">
        <v>248</v>
      </c>
      <c r="AH6" s="17" t="s">
        <v>248</v>
      </c>
      <c r="AI6" s="17" t="s">
        <v>248</v>
      </c>
      <c r="AJ6" s="17" t="s">
        <v>248</v>
      </c>
      <c r="AK6" s="17" t="s">
        <v>257</v>
      </c>
      <c r="AL6" s="17" t="s">
        <v>248</v>
      </c>
      <c r="AM6" s="17" t="s">
        <v>248</v>
      </c>
      <c r="AN6" s="17" t="s">
        <v>248</v>
      </c>
      <c r="AO6" s="17" t="s">
        <v>257</v>
      </c>
      <c r="AP6" s="17" t="s">
        <v>248</v>
      </c>
      <c r="AQ6" s="17" t="s">
        <v>248</v>
      </c>
      <c r="AR6" s="17" t="s">
        <v>248</v>
      </c>
    </row>
    <row r="7" spans="1:44">
      <c r="A7" s="4" t="s">
        <v>79</v>
      </c>
      <c r="B7" s="4" t="s">
        <v>80</v>
      </c>
      <c r="C7" s="17" t="s">
        <v>257</v>
      </c>
      <c r="D7" s="17" t="s">
        <v>248</v>
      </c>
      <c r="E7" s="17" t="s">
        <v>248</v>
      </c>
      <c r="F7" s="17" t="s">
        <v>248</v>
      </c>
      <c r="G7" s="17" t="s">
        <v>257</v>
      </c>
      <c r="H7" s="17" t="s">
        <v>257</v>
      </c>
      <c r="I7" s="17" t="s">
        <v>248</v>
      </c>
      <c r="J7" s="17" t="s">
        <v>248</v>
      </c>
      <c r="K7" s="17" t="s">
        <v>248</v>
      </c>
      <c r="L7" s="17" t="s">
        <v>248</v>
      </c>
      <c r="M7" s="17" t="s">
        <v>248</v>
      </c>
      <c r="N7" s="17" t="s">
        <v>248</v>
      </c>
      <c r="O7" s="17" t="s">
        <v>248</v>
      </c>
      <c r="P7" s="17" t="s">
        <v>248</v>
      </c>
      <c r="Q7" s="17" t="s">
        <v>248</v>
      </c>
      <c r="R7" s="17" t="s">
        <v>257</v>
      </c>
      <c r="S7" s="17" t="s">
        <v>248</v>
      </c>
      <c r="T7" s="17" t="s">
        <v>248</v>
      </c>
      <c r="U7" s="17" t="s">
        <v>248</v>
      </c>
      <c r="V7" s="17" t="s">
        <v>248</v>
      </c>
      <c r="W7" s="17" t="s">
        <v>248</v>
      </c>
      <c r="X7" s="17" t="s">
        <v>248</v>
      </c>
      <c r="Y7" s="17" t="s">
        <v>248</v>
      </c>
      <c r="Z7" s="17" t="s">
        <v>257</v>
      </c>
      <c r="AA7" s="17" t="s">
        <v>257</v>
      </c>
      <c r="AB7" s="17" t="s">
        <v>257</v>
      </c>
      <c r="AC7" s="17" t="s">
        <v>248</v>
      </c>
      <c r="AD7" s="17" t="s">
        <v>248</v>
      </c>
      <c r="AE7" s="17" t="s">
        <v>248</v>
      </c>
      <c r="AF7" s="17" t="s">
        <v>248</v>
      </c>
      <c r="AG7" s="17" t="s">
        <v>248</v>
      </c>
      <c r="AH7" s="17" t="s">
        <v>248</v>
      </c>
      <c r="AI7" s="17" t="s">
        <v>248</v>
      </c>
      <c r="AJ7" s="17" t="s">
        <v>248</v>
      </c>
      <c r="AK7" s="17" t="s">
        <v>257</v>
      </c>
      <c r="AL7" s="17" t="s">
        <v>257</v>
      </c>
      <c r="AM7" s="17" t="s">
        <v>248</v>
      </c>
      <c r="AN7" s="17" t="s">
        <v>248</v>
      </c>
      <c r="AO7" s="17" t="s">
        <v>248</v>
      </c>
      <c r="AP7" s="17" t="s">
        <v>248</v>
      </c>
      <c r="AQ7" s="17" t="s">
        <v>248</v>
      </c>
      <c r="AR7" s="17" t="s">
        <v>248</v>
      </c>
    </row>
    <row r="8" spans="1:44">
      <c r="A8" s="4" t="s">
        <v>87</v>
      </c>
      <c r="B8" s="4" t="s">
        <v>88</v>
      </c>
      <c r="C8" s="17" t="s">
        <v>257</v>
      </c>
      <c r="D8" s="17" t="s">
        <v>248</v>
      </c>
      <c r="E8" s="17" t="s">
        <v>248</v>
      </c>
      <c r="F8" s="17" t="s">
        <v>248</v>
      </c>
      <c r="G8" s="17" t="s">
        <v>257</v>
      </c>
      <c r="H8" s="17" t="s">
        <v>257</v>
      </c>
      <c r="I8" s="17" t="s">
        <v>248</v>
      </c>
      <c r="J8" s="17" t="s">
        <v>248</v>
      </c>
      <c r="K8" s="17" t="s">
        <v>248</v>
      </c>
      <c r="L8" s="17" t="s">
        <v>248</v>
      </c>
      <c r="M8" s="17" t="s">
        <v>248</v>
      </c>
      <c r="N8" s="17" t="s">
        <v>248</v>
      </c>
      <c r="O8" s="17" t="s">
        <v>248</v>
      </c>
      <c r="P8" s="17" t="s">
        <v>257</v>
      </c>
      <c r="Q8" s="17" t="s">
        <v>248</v>
      </c>
      <c r="R8" s="17" t="s">
        <v>257</v>
      </c>
      <c r="S8" s="17" t="s">
        <v>248</v>
      </c>
      <c r="T8" s="17" t="s">
        <v>248</v>
      </c>
      <c r="U8" s="17" t="s">
        <v>248</v>
      </c>
      <c r="V8" s="17" t="s">
        <v>248</v>
      </c>
      <c r="W8" s="17" t="s">
        <v>248</v>
      </c>
      <c r="X8" s="17" t="s">
        <v>248</v>
      </c>
      <c r="Y8" s="17" t="s">
        <v>248</v>
      </c>
      <c r="Z8" s="17" t="s">
        <v>257</v>
      </c>
      <c r="AA8" s="17" t="s">
        <v>257</v>
      </c>
      <c r="AB8" s="17" t="s">
        <v>257</v>
      </c>
      <c r="AC8" s="17" t="s">
        <v>248</v>
      </c>
      <c r="AD8" s="17" t="s">
        <v>248</v>
      </c>
      <c r="AE8" s="17" t="s">
        <v>248</v>
      </c>
      <c r="AF8" s="17" t="s">
        <v>248</v>
      </c>
      <c r="AG8" s="17" t="s">
        <v>248</v>
      </c>
      <c r="AH8" s="17" t="s">
        <v>248</v>
      </c>
      <c r="AI8" s="17" t="s">
        <v>248</v>
      </c>
      <c r="AJ8" s="17" t="s">
        <v>257</v>
      </c>
      <c r="AK8" s="17" t="s">
        <v>248</v>
      </c>
      <c r="AL8" s="17" t="s">
        <v>248</v>
      </c>
      <c r="AM8" s="17" t="s">
        <v>248</v>
      </c>
      <c r="AN8" s="17" t="s">
        <v>248</v>
      </c>
      <c r="AO8" s="17" t="s">
        <v>248</v>
      </c>
      <c r="AP8" s="17" t="s">
        <v>248</v>
      </c>
      <c r="AQ8" s="17" t="s">
        <v>248</v>
      </c>
      <c r="AR8" s="17" t="s">
        <v>248</v>
      </c>
    </row>
    <row r="9" spans="1:44">
      <c r="A9" s="4" t="s">
        <v>94</v>
      </c>
      <c r="B9" s="4" t="s">
        <v>95</v>
      </c>
      <c r="C9" s="17" t="s">
        <v>248</v>
      </c>
      <c r="D9" s="17" t="s">
        <v>257</v>
      </c>
      <c r="E9" s="17" t="s">
        <v>248</v>
      </c>
      <c r="F9" s="17" t="s">
        <v>248</v>
      </c>
      <c r="G9" s="17" t="s">
        <v>257</v>
      </c>
      <c r="H9" s="17" t="s">
        <v>257</v>
      </c>
      <c r="I9" s="17" t="s">
        <v>248</v>
      </c>
      <c r="J9" s="17" t="s">
        <v>248</v>
      </c>
      <c r="K9" s="17" t="s">
        <v>248</v>
      </c>
      <c r="L9" s="17" t="s">
        <v>248</v>
      </c>
      <c r="M9" s="17" t="s">
        <v>248</v>
      </c>
      <c r="N9" s="17" t="s">
        <v>248</v>
      </c>
      <c r="O9" s="17" t="s">
        <v>248</v>
      </c>
      <c r="P9" s="17" t="s">
        <v>248</v>
      </c>
      <c r="Q9" s="17" t="s">
        <v>248</v>
      </c>
      <c r="R9" s="17" t="s">
        <v>257</v>
      </c>
      <c r="S9" s="17" t="s">
        <v>248</v>
      </c>
      <c r="T9" s="17" t="s">
        <v>248</v>
      </c>
      <c r="U9" s="17" t="s">
        <v>248</v>
      </c>
      <c r="V9" s="17" t="s">
        <v>248</v>
      </c>
      <c r="W9" s="17" t="s">
        <v>248</v>
      </c>
      <c r="X9" s="17" t="s">
        <v>248</v>
      </c>
      <c r="Y9" s="17" t="s">
        <v>248</v>
      </c>
      <c r="Z9" s="17" t="s">
        <v>257</v>
      </c>
      <c r="AA9" s="17" t="s">
        <v>257</v>
      </c>
      <c r="AB9" s="17" t="s">
        <v>257</v>
      </c>
      <c r="AC9" s="17" t="s">
        <v>248</v>
      </c>
      <c r="AD9" s="17" t="s">
        <v>248</v>
      </c>
      <c r="AE9" s="17" t="s">
        <v>248</v>
      </c>
      <c r="AF9" s="17" t="s">
        <v>248</v>
      </c>
      <c r="AG9" s="17" t="s">
        <v>248</v>
      </c>
      <c r="AH9" s="17" t="s">
        <v>257</v>
      </c>
      <c r="AI9" s="17" t="s">
        <v>248</v>
      </c>
      <c r="AJ9" s="17" t="s">
        <v>248</v>
      </c>
      <c r="AK9" s="17" t="s">
        <v>248</v>
      </c>
      <c r="AL9" s="17" t="s">
        <v>248</v>
      </c>
      <c r="AM9" s="17" t="s">
        <v>248</v>
      </c>
      <c r="AN9" s="17" t="s">
        <v>248</v>
      </c>
      <c r="AO9" s="17" t="s">
        <v>248</v>
      </c>
      <c r="AP9" s="17" t="s">
        <v>248</v>
      </c>
      <c r="AQ9" s="17" t="s">
        <v>248</v>
      </c>
      <c r="AR9" s="17" t="s">
        <v>248</v>
      </c>
    </row>
    <row r="10" spans="1:44">
      <c r="A10" s="4" t="s">
        <v>102</v>
      </c>
      <c r="B10" s="4" t="s">
        <v>103</v>
      </c>
      <c r="C10" s="17" t="s">
        <v>248</v>
      </c>
      <c r="D10" s="17" t="s">
        <v>257</v>
      </c>
      <c r="E10" s="17" t="s">
        <v>248</v>
      </c>
      <c r="F10" s="17" t="s">
        <v>248</v>
      </c>
      <c r="G10" s="17" t="s">
        <v>257</v>
      </c>
      <c r="H10" s="17" t="s">
        <v>257</v>
      </c>
      <c r="I10" s="17" t="s">
        <v>248</v>
      </c>
      <c r="J10" s="17" t="s">
        <v>248</v>
      </c>
      <c r="K10" s="17" t="s">
        <v>248</v>
      </c>
      <c r="L10" s="17" t="s">
        <v>248</v>
      </c>
      <c r="M10" s="17" t="s">
        <v>248</v>
      </c>
      <c r="N10" s="17" t="s">
        <v>248</v>
      </c>
      <c r="O10" s="17" t="s">
        <v>257</v>
      </c>
      <c r="P10" s="17" t="s">
        <v>257</v>
      </c>
      <c r="Q10" s="17" t="s">
        <v>248</v>
      </c>
      <c r="R10" s="17" t="s">
        <v>257</v>
      </c>
      <c r="S10" s="17" t="s">
        <v>248</v>
      </c>
      <c r="T10" s="17" t="s">
        <v>248</v>
      </c>
      <c r="U10" s="17" t="s">
        <v>248</v>
      </c>
      <c r="V10" s="17" t="s">
        <v>248</v>
      </c>
      <c r="W10" s="17" t="s">
        <v>248</v>
      </c>
      <c r="X10" s="17" t="s">
        <v>248</v>
      </c>
      <c r="Y10" s="17" t="s">
        <v>248</v>
      </c>
      <c r="Z10" s="17" t="s">
        <v>257</v>
      </c>
      <c r="AA10" s="17" t="s">
        <v>257</v>
      </c>
      <c r="AB10" s="17" t="s">
        <v>257</v>
      </c>
      <c r="AC10" s="17" t="s">
        <v>248</v>
      </c>
      <c r="AD10" s="17" t="s">
        <v>248</v>
      </c>
      <c r="AE10" s="17" t="s">
        <v>248</v>
      </c>
      <c r="AF10" s="17" t="s">
        <v>248</v>
      </c>
      <c r="AG10" s="17" t="s">
        <v>248</v>
      </c>
      <c r="AH10" s="17" t="s">
        <v>248</v>
      </c>
      <c r="AI10" s="17" t="s">
        <v>248</v>
      </c>
      <c r="AJ10" s="17" t="s">
        <v>248</v>
      </c>
      <c r="AK10" s="17" t="s">
        <v>257</v>
      </c>
      <c r="AL10" s="17" t="s">
        <v>257</v>
      </c>
      <c r="AM10" s="17" t="s">
        <v>248</v>
      </c>
      <c r="AN10" s="17" t="s">
        <v>248</v>
      </c>
      <c r="AO10" s="17" t="s">
        <v>248</v>
      </c>
      <c r="AP10" s="17" t="s">
        <v>248</v>
      </c>
      <c r="AQ10" s="17" t="s">
        <v>248</v>
      </c>
      <c r="AR10" s="17" t="s">
        <v>248</v>
      </c>
    </row>
    <row r="11" spans="1:44">
      <c r="A11" s="4" t="s">
        <v>110</v>
      </c>
      <c r="B11" s="4" t="s">
        <v>111</v>
      </c>
      <c r="C11" s="17" t="s">
        <v>248</v>
      </c>
      <c r="D11" s="17" t="s">
        <v>257</v>
      </c>
      <c r="E11" s="17" t="s">
        <v>248</v>
      </c>
      <c r="F11" s="17" t="s">
        <v>248</v>
      </c>
      <c r="G11" s="17" t="s">
        <v>257</v>
      </c>
      <c r="H11" s="17" t="s">
        <v>257</v>
      </c>
      <c r="I11" s="17" t="s">
        <v>248</v>
      </c>
      <c r="J11" s="17" t="s">
        <v>248</v>
      </c>
      <c r="K11" s="17" t="s">
        <v>248</v>
      </c>
      <c r="L11" s="17" t="s">
        <v>248</v>
      </c>
      <c r="M11" s="17" t="s">
        <v>257</v>
      </c>
      <c r="N11" s="17" t="s">
        <v>248</v>
      </c>
      <c r="O11" s="17" t="s">
        <v>248</v>
      </c>
      <c r="P11" s="17" t="s">
        <v>248</v>
      </c>
      <c r="Q11" s="17" t="s">
        <v>248</v>
      </c>
      <c r="R11" s="17" t="s">
        <v>257</v>
      </c>
      <c r="S11" s="17" t="s">
        <v>248</v>
      </c>
      <c r="T11" s="17" t="s">
        <v>248</v>
      </c>
      <c r="U11" s="17" t="s">
        <v>248</v>
      </c>
      <c r="V11" s="17" t="s">
        <v>248</v>
      </c>
      <c r="W11" s="17" t="s">
        <v>248</v>
      </c>
      <c r="X11" s="17" t="s">
        <v>248</v>
      </c>
      <c r="Y11" s="17" t="s">
        <v>248</v>
      </c>
      <c r="Z11" s="17" t="s">
        <v>257</v>
      </c>
      <c r="AA11" s="17" t="s">
        <v>257</v>
      </c>
      <c r="AB11" s="17" t="s">
        <v>257</v>
      </c>
      <c r="AC11" s="17" t="s">
        <v>248</v>
      </c>
      <c r="AD11" s="17" t="s">
        <v>248</v>
      </c>
      <c r="AE11" s="17" t="s">
        <v>248</v>
      </c>
      <c r="AF11" s="17" t="s">
        <v>248</v>
      </c>
      <c r="AG11" s="17" t="s">
        <v>248</v>
      </c>
      <c r="AH11" s="17" t="s">
        <v>248</v>
      </c>
      <c r="AI11" s="17" t="s">
        <v>248</v>
      </c>
      <c r="AJ11" s="17" t="s">
        <v>248</v>
      </c>
      <c r="AK11" s="17" t="s">
        <v>257</v>
      </c>
      <c r="AL11" s="17" t="s">
        <v>257</v>
      </c>
      <c r="AM11" s="17" t="s">
        <v>248</v>
      </c>
      <c r="AN11" s="17" t="s">
        <v>248</v>
      </c>
      <c r="AO11" s="17" t="s">
        <v>248</v>
      </c>
      <c r="AP11" s="17" t="s">
        <v>248</v>
      </c>
      <c r="AQ11" s="17" t="s">
        <v>248</v>
      </c>
      <c r="AR11" s="17" t="s">
        <v>248</v>
      </c>
    </row>
    <row r="12" spans="1:44">
      <c r="A12" s="4" t="s">
        <v>116</v>
      </c>
      <c r="B12" s="4" t="s">
        <v>117</v>
      </c>
      <c r="C12" s="17" t="s">
        <v>248</v>
      </c>
      <c r="D12" s="17" t="s">
        <v>257</v>
      </c>
      <c r="E12" s="17" t="s">
        <v>248</v>
      </c>
      <c r="F12" s="17" t="s">
        <v>248</v>
      </c>
      <c r="G12" s="17" t="s">
        <v>257</v>
      </c>
      <c r="H12" s="17" t="s">
        <v>257</v>
      </c>
      <c r="I12" s="17" t="s">
        <v>248</v>
      </c>
      <c r="J12" s="17" t="s">
        <v>248</v>
      </c>
      <c r="K12" s="17" t="s">
        <v>248</v>
      </c>
      <c r="L12" s="17" t="s">
        <v>248</v>
      </c>
      <c r="M12" s="17" t="s">
        <v>248</v>
      </c>
      <c r="N12" s="17" t="s">
        <v>248</v>
      </c>
      <c r="O12" s="17" t="s">
        <v>248</v>
      </c>
      <c r="P12" s="17" t="s">
        <v>257</v>
      </c>
      <c r="Q12" s="17" t="s">
        <v>248</v>
      </c>
      <c r="R12" s="17" t="s">
        <v>257</v>
      </c>
      <c r="S12" s="17" t="s">
        <v>248</v>
      </c>
      <c r="T12" s="17" t="s">
        <v>248</v>
      </c>
      <c r="U12" s="17" t="s">
        <v>248</v>
      </c>
      <c r="V12" s="17" t="s">
        <v>248</v>
      </c>
      <c r="W12" s="17" t="s">
        <v>248</v>
      </c>
      <c r="X12" s="17" t="s">
        <v>248</v>
      </c>
      <c r="Y12" s="17" t="s">
        <v>248</v>
      </c>
      <c r="Z12" s="17" t="s">
        <v>257</v>
      </c>
      <c r="AA12" s="17" t="s">
        <v>257</v>
      </c>
      <c r="AB12" s="17" t="s">
        <v>257</v>
      </c>
      <c r="AC12" s="17" t="s">
        <v>248</v>
      </c>
      <c r="AD12" s="17" t="s">
        <v>248</v>
      </c>
      <c r="AE12" s="17" t="s">
        <v>248</v>
      </c>
      <c r="AF12" s="17" t="s">
        <v>248</v>
      </c>
      <c r="AG12" s="17" t="s">
        <v>248</v>
      </c>
      <c r="AH12" s="17" t="s">
        <v>248</v>
      </c>
      <c r="AI12" s="17" t="s">
        <v>248</v>
      </c>
      <c r="AJ12" s="17" t="s">
        <v>248</v>
      </c>
      <c r="AK12" s="17" t="s">
        <v>257</v>
      </c>
      <c r="AL12" s="17" t="s">
        <v>257</v>
      </c>
      <c r="AM12" s="17" t="s">
        <v>248</v>
      </c>
      <c r="AN12" s="17" t="s">
        <v>248</v>
      </c>
      <c r="AO12" s="17" t="s">
        <v>248</v>
      </c>
      <c r="AP12" s="17" t="s">
        <v>248</v>
      </c>
      <c r="AQ12" s="17" t="s">
        <v>248</v>
      </c>
      <c r="AR12" s="17" t="s">
        <v>248</v>
      </c>
    </row>
    <row r="13" spans="1:44">
      <c r="A13" s="4" t="s">
        <v>124</v>
      </c>
      <c r="B13" s="4" t="s">
        <v>125</v>
      </c>
      <c r="C13" s="17" t="s">
        <v>248</v>
      </c>
      <c r="D13" s="17" t="s">
        <v>257</v>
      </c>
      <c r="E13" s="17" t="s">
        <v>248</v>
      </c>
      <c r="F13" s="17" t="s">
        <v>248</v>
      </c>
      <c r="G13" s="17" t="s">
        <v>257</v>
      </c>
      <c r="H13" s="17" t="s">
        <v>257</v>
      </c>
      <c r="I13" s="17" t="s">
        <v>248</v>
      </c>
      <c r="J13" s="17" t="s">
        <v>248</v>
      </c>
      <c r="K13" s="17" t="s">
        <v>248</v>
      </c>
      <c r="L13" s="17" t="s">
        <v>248</v>
      </c>
      <c r="M13" s="17" t="s">
        <v>248</v>
      </c>
      <c r="N13" s="17" t="s">
        <v>248</v>
      </c>
      <c r="O13" s="17" t="s">
        <v>257</v>
      </c>
      <c r="P13" s="17" t="s">
        <v>248</v>
      </c>
      <c r="Q13" s="17" t="s">
        <v>248</v>
      </c>
      <c r="R13" s="17" t="s">
        <v>257</v>
      </c>
      <c r="S13" s="17" t="s">
        <v>257</v>
      </c>
      <c r="T13" s="17" t="s">
        <v>248</v>
      </c>
      <c r="U13" s="17" t="s">
        <v>248</v>
      </c>
      <c r="V13" s="17" t="s">
        <v>248</v>
      </c>
      <c r="W13" s="17" t="s">
        <v>248</v>
      </c>
      <c r="X13" s="17" t="s">
        <v>248</v>
      </c>
      <c r="Y13" s="17" t="s">
        <v>248</v>
      </c>
      <c r="Z13" s="17" t="s">
        <v>257</v>
      </c>
      <c r="AA13" s="17" t="s">
        <v>257</v>
      </c>
      <c r="AB13" s="17" t="s">
        <v>257</v>
      </c>
      <c r="AC13" s="17" t="s">
        <v>248</v>
      </c>
      <c r="AD13" s="17" t="s">
        <v>248</v>
      </c>
      <c r="AE13" s="17" t="s">
        <v>248</v>
      </c>
      <c r="AF13" s="17" t="s">
        <v>248</v>
      </c>
      <c r="AG13" s="17" t="s">
        <v>248</v>
      </c>
      <c r="AH13" s="17" t="s">
        <v>248</v>
      </c>
      <c r="AI13" s="17" t="s">
        <v>248</v>
      </c>
      <c r="AJ13" s="17" t="s">
        <v>248</v>
      </c>
      <c r="AK13" s="17" t="s">
        <v>257</v>
      </c>
      <c r="AL13" s="17" t="s">
        <v>257</v>
      </c>
      <c r="AM13" s="17" t="s">
        <v>248</v>
      </c>
      <c r="AN13" s="17" t="s">
        <v>248</v>
      </c>
      <c r="AO13" s="17" t="s">
        <v>248</v>
      </c>
      <c r="AP13" s="17" t="s">
        <v>248</v>
      </c>
      <c r="AQ13" s="17" t="s">
        <v>248</v>
      </c>
      <c r="AR13" s="17" t="s">
        <v>248</v>
      </c>
    </row>
    <row r="14" spans="1:44">
      <c r="A14" s="4" t="s">
        <v>131</v>
      </c>
      <c r="B14" s="4" t="s">
        <v>132</v>
      </c>
      <c r="C14" s="17" t="s">
        <v>248</v>
      </c>
      <c r="D14" s="17" t="s">
        <v>257</v>
      </c>
      <c r="E14" s="17" t="s">
        <v>248</v>
      </c>
      <c r="F14" s="17" t="s">
        <v>248</v>
      </c>
      <c r="G14" s="17" t="s">
        <v>257</v>
      </c>
      <c r="H14" s="17" t="s">
        <v>257</v>
      </c>
      <c r="I14" s="17" t="s">
        <v>248</v>
      </c>
      <c r="J14" s="17" t="s">
        <v>248</v>
      </c>
      <c r="K14" s="17" t="s">
        <v>248</v>
      </c>
      <c r="L14" s="17" t="s">
        <v>248</v>
      </c>
      <c r="M14" s="17" t="s">
        <v>248</v>
      </c>
      <c r="N14" s="17" t="s">
        <v>248</v>
      </c>
      <c r="O14" s="17" t="s">
        <v>248</v>
      </c>
      <c r="P14" s="17" t="s">
        <v>257</v>
      </c>
      <c r="Q14" s="17" t="s">
        <v>248</v>
      </c>
      <c r="R14" s="17" t="s">
        <v>257</v>
      </c>
      <c r="S14" s="17" t="s">
        <v>257</v>
      </c>
      <c r="T14" s="17" t="s">
        <v>248</v>
      </c>
      <c r="U14" s="17" t="s">
        <v>248</v>
      </c>
      <c r="V14" s="17" t="s">
        <v>248</v>
      </c>
      <c r="W14" s="17" t="s">
        <v>248</v>
      </c>
      <c r="X14" s="17" t="s">
        <v>248</v>
      </c>
      <c r="Y14" s="17" t="s">
        <v>248</v>
      </c>
      <c r="Z14" s="17" t="s">
        <v>257</v>
      </c>
      <c r="AA14" s="17" t="s">
        <v>257</v>
      </c>
      <c r="AB14" s="17" t="s">
        <v>257</v>
      </c>
      <c r="AC14" s="17" t="s">
        <v>248</v>
      </c>
      <c r="AD14" s="17" t="s">
        <v>248</v>
      </c>
      <c r="AE14" s="17" t="s">
        <v>248</v>
      </c>
      <c r="AF14" s="17" t="s">
        <v>248</v>
      </c>
      <c r="AG14" s="17" t="s">
        <v>248</v>
      </c>
      <c r="AH14" s="17" t="s">
        <v>248</v>
      </c>
      <c r="AI14" s="17" t="s">
        <v>248</v>
      </c>
      <c r="AJ14" s="17" t="s">
        <v>248</v>
      </c>
      <c r="AK14" s="17" t="s">
        <v>257</v>
      </c>
      <c r="AL14" s="17" t="s">
        <v>257</v>
      </c>
      <c r="AM14" s="17" t="s">
        <v>248</v>
      </c>
      <c r="AN14" s="17" t="s">
        <v>248</v>
      </c>
      <c r="AO14" s="17" t="s">
        <v>248</v>
      </c>
      <c r="AP14" s="17" t="s">
        <v>248</v>
      </c>
      <c r="AQ14" s="17" t="s">
        <v>248</v>
      </c>
      <c r="AR14" s="17" t="s">
        <v>248</v>
      </c>
    </row>
    <row r="15" spans="1:44">
      <c r="A15" s="4" t="s">
        <v>138</v>
      </c>
      <c r="B15" s="4" t="s">
        <v>139</v>
      </c>
      <c r="C15" s="17" t="s">
        <v>248</v>
      </c>
      <c r="D15" s="17" t="s">
        <v>248</v>
      </c>
      <c r="E15" s="17" t="s">
        <v>257</v>
      </c>
      <c r="F15" s="17" t="s">
        <v>248</v>
      </c>
      <c r="G15" s="17" t="s">
        <v>248</v>
      </c>
      <c r="H15" s="17" t="s">
        <v>248</v>
      </c>
      <c r="I15" s="17" t="s">
        <v>257</v>
      </c>
      <c r="J15" s="17" t="s">
        <v>248</v>
      </c>
      <c r="K15" s="17" t="s">
        <v>248</v>
      </c>
      <c r="L15" s="17" t="s">
        <v>248</v>
      </c>
      <c r="M15" s="17" t="s">
        <v>248</v>
      </c>
      <c r="N15" s="17" t="s">
        <v>248</v>
      </c>
      <c r="O15" s="17" t="s">
        <v>248</v>
      </c>
      <c r="P15" s="17" t="s">
        <v>248</v>
      </c>
      <c r="Q15" s="17" t="s">
        <v>248</v>
      </c>
      <c r="R15" s="17" t="s">
        <v>248</v>
      </c>
      <c r="S15" s="17" t="s">
        <v>248</v>
      </c>
      <c r="T15" s="17" t="s">
        <v>248</v>
      </c>
      <c r="U15" s="17" t="s">
        <v>248</v>
      </c>
      <c r="V15" s="17" t="s">
        <v>257</v>
      </c>
      <c r="W15" s="17" t="s">
        <v>248</v>
      </c>
      <c r="X15" s="17" t="s">
        <v>257</v>
      </c>
      <c r="Y15" s="17" t="s">
        <v>257</v>
      </c>
      <c r="Z15" s="17" t="s">
        <v>257</v>
      </c>
      <c r="AA15" s="17" t="s">
        <v>257</v>
      </c>
      <c r="AB15" s="17" t="s">
        <v>257</v>
      </c>
      <c r="AC15" s="17" t="s">
        <v>248</v>
      </c>
      <c r="AD15" s="17" t="s">
        <v>248</v>
      </c>
      <c r="AE15" s="17" t="s">
        <v>248</v>
      </c>
      <c r="AF15" s="17" t="s">
        <v>248</v>
      </c>
      <c r="AG15" s="17" t="s">
        <v>248</v>
      </c>
      <c r="AH15" s="17" t="s">
        <v>248</v>
      </c>
      <c r="AI15" s="17" t="s">
        <v>248</v>
      </c>
      <c r="AJ15" s="17" t="s">
        <v>248</v>
      </c>
      <c r="AK15" s="17" t="s">
        <v>248</v>
      </c>
      <c r="AL15" s="17" t="s">
        <v>248</v>
      </c>
      <c r="AM15" s="17" t="s">
        <v>257</v>
      </c>
      <c r="AN15" s="17" t="s">
        <v>248</v>
      </c>
      <c r="AO15" s="17" t="s">
        <v>248</v>
      </c>
      <c r="AP15" s="17" t="s">
        <v>248</v>
      </c>
      <c r="AQ15" s="17" t="s">
        <v>248</v>
      </c>
      <c r="AR15" s="17" t="s">
        <v>248</v>
      </c>
    </row>
    <row r="16" spans="1:44">
      <c r="A16" s="4" t="s">
        <v>146</v>
      </c>
      <c r="B16" s="4" t="s">
        <v>147</v>
      </c>
      <c r="C16" s="17" t="s">
        <v>248</v>
      </c>
      <c r="D16" s="17" t="s">
        <v>248</v>
      </c>
      <c r="E16" s="17" t="s">
        <v>257</v>
      </c>
      <c r="F16" s="17" t="s">
        <v>248</v>
      </c>
      <c r="G16" s="17" t="s">
        <v>248</v>
      </c>
      <c r="H16" s="17" t="s">
        <v>248</v>
      </c>
      <c r="I16" s="17" t="s">
        <v>257</v>
      </c>
      <c r="J16" s="17" t="s">
        <v>248</v>
      </c>
      <c r="K16" s="17" t="s">
        <v>248</v>
      </c>
      <c r="L16" s="17" t="s">
        <v>248</v>
      </c>
      <c r="M16" s="17" t="s">
        <v>248</v>
      </c>
      <c r="N16" s="17" t="s">
        <v>248</v>
      </c>
      <c r="O16" s="17" t="s">
        <v>248</v>
      </c>
      <c r="P16" s="17" t="s">
        <v>248</v>
      </c>
      <c r="Q16" s="17" t="s">
        <v>248</v>
      </c>
      <c r="R16" s="17" t="s">
        <v>248</v>
      </c>
      <c r="S16" s="17" t="s">
        <v>248</v>
      </c>
      <c r="T16" s="17" t="s">
        <v>248</v>
      </c>
      <c r="U16" s="17" t="s">
        <v>248</v>
      </c>
      <c r="V16" s="17" t="s">
        <v>248</v>
      </c>
      <c r="W16" s="17" t="s">
        <v>248</v>
      </c>
      <c r="X16" s="17" t="s">
        <v>257</v>
      </c>
      <c r="Y16" s="17" t="s">
        <v>257</v>
      </c>
      <c r="Z16" s="17" t="s">
        <v>248</v>
      </c>
      <c r="AA16" s="17" t="s">
        <v>257</v>
      </c>
      <c r="AB16" s="17" t="s">
        <v>248</v>
      </c>
      <c r="AC16" s="17" t="s">
        <v>248</v>
      </c>
      <c r="AD16" s="17" t="s">
        <v>248</v>
      </c>
      <c r="AE16" s="17" t="s">
        <v>248</v>
      </c>
      <c r="AF16" s="17" t="s">
        <v>248</v>
      </c>
      <c r="AG16" s="17" t="s">
        <v>248</v>
      </c>
      <c r="AH16" s="17" t="s">
        <v>248</v>
      </c>
      <c r="AI16" s="17" t="s">
        <v>248</v>
      </c>
      <c r="AJ16" s="17" t="s">
        <v>248</v>
      </c>
      <c r="AK16" s="17" t="s">
        <v>248</v>
      </c>
      <c r="AL16" s="17" t="s">
        <v>248</v>
      </c>
      <c r="AM16" s="17" t="s">
        <v>248</v>
      </c>
      <c r="AN16" s="17" t="s">
        <v>257</v>
      </c>
      <c r="AO16" s="17" t="s">
        <v>248</v>
      </c>
      <c r="AP16" s="17" t="s">
        <v>248</v>
      </c>
      <c r="AQ16" s="17" t="s">
        <v>248</v>
      </c>
      <c r="AR16" s="17" t="s">
        <v>248</v>
      </c>
    </row>
    <row r="17" spans="1:44">
      <c r="A17" s="4" t="s">
        <v>153</v>
      </c>
      <c r="B17" s="4" t="s">
        <v>154</v>
      </c>
      <c r="C17" s="17" t="s">
        <v>248</v>
      </c>
      <c r="D17" s="17" t="s">
        <v>248</v>
      </c>
      <c r="E17" s="17" t="s">
        <v>257</v>
      </c>
      <c r="F17" s="17" t="s">
        <v>248</v>
      </c>
      <c r="G17" s="17" t="s">
        <v>257</v>
      </c>
      <c r="H17" s="17" t="s">
        <v>248</v>
      </c>
      <c r="I17" s="17" t="s">
        <v>257</v>
      </c>
      <c r="J17" s="17" t="s">
        <v>248</v>
      </c>
      <c r="K17" s="17" t="s">
        <v>248</v>
      </c>
      <c r="L17" s="17" t="s">
        <v>248</v>
      </c>
      <c r="M17" s="17" t="s">
        <v>248</v>
      </c>
      <c r="N17" s="17" t="s">
        <v>257</v>
      </c>
      <c r="O17" s="17" t="s">
        <v>248</v>
      </c>
      <c r="P17" s="17" t="s">
        <v>248</v>
      </c>
      <c r="Q17" s="17" t="s">
        <v>248</v>
      </c>
      <c r="R17" s="17" t="s">
        <v>248</v>
      </c>
      <c r="S17" s="17" t="s">
        <v>248</v>
      </c>
      <c r="T17" s="17" t="s">
        <v>248</v>
      </c>
      <c r="U17" s="17" t="s">
        <v>248</v>
      </c>
      <c r="V17" s="17" t="s">
        <v>257</v>
      </c>
      <c r="W17" s="17" t="s">
        <v>248</v>
      </c>
      <c r="X17" s="17" t="s">
        <v>248</v>
      </c>
      <c r="Y17" s="17" t="s">
        <v>257</v>
      </c>
      <c r="Z17" s="17" t="s">
        <v>257</v>
      </c>
      <c r="AA17" s="17" t="s">
        <v>257</v>
      </c>
      <c r="AB17" s="17" t="s">
        <v>257</v>
      </c>
      <c r="AC17" s="17" t="s">
        <v>257</v>
      </c>
      <c r="AD17" s="17" t="s">
        <v>248</v>
      </c>
      <c r="AE17" s="17" t="s">
        <v>248</v>
      </c>
      <c r="AF17" s="17" t="s">
        <v>248</v>
      </c>
      <c r="AG17" s="17" t="s">
        <v>248</v>
      </c>
      <c r="AH17" s="17" t="s">
        <v>248</v>
      </c>
      <c r="AI17" s="17" t="s">
        <v>248</v>
      </c>
      <c r="AJ17" s="17" t="s">
        <v>248</v>
      </c>
      <c r="AK17" s="17" t="s">
        <v>248</v>
      </c>
      <c r="AL17" s="17" t="s">
        <v>248</v>
      </c>
      <c r="AM17" s="17" t="s">
        <v>257</v>
      </c>
      <c r="AN17" s="17" t="s">
        <v>257</v>
      </c>
      <c r="AO17" s="17" t="s">
        <v>257</v>
      </c>
      <c r="AP17" s="17" t="s">
        <v>248</v>
      </c>
      <c r="AQ17" s="17" t="s">
        <v>248</v>
      </c>
      <c r="AR17" s="17" t="s">
        <v>248</v>
      </c>
    </row>
    <row r="18" spans="1:44">
      <c r="A18" s="4" t="s">
        <v>160</v>
      </c>
      <c r="B18" s="4" t="s">
        <v>161</v>
      </c>
      <c r="C18" s="17" t="s">
        <v>248</v>
      </c>
      <c r="D18" s="17" t="s">
        <v>248</v>
      </c>
      <c r="E18" s="17" t="s">
        <v>257</v>
      </c>
      <c r="F18" s="17" t="s">
        <v>248</v>
      </c>
      <c r="G18" s="17" t="s">
        <v>257</v>
      </c>
      <c r="H18" s="17" t="s">
        <v>248</v>
      </c>
      <c r="I18" s="17" t="s">
        <v>257</v>
      </c>
      <c r="J18" s="17" t="s">
        <v>248</v>
      </c>
      <c r="K18" s="17" t="s">
        <v>248</v>
      </c>
      <c r="L18" s="17" t="s">
        <v>248</v>
      </c>
      <c r="M18" s="17" t="s">
        <v>248</v>
      </c>
      <c r="N18" s="17" t="s">
        <v>248</v>
      </c>
      <c r="O18" s="17" t="s">
        <v>257</v>
      </c>
      <c r="P18" s="17" t="s">
        <v>248</v>
      </c>
      <c r="Q18" s="17" t="s">
        <v>248</v>
      </c>
      <c r="R18" s="17" t="s">
        <v>248</v>
      </c>
      <c r="S18" s="17" t="s">
        <v>257</v>
      </c>
      <c r="T18" s="17" t="s">
        <v>248</v>
      </c>
      <c r="U18" s="17" t="s">
        <v>248</v>
      </c>
      <c r="V18" s="17" t="s">
        <v>248</v>
      </c>
      <c r="W18" s="17" t="s">
        <v>248</v>
      </c>
      <c r="X18" s="17" t="s">
        <v>248</v>
      </c>
      <c r="Y18" s="17" t="s">
        <v>248</v>
      </c>
      <c r="Z18" s="17" t="s">
        <v>248</v>
      </c>
      <c r="AA18" s="17" t="s">
        <v>257</v>
      </c>
      <c r="AB18" s="17" t="s">
        <v>248</v>
      </c>
      <c r="AC18" s="17" t="s">
        <v>257</v>
      </c>
      <c r="AD18" s="17" t="s">
        <v>248</v>
      </c>
      <c r="AE18" s="17" t="s">
        <v>248</v>
      </c>
      <c r="AF18" s="17" t="s">
        <v>248</v>
      </c>
      <c r="AG18" s="17" t="s">
        <v>248</v>
      </c>
      <c r="AH18" s="17" t="s">
        <v>248</v>
      </c>
      <c r="AI18" s="17" t="s">
        <v>248</v>
      </c>
      <c r="AJ18" s="17" t="s">
        <v>248</v>
      </c>
      <c r="AK18" s="17" t="s">
        <v>248</v>
      </c>
      <c r="AL18" s="17" t="s">
        <v>248</v>
      </c>
      <c r="AM18" s="17" t="s">
        <v>248</v>
      </c>
      <c r="AN18" s="17" t="s">
        <v>248</v>
      </c>
      <c r="AO18" s="17" t="s">
        <v>248</v>
      </c>
      <c r="AP18" s="17" t="s">
        <v>257</v>
      </c>
      <c r="AQ18" s="17" t="s">
        <v>248</v>
      </c>
      <c r="AR18" s="17" t="s">
        <v>248</v>
      </c>
    </row>
    <row r="19" spans="1:44">
      <c r="A19" s="4" t="s">
        <v>168</v>
      </c>
      <c r="B19" s="4" t="s">
        <v>169</v>
      </c>
      <c r="C19" s="17" t="s">
        <v>248</v>
      </c>
      <c r="D19" s="17" t="s">
        <v>248</v>
      </c>
      <c r="E19" s="17" t="s">
        <v>257</v>
      </c>
      <c r="F19" s="17" t="s">
        <v>248</v>
      </c>
      <c r="G19" s="17" t="s">
        <v>257</v>
      </c>
      <c r="H19" s="17" t="s">
        <v>257</v>
      </c>
      <c r="I19" s="17" t="s">
        <v>248</v>
      </c>
      <c r="J19" s="17" t="s">
        <v>248</v>
      </c>
      <c r="K19" s="17" t="s">
        <v>248</v>
      </c>
      <c r="L19" s="17" t="s">
        <v>248</v>
      </c>
      <c r="M19" s="17" t="s">
        <v>248</v>
      </c>
      <c r="N19" s="17" t="s">
        <v>257</v>
      </c>
      <c r="O19" s="17" t="s">
        <v>248</v>
      </c>
      <c r="P19" s="17" t="s">
        <v>248</v>
      </c>
      <c r="Q19" s="17" t="s">
        <v>248</v>
      </c>
      <c r="R19" s="17" t="s">
        <v>248</v>
      </c>
      <c r="S19" s="17" t="s">
        <v>257</v>
      </c>
      <c r="T19" s="17" t="s">
        <v>248</v>
      </c>
      <c r="U19" s="17" t="s">
        <v>248</v>
      </c>
      <c r="V19" s="17" t="s">
        <v>248</v>
      </c>
      <c r="W19" s="17" t="s">
        <v>248</v>
      </c>
      <c r="X19" s="17" t="s">
        <v>248</v>
      </c>
      <c r="Y19" s="17" t="s">
        <v>248</v>
      </c>
      <c r="Z19" s="17" t="s">
        <v>257</v>
      </c>
      <c r="AA19" s="17" t="s">
        <v>257</v>
      </c>
      <c r="AB19" s="17" t="s">
        <v>257</v>
      </c>
      <c r="AC19" s="17" t="s">
        <v>257</v>
      </c>
      <c r="AD19" s="17" t="s">
        <v>248</v>
      </c>
      <c r="AE19" s="17" t="s">
        <v>248</v>
      </c>
      <c r="AF19" s="17" t="s">
        <v>248</v>
      </c>
      <c r="AG19" s="17" t="s">
        <v>248</v>
      </c>
      <c r="AH19" s="17" t="s">
        <v>248</v>
      </c>
      <c r="AI19" s="17" t="s">
        <v>248</v>
      </c>
      <c r="AJ19" s="17" t="s">
        <v>248</v>
      </c>
      <c r="AK19" s="17" t="s">
        <v>257</v>
      </c>
      <c r="AL19" s="17" t="s">
        <v>248</v>
      </c>
      <c r="AM19" s="17" t="s">
        <v>257</v>
      </c>
      <c r="AN19" s="17" t="s">
        <v>248</v>
      </c>
      <c r="AO19" s="17" t="s">
        <v>248</v>
      </c>
      <c r="AP19" s="17" t="s">
        <v>248</v>
      </c>
      <c r="AQ19" s="17" t="s">
        <v>248</v>
      </c>
      <c r="AR19" s="17" t="s">
        <v>248</v>
      </c>
    </row>
    <row r="20" spans="1:44">
      <c r="A20" s="4" t="s">
        <v>175</v>
      </c>
      <c r="B20" s="4" t="s">
        <v>176</v>
      </c>
      <c r="C20" s="17" t="s">
        <v>248</v>
      </c>
      <c r="D20" s="17" t="s">
        <v>248</v>
      </c>
      <c r="E20" s="17" t="s">
        <v>257</v>
      </c>
      <c r="F20" s="17" t="s">
        <v>248</v>
      </c>
      <c r="G20" s="17" t="s">
        <v>248</v>
      </c>
      <c r="H20" s="17" t="s">
        <v>257</v>
      </c>
      <c r="I20" s="17" t="s">
        <v>257</v>
      </c>
      <c r="J20" s="17" t="s">
        <v>248</v>
      </c>
      <c r="K20" s="17" t="s">
        <v>248</v>
      </c>
      <c r="L20" s="17" t="s">
        <v>248</v>
      </c>
      <c r="M20" s="17" t="s">
        <v>248</v>
      </c>
      <c r="N20" s="17" t="s">
        <v>248</v>
      </c>
      <c r="O20" s="17" t="s">
        <v>248</v>
      </c>
      <c r="P20" s="17" t="s">
        <v>248</v>
      </c>
      <c r="Q20" s="17" t="s">
        <v>257</v>
      </c>
      <c r="R20" s="17" t="s">
        <v>248</v>
      </c>
      <c r="S20" s="17" t="s">
        <v>257</v>
      </c>
      <c r="T20" s="17" t="s">
        <v>248</v>
      </c>
      <c r="U20" s="17" t="s">
        <v>248</v>
      </c>
      <c r="V20" s="17" t="s">
        <v>248</v>
      </c>
      <c r="W20" s="17" t="s">
        <v>248</v>
      </c>
      <c r="X20" s="17" t="s">
        <v>257</v>
      </c>
      <c r="Y20" s="17" t="s">
        <v>248</v>
      </c>
      <c r="Z20" s="17" t="s">
        <v>248</v>
      </c>
      <c r="AA20" s="17" t="s">
        <v>248</v>
      </c>
      <c r="AB20" s="17" t="s">
        <v>257</v>
      </c>
      <c r="AC20" s="17" t="s">
        <v>248</v>
      </c>
      <c r="AD20" s="17" t="s">
        <v>248</v>
      </c>
      <c r="AE20" s="17" t="s">
        <v>257</v>
      </c>
      <c r="AF20" s="17" t="s">
        <v>248</v>
      </c>
      <c r="AG20" s="17" t="s">
        <v>248</v>
      </c>
      <c r="AH20" s="17" t="s">
        <v>248</v>
      </c>
      <c r="AI20" s="17" t="s">
        <v>248</v>
      </c>
      <c r="AJ20" s="17" t="s">
        <v>248</v>
      </c>
      <c r="AK20" s="17" t="s">
        <v>248</v>
      </c>
      <c r="AL20" s="17" t="s">
        <v>257</v>
      </c>
      <c r="AM20" s="17" t="s">
        <v>257</v>
      </c>
      <c r="AN20" s="17" t="s">
        <v>257</v>
      </c>
      <c r="AO20" s="17" t="s">
        <v>248</v>
      </c>
      <c r="AP20" s="17" t="s">
        <v>248</v>
      </c>
      <c r="AQ20" s="17" t="s">
        <v>248</v>
      </c>
      <c r="AR20" s="17" t="s">
        <v>248</v>
      </c>
    </row>
    <row r="21" spans="1:44">
      <c r="A21" s="4" t="s">
        <v>182</v>
      </c>
      <c r="B21" s="4" t="s">
        <v>183</v>
      </c>
      <c r="C21" s="17" t="s">
        <v>248</v>
      </c>
      <c r="D21" s="17" t="s">
        <v>248</v>
      </c>
      <c r="E21" s="17" t="s">
        <v>248</v>
      </c>
      <c r="F21" s="17" t="s">
        <v>257</v>
      </c>
      <c r="G21" s="17" t="s">
        <v>257</v>
      </c>
      <c r="H21" s="17" t="s">
        <v>257</v>
      </c>
      <c r="I21" s="17" t="s">
        <v>248</v>
      </c>
      <c r="J21" s="17" t="s">
        <v>248</v>
      </c>
      <c r="K21" s="17" t="s">
        <v>248</v>
      </c>
      <c r="L21" s="17" t="s">
        <v>248</v>
      </c>
      <c r="M21" s="17" t="s">
        <v>248</v>
      </c>
      <c r="N21" s="17" t="s">
        <v>257</v>
      </c>
      <c r="O21" s="17" t="s">
        <v>248</v>
      </c>
      <c r="P21" s="17" t="s">
        <v>248</v>
      </c>
      <c r="Q21" s="17" t="s">
        <v>248</v>
      </c>
      <c r="R21" s="17" t="s">
        <v>248</v>
      </c>
      <c r="S21" s="17" t="s">
        <v>257</v>
      </c>
      <c r="T21" s="17" t="s">
        <v>248</v>
      </c>
      <c r="U21" s="17" t="s">
        <v>248</v>
      </c>
      <c r="V21" s="17" t="s">
        <v>248</v>
      </c>
      <c r="W21" s="17" t="s">
        <v>248</v>
      </c>
      <c r="X21" s="17" t="s">
        <v>248</v>
      </c>
      <c r="Y21" s="17" t="s">
        <v>248</v>
      </c>
      <c r="Z21" s="17" t="s">
        <v>248</v>
      </c>
      <c r="AA21" s="17" t="s">
        <v>248</v>
      </c>
      <c r="AB21" s="17" t="s">
        <v>257</v>
      </c>
      <c r="AC21" s="17" t="s">
        <v>248</v>
      </c>
      <c r="AD21" s="17" t="s">
        <v>248</v>
      </c>
      <c r="AE21" s="17" t="s">
        <v>248</v>
      </c>
      <c r="AF21" s="17" t="s">
        <v>248</v>
      </c>
      <c r="AG21" s="17" t="s">
        <v>248</v>
      </c>
      <c r="AH21" s="17" t="s">
        <v>248</v>
      </c>
      <c r="AI21" s="17" t="s">
        <v>248</v>
      </c>
      <c r="AJ21" s="17" t="s">
        <v>248</v>
      </c>
      <c r="AK21" s="17" t="s">
        <v>257</v>
      </c>
      <c r="AL21" s="17" t="s">
        <v>257</v>
      </c>
      <c r="AM21" s="17" t="s">
        <v>248</v>
      </c>
      <c r="AN21" s="17" t="s">
        <v>248</v>
      </c>
      <c r="AO21" s="17" t="s">
        <v>248</v>
      </c>
      <c r="AP21" s="17" t="s">
        <v>248</v>
      </c>
      <c r="AQ21" s="17" t="s">
        <v>248</v>
      </c>
      <c r="AR21" s="17" t="s">
        <v>248</v>
      </c>
    </row>
    <row r="22" spans="1:44">
      <c r="A22" s="4" t="s">
        <v>189</v>
      </c>
      <c r="B22" s="4" t="s">
        <v>190</v>
      </c>
      <c r="C22" s="17" t="s">
        <v>248</v>
      </c>
      <c r="D22" s="17" t="s">
        <v>248</v>
      </c>
      <c r="E22" s="17" t="s">
        <v>248</v>
      </c>
      <c r="F22" s="17" t="s">
        <v>257</v>
      </c>
      <c r="G22" s="17" t="s">
        <v>257</v>
      </c>
      <c r="H22" s="17" t="s">
        <v>257</v>
      </c>
      <c r="I22" s="17" t="s">
        <v>257</v>
      </c>
      <c r="J22" s="17" t="s">
        <v>248</v>
      </c>
      <c r="K22" s="17" t="s">
        <v>248</v>
      </c>
      <c r="L22" s="17" t="s">
        <v>248</v>
      </c>
      <c r="M22" s="17" t="s">
        <v>248</v>
      </c>
      <c r="N22" s="17" t="s">
        <v>257</v>
      </c>
      <c r="O22" s="17" t="s">
        <v>248</v>
      </c>
      <c r="P22" s="17" t="s">
        <v>248</v>
      </c>
      <c r="Q22" s="17" t="s">
        <v>248</v>
      </c>
      <c r="R22" s="17" t="s">
        <v>248</v>
      </c>
      <c r="S22" s="17" t="s">
        <v>257</v>
      </c>
      <c r="T22" s="17" t="s">
        <v>248</v>
      </c>
      <c r="U22" s="17" t="s">
        <v>248</v>
      </c>
      <c r="V22" s="17" t="s">
        <v>248</v>
      </c>
      <c r="W22" s="17" t="s">
        <v>248</v>
      </c>
      <c r="X22" s="17" t="s">
        <v>248</v>
      </c>
      <c r="Y22" s="17" t="s">
        <v>248</v>
      </c>
      <c r="Z22" s="17" t="s">
        <v>248</v>
      </c>
      <c r="AA22" s="17" t="s">
        <v>248</v>
      </c>
      <c r="AB22" s="17" t="s">
        <v>257</v>
      </c>
      <c r="AC22" s="17" t="s">
        <v>248</v>
      </c>
      <c r="AD22" s="17" t="s">
        <v>248</v>
      </c>
      <c r="AE22" s="17" t="s">
        <v>248</v>
      </c>
      <c r="AF22" s="17" t="s">
        <v>248</v>
      </c>
      <c r="AG22" s="17" t="s">
        <v>248</v>
      </c>
      <c r="AH22" s="17" t="s">
        <v>248</v>
      </c>
      <c r="AI22" s="17" t="s">
        <v>248</v>
      </c>
      <c r="AJ22" s="17" t="s">
        <v>248</v>
      </c>
      <c r="AK22" s="17" t="s">
        <v>248</v>
      </c>
      <c r="AL22" s="17" t="s">
        <v>257</v>
      </c>
      <c r="AM22" s="17" t="s">
        <v>248</v>
      </c>
      <c r="AN22" s="17" t="s">
        <v>248</v>
      </c>
      <c r="AO22" s="17" t="s">
        <v>248</v>
      </c>
      <c r="AP22" s="17" t="s">
        <v>257</v>
      </c>
      <c r="AQ22" s="17" t="s">
        <v>248</v>
      </c>
      <c r="AR22" s="17" t="s">
        <v>248</v>
      </c>
    </row>
    <row r="23" spans="1:44">
      <c r="A23" s="4" t="s">
        <v>195</v>
      </c>
      <c r="B23" s="4" t="s">
        <v>196</v>
      </c>
      <c r="C23" s="17" t="s">
        <v>248</v>
      </c>
      <c r="D23" s="17" t="s">
        <v>248</v>
      </c>
      <c r="E23" s="17" t="s">
        <v>248</v>
      </c>
      <c r="F23" s="17" t="s">
        <v>257</v>
      </c>
      <c r="G23" s="17" t="s">
        <v>257</v>
      </c>
      <c r="H23" s="17" t="s">
        <v>257</v>
      </c>
      <c r="I23" s="17" t="s">
        <v>248</v>
      </c>
      <c r="J23" s="17" t="s">
        <v>248</v>
      </c>
      <c r="K23" s="17" t="s">
        <v>248</v>
      </c>
      <c r="L23" s="17" t="s">
        <v>248</v>
      </c>
      <c r="M23" s="17" t="s">
        <v>248</v>
      </c>
      <c r="N23" s="17" t="s">
        <v>257</v>
      </c>
      <c r="O23" s="17" t="s">
        <v>248</v>
      </c>
      <c r="P23" s="17" t="s">
        <v>248</v>
      </c>
      <c r="Q23" s="17" t="s">
        <v>248</v>
      </c>
      <c r="R23" s="17" t="s">
        <v>248</v>
      </c>
      <c r="S23" s="17" t="s">
        <v>257</v>
      </c>
      <c r="T23" s="17" t="s">
        <v>248</v>
      </c>
      <c r="U23" s="17" t="s">
        <v>248</v>
      </c>
      <c r="V23" s="17" t="s">
        <v>248</v>
      </c>
      <c r="W23" s="17" t="s">
        <v>248</v>
      </c>
      <c r="X23" s="17" t="s">
        <v>248</v>
      </c>
      <c r="Y23" s="17" t="s">
        <v>248</v>
      </c>
      <c r="Z23" s="17" t="s">
        <v>248</v>
      </c>
      <c r="AA23" s="17" t="s">
        <v>248</v>
      </c>
      <c r="AB23" s="17" t="s">
        <v>257</v>
      </c>
      <c r="AC23" s="17" t="s">
        <v>248</v>
      </c>
      <c r="AD23" s="17" t="s">
        <v>248</v>
      </c>
      <c r="AE23" s="17" t="s">
        <v>248</v>
      </c>
      <c r="AF23" s="17" t="s">
        <v>248</v>
      </c>
      <c r="AG23" s="17" t="s">
        <v>248</v>
      </c>
      <c r="AH23" s="17" t="s">
        <v>248</v>
      </c>
      <c r="AI23" s="17" t="s">
        <v>248</v>
      </c>
      <c r="AJ23" s="17" t="s">
        <v>248</v>
      </c>
      <c r="AK23" s="17" t="s">
        <v>257</v>
      </c>
      <c r="AL23" s="17" t="s">
        <v>257</v>
      </c>
      <c r="AM23" s="17" t="s">
        <v>248</v>
      </c>
      <c r="AN23" s="17" t="s">
        <v>248</v>
      </c>
      <c r="AO23" s="17" t="s">
        <v>248</v>
      </c>
      <c r="AP23" s="17" t="s">
        <v>248</v>
      </c>
      <c r="AQ23" s="17" t="s">
        <v>248</v>
      </c>
      <c r="AR23" s="17" t="s">
        <v>248</v>
      </c>
    </row>
    <row r="24" spans="1:44">
      <c r="A24" s="4" t="s">
        <v>202</v>
      </c>
      <c r="B24" s="4" t="s">
        <v>203</v>
      </c>
      <c r="C24" s="17" t="s">
        <v>248</v>
      </c>
      <c r="D24" s="17" t="s">
        <v>248</v>
      </c>
      <c r="E24" s="17" t="s">
        <v>257</v>
      </c>
      <c r="F24" s="17" t="s">
        <v>257</v>
      </c>
      <c r="G24" s="17" t="s">
        <v>257</v>
      </c>
      <c r="H24" s="17" t="s">
        <v>257</v>
      </c>
      <c r="I24" s="17" t="s">
        <v>248</v>
      </c>
      <c r="J24" s="17" t="s">
        <v>248</v>
      </c>
      <c r="K24" s="17" t="s">
        <v>248</v>
      </c>
      <c r="L24" s="17" t="s">
        <v>248</v>
      </c>
      <c r="M24" s="17" t="s">
        <v>248</v>
      </c>
      <c r="N24" s="17" t="s">
        <v>257</v>
      </c>
      <c r="O24" s="17" t="s">
        <v>248</v>
      </c>
      <c r="P24" s="17" t="s">
        <v>248</v>
      </c>
      <c r="Q24" s="17" t="s">
        <v>248</v>
      </c>
      <c r="R24" s="17" t="s">
        <v>248</v>
      </c>
      <c r="S24" s="17" t="s">
        <v>257</v>
      </c>
      <c r="T24" s="17" t="s">
        <v>248</v>
      </c>
      <c r="U24" s="17" t="s">
        <v>248</v>
      </c>
      <c r="V24" s="17" t="s">
        <v>257</v>
      </c>
      <c r="W24" s="17" t="s">
        <v>248</v>
      </c>
      <c r="X24" s="17" t="s">
        <v>248</v>
      </c>
      <c r="Y24" s="17" t="s">
        <v>248</v>
      </c>
      <c r="Z24" s="17" t="s">
        <v>257</v>
      </c>
      <c r="AA24" s="17" t="s">
        <v>257</v>
      </c>
      <c r="AB24" s="17" t="s">
        <v>257</v>
      </c>
      <c r="AC24" s="17" t="s">
        <v>248</v>
      </c>
      <c r="AD24" s="17" t="s">
        <v>248</v>
      </c>
      <c r="AE24" s="17" t="s">
        <v>248</v>
      </c>
      <c r="AF24" s="17" t="s">
        <v>248</v>
      </c>
      <c r="AG24" s="17" t="s">
        <v>248</v>
      </c>
      <c r="AH24" s="17" t="s">
        <v>248</v>
      </c>
      <c r="AI24" s="17" t="s">
        <v>248</v>
      </c>
      <c r="AJ24" s="17" t="s">
        <v>248</v>
      </c>
      <c r="AK24" s="17" t="s">
        <v>257</v>
      </c>
      <c r="AL24" s="17" t="s">
        <v>257</v>
      </c>
      <c r="AM24" s="17" t="s">
        <v>248</v>
      </c>
      <c r="AN24" s="17" t="s">
        <v>248</v>
      </c>
      <c r="AO24" s="17" t="s">
        <v>248</v>
      </c>
      <c r="AP24" s="17" t="s">
        <v>248</v>
      </c>
      <c r="AQ24" s="17" t="s">
        <v>248</v>
      </c>
      <c r="AR24" s="17" t="s">
        <v>248</v>
      </c>
    </row>
    <row r="25" spans="1:44">
      <c r="A25" s="4" t="s">
        <v>209</v>
      </c>
      <c r="B25" s="4" t="s">
        <v>210</v>
      </c>
      <c r="C25" s="17" t="s">
        <v>248</v>
      </c>
      <c r="D25" s="17" t="s">
        <v>248</v>
      </c>
      <c r="E25" s="17" t="s">
        <v>248</v>
      </c>
      <c r="F25" s="17" t="s">
        <v>257</v>
      </c>
      <c r="G25" s="17" t="s">
        <v>257</v>
      </c>
      <c r="H25" s="17" t="s">
        <v>257</v>
      </c>
      <c r="I25" s="17" t="s">
        <v>248</v>
      </c>
      <c r="J25" s="17" t="s">
        <v>248</v>
      </c>
      <c r="K25" s="17" t="s">
        <v>248</v>
      </c>
      <c r="L25" s="17" t="s">
        <v>248</v>
      </c>
      <c r="M25" s="17" t="s">
        <v>248</v>
      </c>
      <c r="N25" s="17" t="s">
        <v>248</v>
      </c>
      <c r="O25" s="17" t="s">
        <v>248</v>
      </c>
      <c r="P25" s="17" t="s">
        <v>248</v>
      </c>
      <c r="Q25" s="17" t="s">
        <v>248</v>
      </c>
      <c r="R25" s="17" t="s">
        <v>248</v>
      </c>
      <c r="S25" s="17" t="s">
        <v>257</v>
      </c>
      <c r="T25" s="17" t="s">
        <v>248</v>
      </c>
      <c r="U25" s="17" t="s">
        <v>248</v>
      </c>
      <c r="V25" s="17" t="s">
        <v>248</v>
      </c>
      <c r="W25" s="17" t="s">
        <v>248</v>
      </c>
      <c r="X25" s="17" t="s">
        <v>248</v>
      </c>
      <c r="Y25" s="17" t="s">
        <v>248</v>
      </c>
      <c r="Z25" s="17" t="s">
        <v>248</v>
      </c>
      <c r="AA25" s="17" t="s">
        <v>248</v>
      </c>
      <c r="AB25" s="17" t="s">
        <v>257</v>
      </c>
      <c r="AC25" s="17" t="s">
        <v>248</v>
      </c>
      <c r="AD25" s="17" t="s">
        <v>248</v>
      </c>
      <c r="AE25" s="17" t="s">
        <v>248</v>
      </c>
      <c r="AF25" s="17" t="s">
        <v>248</v>
      </c>
      <c r="AG25" s="17" t="s">
        <v>248</v>
      </c>
      <c r="AH25" s="17" t="s">
        <v>248</v>
      </c>
      <c r="AI25" s="17" t="s">
        <v>257</v>
      </c>
      <c r="AJ25" s="17" t="s">
        <v>248</v>
      </c>
      <c r="AK25" s="17" t="s">
        <v>248</v>
      </c>
      <c r="AL25" s="17" t="s">
        <v>248</v>
      </c>
      <c r="AM25" s="17" t="s">
        <v>248</v>
      </c>
      <c r="AN25" s="17" t="s">
        <v>248</v>
      </c>
      <c r="AO25" s="17" t="s">
        <v>248</v>
      </c>
      <c r="AP25" s="17" t="s">
        <v>248</v>
      </c>
      <c r="AQ25" s="17" t="s">
        <v>248</v>
      </c>
      <c r="AR25" s="17" t="s">
        <v>248</v>
      </c>
    </row>
    <row r="26" spans="1:44">
      <c r="A26" s="4" t="s">
        <v>216</v>
      </c>
      <c r="B26" s="4" t="s">
        <v>217</v>
      </c>
      <c r="C26" s="17" t="s">
        <v>248</v>
      </c>
      <c r="D26" s="17" t="s">
        <v>248</v>
      </c>
      <c r="E26" s="17" t="s">
        <v>248</v>
      </c>
      <c r="F26" s="17" t="s">
        <v>257</v>
      </c>
      <c r="G26" s="17" t="s">
        <v>257</v>
      </c>
      <c r="H26" s="17" t="s">
        <v>257</v>
      </c>
      <c r="I26" s="17" t="s">
        <v>248</v>
      </c>
      <c r="J26" s="17" t="s">
        <v>248</v>
      </c>
      <c r="K26" s="17" t="s">
        <v>248</v>
      </c>
      <c r="L26" s="17" t="s">
        <v>248</v>
      </c>
      <c r="M26" s="17" t="s">
        <v>248</v>
      </c>
      <c r="N26" s="17" t="s">
        <v>257</v>
      </c>
      <c r="O26" s="17" t="s">
        <v>248</v>
      </c>
      <c r="P26" s="17" t="s">
        <v>248</v>
      </c>
      <c r="Q26" s="17" t="s">
        <v>248</v>
      </c>
      <c r="R26" s="17" t="s">
        <v>248</v>
      </c>
      <c r="S26" s="17" t="s">
        <v>257</v>
      </c>
      <c r="T26" s="17" t="s">
        <v>248</v>
      </c>
      <c r="U26" s="17" t="s">
        <v>248</v>
      </c>
      <c r="V26" s="17" t="s">
        <v>248</v>
      </c>
      <c r="W26" s="17" t="s">
        <v>248</v>
      </c>
      <c r="X26" s="17" t="s">
        <v>248</v>
      </c>
      <c r="Y26" s="17" t="s">
        <v>248</v>
      </c>
      <c r="Z26" s="17" t="s">
        <v>248</v>
      </c>
      <c r="AA26" s="17" t="s">
        <v>248</v>
      </c>
      <c r="AB26" s="17" t="s">
        <v>257</v>
      </c>
      <c r="AC26" s="17" t="s">
        <v>248</v>
      </c>
      <c r="AD26" s="17" t="s">
        <v>248</v>
      </c>
      <c r="AE26" s="17" t="s">
        <v>248</v>
      </c>
      <c r="AF26" s="17" t="s">
        <v>248</v>
      </c>
      <c r="AG26" s="17" t="s">
        <v>248</v>
      </c>
      <c r="AH26" s="17" t="s">
        <v>248</v>
      </c>
      <c r="AI26" s="17" t="s">
        <v>248</v>
      </c>
      <c r="AJ26" s="17" t="s">
        <v>248</v>
      </c>
      <c r="AK26" s="17" t="s">
        <v>257</v>
      </c>
      <c r="AL26" s="17" t="s">
        <v>257</v>
      </c>
      <c r="AM26" s="17" t="s">
        <v>248</v>
      </c>
      <c r="AN26" s="17" t="s">
        <v>248</v>
      </c>
      <c r="AO26" s="17" t="s">
        <v>248</v>
      </c>
      <c r="AP26" s="17" t="s">
        <v>248</v>
      </c>
      <c r="AQ26" s="17" t="s">
        <v>248</v>
      </c>
      <c r="AR26" s="17" t="s">
        <v>248</v>
      </c>
    </row>
    <row r="27" spans="1:44">
      <c r="A27" s="4" t="s">
        <v>223</v>
      </c>
      <c r="B27" s="4" t="s">
        <v>224</v>
      </c>
      <c r="C27" s="17" t="s">
        <v>248</v>
      </c>
      <c r="D27" s="17" t="s">
        <v>248</v>
      </c>
      <c r="E27" s="17" t="s">
        <v>248</v>
      </c>
      <c r="F27" s="17" t="s">
        <v>257</v>
      </c>
      <c r="G27" s="17" t="s">
        <v>257</v>
      </c>
      <c r="H27" s="17" t="s">
        <v>257</v>
      </c>
      <c r="I27" s="17" t="s">
        <v>248</v>
      </c>
      <c r="J27" s="17" t="s">
        <v>248</v>
      </c>
      <c r="K27" s="17" t="s">
        <v>248</v>
      </c>
      <c r="L27" s="17" t="s">
        <v>248</v>
      </c>
      <c r="M27" s="17" t="s">
        <v>248</v>
      </c>
      <c r="N27" s="17" t="s">
        <v>257</v>
      </c>
      <c r="O27" s="17" t="s">
        <v>248</v>
      </c>
      <c r="P27" s="17" t="s">
        <v>248</v>
      </c>
      <c r="Q27" s="17" t="s">
        <v>248</v>
      </c>
      <c r="R27" s="17" t="s">
        <v>248</v>
      </c>
      <c r="S27" s="17" t="s">
        <v>257</v>
      </c>
      <c r="T27" s="17" t="s">
        <v>248</v>
      </c>
      <c r="U27" s="17" t="s">
        <v>248</v>
      </c>
      <c r="V27" s="17" t="s">
        <v>248</v>
      </c>
      <c r="W27" s="17" t="s">
        <v>248</v>
      </c>
      <c r="X27" s="17" t="s">
        <v>248</v>
      </c>
      <c r="Y27" s="17" t="s">
        <v>248</v>
      </c>
      <c r="Z27" s="17" t="s">
        <v>248</v>
      </c>
      <c r="AA27" s="17" t="s">
        <v>248</v>
      </c>
      <c r="AB27" s="17" t="s">
        <v>257</v>
      </c>
      <c r="AC27" s="17" t="s">
        <v>248</v>
      </c>
      <c r="AD27" s="17" t="s">
        <v>248</v>
      </c>
      <c r="AE27" s="17" t="s">
        <v>248</v>
      </c>
      <c r="AF27" s="17" t="s">
        <v>248</v>
      </c>
      <c r="AG27" s="17" t="s">
        <v>248</v>
      </c>
      <c r="AH27" s="17" t="s">
        <v>248</v>
      </c>
      <c r="AI27" s="17" t="s">
        <v>248</v>
      </c>
      <c r="AJ27" s="17" t="s">
        <v>248</v>
      </c>
      <c r="AK27" s="17" t="s">
        <v>257</v>
      </c>
      <c r="AL27" s="17" t="s">
        <v>257</v>
      </c>
      <c r="AM27" s="17" t="s">
        <v>248</v>
      </c>
      <c r="AN27" s="17" t="s">
        <v>248</v>
      </c>
      <c r="AO27" s="17" t="s">
        <v>248</v>
      </c>
      <c r="AP27" s="17" t="s">
        <v>248</v>
      </c>
      <c r="AQ27" s="17" t="s">
        <v>248</v>
      </c>
      <c r="AR27" s="17" t="s">
        <v>248</v>
      </c>
    </row>
  </sheetData>
  <mergeCells count="1">
    <mergeCell ref="A1:AR1"/>
  </mergeCells>
  <dataValidations count="1">
    <dataValidation type="list" sqref="C3:AR27" xr:uid="{00000000-0002-0000-0E00-000000000000}">
      <formula1>"0,1"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3" tint="0.89999084444715716"/>
  </sheetPr>
  <dimension ref="A1:L27"/>
  <sheetViews>
    <sheetView tabSelected="1" workbookViewId="0">
      <selection activeCell="I23" sqref="I23"/>
    </sheetView>
  </sheetViews>
  <sheetFormatPr defaultRowHeight="15.75"/>
  <cols>
    <col min="1" max="1" width="10" style="4" customWidth="1"/>
    <col min="2" max="2" width="11" style="4" customWidth="1"/>
    <col min="3" max="7" width="16" style="4" customWidth="1"/>
    <col min="8" max="8" width="9" style="4"/>
    <col min="9" max="9" width="12" style="4" customWidth="1"/>
    <col min="10" max="10" width="16" style="4" customWidth="1"/>
    <col min="11" max="11" width="14" style="4" customWidth="1"/>
    <col min="12" max="12" width="68" style="4" customWidth="1"/>
    <col min="13" max="16384" width="9" style="4"/>
  </cols>
  <sheetData>
    <row r="1" spans="1:12" s="10" customFormat="1" ht="20.25">
      <c r="A1" s="27" t="s">
        <v>425</v>
      </c>
      <c r="B1" s="27"/>
      <c r="C1" s="27"/>
      <c r="D1" s="27"/>
      <c r="E1" s="27"/>
      <c r="F1" s="27"/>
      <c r="G1" s="27"/>
    </row>
    <row r="2" spans="1:12" s="9" customFormat="1" ht="37.5">
      <c r="A2" s="16" t="s">
        <v>26</v>
      </c>
      <c r="B2" s="16" t="s">
        <v>27</v>
      </c>
      <c r="C2" s="16" t="s">
        <v>426</v>
      </c>
      <c r="D2" s="16" t="s">
        <v>427</v>
      </c>
      <c r="E2" s="16" t="s">
        <v>428</v>
      </c>
      <c r="F2" s="16" t="s">
        <v>429</v>
      </c>
      <c r="G2" s="16" t="s">
        <v>430</v>
      </c>
      <c r="I2" s="16" t="s">
        <v>330</v>
      </c>
      <c r="J2" s="16" t="s">
        <v>431</v>
      </c>
      <c r="K2" s="16" t="s">
        <v>432</v>
      </c>
      <c r="L2" s="16" t="s">
        <v>361</v>
      </c>
    </row>
    <row r="3" spans="1:12">
      <c r="A3" s="4" t="s">
        <v>41</v>
      </c>
      <c r="B3" s="4" t="s">
        <v>42</v>
      </c>
      <c r="C3" s="14">
        <f>IF((IF(OR(MultiLabel_R1!C4="1",MultiLabel_R2!C3="1"),1,0)+IF(OR(MultiLabel_R1!D4="1",MultiLabel_R2!D3="1"),1,0)+IF(OR(MultiLabel_R1!E4="1",MultiLabel_R2!E3="1"),1,0)+IF(OR(MultiLabel_R1!F4="1",MultiLabel_R2!F3="1"),1,0))=0,"NA",(IF(AND(MultiLabel_R1!C4="1",MultiLabel_R2!C3="1"),1,0)+IF(AND(MultiLabel_R1!D4="1",MultiLabel_R2!D3="1"),1,0)+IF(AND(MultiLabel_R1!E4="1",MultiLabel_R2!E3="1"),1,0)+IF(AND(MultiLabel_R1!F4="1",MultiLabel_R2!F3="1"),1,0))/(IF(OR(MultiLabel_R1!C4="1",MultiLabel_R2!C3="1"),1,0)+IF(OR(MultiLabel_R1!D4="1",MultiLabel_R2!D3="1"),1,0)+IF(OR(MultiLabel_R1!E4="1",MultiLabel_R2!E3="1"),1,0)+IF(OR(MultiLabel_R1!F4="1",MultiLabel_R2!F3="1"),1,0)))</f>
        <v>1</v>
      </c>
      <c r="D3" s="14">
        <f>IF((IF(OR(MultiLabel_R1!G4="1",MultiLabel_R2!G3="1"),1,0)+IF(OR(MultiLabel_R1!H4="1",MultiLabel_R2!H3="1"),1,0)+IF(OR(MultiLabel_R1!I4="1",MultiLabel_R2!I3="1"),1,0)+IF(OR(MultiLabel_R1!J4="1",MultiLabel_R2!J3="1"),1,0)+IF(OR(MultiLabel_R1!K4="1",MultiLabel_R2!K3="1"),1,0)+IF(OR(MultiLabel_R1!L4="1",MultiLabel_R2!L3="1"),1,0))=0,"NA",(IF(AND(MultiLabel_R1!G4="1",MultiLabel_R2!G3="1"),1,0)+IF(AND(MultiLabel_R1!H4="1",MultiLabel_R2!H3="1"),1,0)+IF(AND(MultiLabel_R1!I4="1",MultiLabel_R2!I3="1"),1,0)+IF(AND(MultiLabel_R1!J4="1",MultiLabel_R2!J3="1"),1,0)+IF(AND(MultiLabel_R1!K4="1",MultiLabel_R2!K3="1"),1,0)+IF(AND(MultiLabel_R1!L4="1",MultiLabel_R2!L3="1"),1,0))/(IF(OR(MultiLabel_R1!G4="1",MultiLabel_R2!G3="1"),1,0)+IF(OR(MultiLabel_R1!H4="1",MultiLabel_R2!H3="1"),1,0)+IF(OR(MultiLabel_R1!I4="1",MultiLabel_R2!I3="1"),1,0)+IF(OR(MultiLabel_R1!J4="1",MultiLabel_R2!J3="1"),1,0)+IF(OR(MultiLabel_R1!K4="1",MultiLabel_R2!K3="1"),1,0)+IF(OR(MultiLabel_R1!L4="1",MultiLabel_R2!L3="1"),1,0)))</f>
        <v>1</v>
      </c>
      <c r="E3" s="14">
        <f>IF((IF(OR(MultiLabel_R1!M4="1",MultiLabel_R2!M3="1"),1,0)+IF(OR(MultiLabel_R1!N4="1",MultiLabel_R2!N3="1"),1,0)+IF(OR(MultiLabel_R1!O4="1",MultiLabel_R2!O3="1"),1,0)+IF(OR(MultiLabel_R1!P4="1",MultiLabel_R2!P3="1"),1,0)+IF(OR(MultiLabel_R1!Q4="1",MultiLabel_R2!Q3="1"),1,0)+IF(OR(MultiLabel_R1!R4="1",MultiLabel_R2!R3="1"),1,0)+IF(OR(MultiLabel_R1!S4="1",MultiLabel_R2!S3="1"),1,0)+IF(OR(MultiLabel_R1!T4="1",MultiLabel_R2!T3="1"),1,0)+IF(OR(MultiLabel_R1!U4="1",MultiLabel_R2!U3="1"),1,0)+IF(OR(MultiLabel_R1!V4="1",MultiLabel_R2!V3="1"),1,0)+IF(OR(MultiLabel_R1!W4="1",MultiLabel_R2!W3="1"),1,0)+IF(OR(MultiLabel_R1!X4="1",MultiLabel_R2!X3="1"),1,0))=0,"NA",(IF(AND(MultiLabel_R1!M4="1",MultiLabel_R2!M3="1"),1,0)+IF(AND(MultiLabel_R1!N4="1",MultiLabel_R2!N3="1"),1,0)+IF(AND(MultiLabel_R1!O4="1",MultiLabel_R2!O3="1"),1,0)+IF(AND(MultiLabel_R1!P4="1",MultiLabel_R2!P3="1"),1,0)+IF(AND(MultiLabel_R1!Q4="1",MultiLabel_R2!Q3="1"),1,0)+IF(AND(MultiLabel_R1!R4="1",MultiLabel_R2!R3="1"),1,0)+IF(AND(MultiLabel_R1!S4="1",MultiLabel_R2!S3="1"),1,0)+IF(AND(MultiLabel_R1!T4="1",MultiLabel_R2!T3="1"),1,0)+IF(AND(MultiLabel_R1!U4="1",MultiLabel_R2!U3="1"),1,0)+IF(AND(MultiLabel_R1!V4="1",MultiLabel_R2!V3="1"),1,0)+IF(AND(MultiLabel_R1!W4="1",MultiLabel_R2!W3="1"),1,0)+IF(AND(MultiLabel_R1!X4="1",MultiLabel_R2!X3="1"),1,0))/(IF(OR(MultiLabel_R1!M4="1",MultiLabel_R2!M3="1"),1,0)+IF(OR(MultiLabel_R1!N4="1",MultiLabel_R2!N3="1"),1,0)+IF(OR(MultiLabel_R1!O4="1",MultiLabel_R2!O3="1"),1,0)+IF(OR(MultiLabel_R1!P4="1",MultiLabel_R2!P3="1"),1,0)+IF(OR(MultiLabel_R1!Q4="1",MultiLabel_R2!Q3="1"),1,0)+IF(OR(MultiLabel_R1!R4="1",MultiLabel_R2!R3="1"),1,0)+IF(OR(MultiLabel_R1!S4="1",MultiLabel_R2!S3="1"),1,0)+IF(OR(MultiLabel_R1!T4="1",MultiLabel_R2!T3="1"),1,0)+IF(OR(MultiLabel_R1!U4="1",MultiLabel_R2!U3="1"),1,0)+IF(OR(MultiLabel_R1!V4="1",MultiLabel_R2!V3="1"),1,0)+IF(OR(MultiLabel_R1!W4="1",MultiLabel_R2!W3="1"),1,0)+IF(OR(MultiLabel_R1!X4="1",MultiLabel_R2!X3="1"),1,0)))</f>
        <v>1</v>
      </c>
      <c r="F3" s="14">
        <f>IF((IF(OR(MultiLabel_R1!Y4="1",MultiLabel_R2!Y3="1"),1,0)+IF(OR(MultiLabel_R1!Z4="1",MultiLabel_R2!Z3="1"),1,0)+IF(OR(MultiLabel_R1!AA4="1",MultiLabel_R2!AA3="1"),1,0)+IF(OR(MultiLabel_R1!AB4="1",MultiLabel_R2!AB3="1"),1,0)+IF(OR(MultiLabel_R1!AC4="1",MultiLabel_R2!AC3="1"),1,0)+IF(OR(MultiLabel_R1!AD4="1",MultiLabel_R2!AD3="1"),1,0)+IF(OR(MultiLabel_R1!AE4="1",MultiLabel_R2!AE3="1"),1,0)+IF(OR(MultiLabel_R1!AF4="1",MultiLabel_R2!AF3="1"),1,0))=0,"NA",(IF(AND(MultiLabel_R1!Y4="1",MultiLabel_R2!Y3="1"),1,0)+IF(AND(MultiLabel_R1!Z4="1",MultiLabel_R2!Z3="1"),1,0)+IF(AND(MultiLabel_R1!AA4="1",MultiLabel_R2!AA3="1"),1,0)+IF(AND(MultiLabel_R1!AB4="1",MultiLabel_R2!AB3="1"),1,0)+IF(AND(MultiLabel_R1!AC4="1",MultiLabel_R2!AC3="1"),1,0)+IF(AND(MultiLabel_R1!AD4="1",MultiLabel_R2!AD3="1"),1,0)+IF(AND(MultiLabel_R1!AE4="1",MultiLabel_R2!AE3="1"),1,0)+IF(AND(MultiLabel_R1!AF4="1",MultiLabel_R2!AF3="1"),1,0))/(IF(OR(MultiLabel_R1!Y4="1",MultiLabel_R2!Y3="1"),1,0)+IF(OR(MultiLabel_R1!Z4="1",MultiLabel_R2!Z3="1"),1,0)+IF(OR(MultiLabel_R1!AA4="1",MultiLabel_R2!AA3="1"),1,0)+IF(OR(MultiLabel_R1!AB4="1",MultiLabel_R2!AB3="1"),1,0)+IF(OR(MultiLabel_R1!AC4="1",MultiLabel_R2!AC3="1"),1,0)+IF(OR(MultiLabel_R1!AD4="1",MultiLabel_R2!AD3="1"),1,0)+IF(OR(MultiLabel_R1!AE4="1",MultiLabel_R2!AE3="1"),1,0)+IF(OR(MultiLabel_R1!AF4="1",MultiLabel_R2!AF3="1"),1,0)))</f>
        <v>1</v>
      </c>
      <c r="G3" s="14">
        <f>IF((IF(OR(MultiLabel_R1!AG4="1",MultiLabel_R2!AG3="1"),1,0)+IF(OR(MultiLabel_R1!AH4="1",MultiLabel_R2!AH3="1"),1,0)+IF(OR(MultiLabel_R1!AI4="1",MultiLabel_R2!AI3="1"),1,0)+IF(OR(MultiLabel_R1!AJ4="1",MultiLabel_R2!AJ3="1"),1,0)+IF(OR(MultiLabel_R1!AK4="1",MultiLabel_R2!AK3="1"),1,0)+IF(OR(MultiLabel_R1!AL4="1",MultiLabel_R2!AL3="1"),1,0)+IF(OR(MultiLabel_R1!AM4="1",MultiLabel_R2!AM3="1"),1,0)+IF(OR(MultiLabel_R1!AN4="1",MultiLabel_R2!AN3="1"),1,0)+IF(OR(MultiLabel_R1!AO4="1",MultiLabel_R2!AO3="1"),1,0)+IF(OR(MultiLabel_R1!AP4="1",MultiLabel_R2!AP3="1"),1,0)+IF(OR(MultiLabel_R1!AQ4="1",MultiLabel_R2!AQ3="1"),1,0)+IF(OR(MultiLabel_R1!AR4="1",MultiLabel_R2!AR3="1"),1,0))=0,"NA",(IF(AND(MultiLabel_R1!AG4="1",MultiLabel_R2!AG3="1"),1,0)+IF(AND(MultiLabel_R1!AH4="1",MultiLabel_R2!AH3="1"),1,0)+IF(AND(MultiLabel_R1!AI4="1",MultiLabel_R2!AI3="1"),1,0)+IF(AND(MultiLabel_R1!AJ4="1",MultiLabel_R2!AJ3="1"),1,0)+IF(AND(MultiLabel_R1!AK4="1",MultiLabel_R2!AK3="1"),1,0)+IF(AND(MultiLabel_R1!AL4="1",MultiLabel_R2!AL3="1"),1,0)+IF(AND(MultiLabel_R1!AM4="1",MultiLabel_R2!AM3="1"),1,0)+IF(AND(MultiLabel_R1!AN4="1",MultiLabel_R2!AN3="1"),1,0)+IF(AND(MultiLabel_R1!AO4="1",MultiLabel_R2!AO3="1"),1,0)+IF(AND(MultiLabel_R1!AP4="1",MultiLabel_R2!AP3="1"),1,0)+IF(AND(MultiLabel_R1!AQ4="1",MultiLabel_R2!AQ3="1"),1,0)+IF(AND(MultiLabel_R1!AR4="1",MultiLabel_R2!AR3="1"),1,0))/(IF(OR(MultiLabel_R1!AG4="1",MultiLabel_R2!AG3="1"),1,0)+IF(OR(MultiLabel_R1!AH4="1",MultiLabel_R2!AH3="1"),1,0)+IF(OR(MultiLabel_R1!AI4="1",MultiLabel_R2!AI3="1"),1,0)+IF(OR(MultiLabel_R1!AJ4="1",MultiLabel_R2!AJ3="1"),1,0)+IF(OR(MultiLabel_R1!AK4="1",MultiLabel_R2!AK3="1"),1,0)+IF(OR(MultiLabel_R1!AL4="1",MultiLabel_R2!AL3="1"),1,0)+IF(OR(MultiLabel_R1!AM4="1",MultiLabel_R2!AM3="1"),1,0)+IF(OR(MultiLabel_R1!AN4="1",MultiLabel_R2!AN3="1"),1,0)+IF(OR(MultiLabel_R1!AO4="1",MultiLabel_R2!AO3="1"),1,0)+IF(OR(MultiLabel_R1!AP4="1",MultiLabel_R2!AP3="1"),1,0)+IF(OR(MultiLabel_R1!AQ4="1",MultiLabel_R2!AQ3="1"),1,0)+IF(OR(MultiLabel_R1!AR4="1",MultiLabel_R2!AR3="1"),1,0)))</f>
        <v>1</v>
      </c>
      <c r="I3" s="4" t="s">
        <v>231</v>
      </c>
      <c r="J3" s="4">
        <f>IF(COUNT(C3:C27)=0,"NA",AVERAGE(C3:C27))</f>
        <v>1</v>
      </c>
      <c r="K3" s="4">
        <f>COUNT(C3:C27)</f>
        <v>25</v>
      </c>
      <c r="L3" s="4" t="s">
        <v>433</v>
      </c>
    </row>
    <row r="4" spans="1:12">
      <c r="A4" s="4" t="s">
        <v>51</v>
      </c>
      <c r="B4" s="4" t="s">
        <v>52</v>
      </c>
      <c r="C4" s="14">
        <f>IF((IF(OR(MultiLabel_R1!C5="1",MultiLabel_R2!C4="1"),1,0)+IF(OR(MultiLabel_R1!D5="1",MultiLabel_R2!D4="1"),1,0)+IF(OR(MultiLabel_R1!E5="1",MultiLabel_R2!E4="1"),1,0)+IF(OR(MultiLabel_R1!F5="1",MultiLabel_R2!F4="1"),1,0))=0,"NA",(IF(AND(MultiLabel_R1!C5="1",MultiLabel_R2!C4="1"),1,0)+IF(AND(MultiLabel_R1!D5="1",MultiLabel_R2!D4="1"),1,0)+IF(AND(MultiLabel_R1!E5="1",MultiLabel_R2!E4="1"),1,0)+IF(AND(MultiLabel_R1!F5="1",MultiLabel_R2!F4="1"),1,0))/(IF(OR(MultiLabel_R1!C5="1",MultiLabel_R2!C4="1"),1,0)+IF(OR(MultiLabel_R1!D5="1",MultiLabel_R2!D4="1"),1,0)+IF(OR(MultiLabel_R1!E5="1",MultiLabel_R2!E4="1"),1,0)+IF(OR(MultiLabel_R1!F5="1",MultiLabel_R2!F4="1"),1,0)))</f>
        <v>1</v>
      </c>
      <c r="D4" s="14">
        <f>IF((IF(OR(MultiLabel_R1!G5="1",MultiLabel_R2!G4="1"),1,0)+IF(OR(MultiLabel_R1!H5="1",MultiLabel_R2!H4="1"),1,0)+IF(OR(MultiLabel_R1!I5="1",MultiLabel_R2!I4="1"),1,0)+IF(OR(MultiLabel_R1!J5="1",MultiLabel_R2!J4="1"),1,0)+IF(OR(MultiLabel_R1!K5="1",MultiLabel_R2!K4="1"),1,0)+IF(OR(MultiLabel_R1!L5="1",MultiLabel_R2!L4="1"),1,0))=0,"NA",(IF(AND(MultiLabel_R1!G5="1",MultiLabel_R2!G4="1"),1,0)+IF(AND(MultiLabel_R1!H5="1",MultiLabel_R2!H4="1"),1,0)+IF(AND(MultiLabel_R1!I5="1",MultiLabel_R2!I4="1"),1,0)+IF(AND(MultiLabel_R1!J5="1",MultiLabel_R2!J4="1"),1,0)+IF(AND(MultiLabel_R1!K5="1",MultiLabel_R2!K4="1"),1,0)+IF(AND(MultiLabel_R1!L5="1",MultiLabel_R2!L4="1"),1,0))/(IF(OR(MultiLabel_R1!G5="1",MultiLabel_R2!G4="1"),1,0)+IF(OR(MultiLabel_R1!H5="1",MultiLabel_R2!H4="1"),1,0)+IF(OR(MultiLabel_R1!I5="1",MultiLabel_R2!I4="1"),1,0)+IF(OR(MultiLabel_R1!J5="1",MultiLabel_R2!J4="1"),1,0)+IF(OR(MultiLabel_R1!K5="1",MultiLabel_R2!K4="1"),1,0)+IF(OR(MultiLabel_R1!L5="1",MultiLabel_R2!L4="1"),1,0)))</f>
        <v>1</v>
      </c>
      <c r="E4" s="14">
        <f>IF((IF(OR(MultiLabel_R1!M5="1",MultiLabel_R2!M4="1"),1,0)+IF(OR(MultiLabel_R1!N5="1",MultiLabel_R2!N4="1"),1,0)+IF(OR(MultiLabel_R1!O5="1",MultiLabel_R2!O4="1"),1,0)+IF(OR(MultiLabel_R1!P5="1",MultiLabel_R2!P4="1"),1,0)+IF(OR(MultiLabel_R1!Q5="1",MultiLabel_R2!Q4="1"),1,0)+IF(OR(MultiLabel_R1!R5="1",MultiLabel_R2!R4="1"),1,0)+IF(OR(MultiLabel_R1!S5="1",MultiLabel_R2!S4="1"),1,0)+IF(OR(MultiLabel_R1!T5="1",MultiLabel_R2!T4="1"),1,0)+IF(OR(MultiLabel_R1!U5="1",MultiLabel_R2!U4="1"),1,0)+IF(OR(MultiLabel_R1!V5="1",MultiLabel_R2!V4="1"),1,0)+IF(OR(MultiLabel_R1!W5="1",MultiLabel_R2!W4="1"),1,0)+IF(OR(MultiLabel_R1!X5="1",MultiLabel_R2!X4="1"),1,0))=0,"NA",(IF(AND(MultiLabel_R1!M5="1",MultiLabel_R2!M4="1"),1,0)+IF(AND(MultiLabel_R1!N5="1",MultiLabel_R2!N4="1"),1,0)+IF(AND(MultiLabel_R1!O5="1",MultiLabel_R2!O4="1"),1,0)+IF(AND(MultiLabel_R1!P5="1",MultiLabel_R2!P4="1"),1,0)+IF(AND(MultiLabel_R1!Q5="1",MultiLabel_R2!Q4="1"),1,0)+IF(AND(MultiLabel_R1!R5="1",MultiLabel_R2!R4="1"),1,0)+IF(AND(MultiLabel_R1!S5="1",MultiLabel_R2!S4="1"),1,0)+IF(AND(MultiLabel_R1!T5="1",MultiLabel_R2!T4="1"),1,0)+IF(AND(MultiLabel_R1!U5="1",MultiLabel_R2!U4="1"),1,0)+IF(AND(MultiLabel_R1!V5="1",MultiLabel_R2!V4="1"),1,0)+IF(AND(MultiLabel_R1!W5="1",MultiLabel_R2!W4="1"),1,0)+IF(AND(MultiLabel_R1!X5="1",MultiLabel_R2!X4="1"),1,0))/(IF(OR(MultiLabel_R1!M5="1",MultiLabel_R2!M4="1"),1,0)+IF(OR(MultiLabel_R1!N5="1",MultiLabel_R2!N4="1"),1,0)+IF(OR(MultiLabel_R1!O5="1",MultiLabel_R2!O4="1"),1,0)+IF(OR(MultiLabel_R1!P5="1",MultiLabel_R2!P4="1"),1,0)+IF(OR(MultiLabel_R1!Q5="1",MultiLabel_R2!Q4="1"),1,0)+IF(OR(MultiLabel_R1!R5="1",MultiLabel_R2!R4="1"),1,0)+IF(OR(MultiLabel_R1!S5="1",MultiLabel_R2!S4="1"),1,0)+IF(OR(MultiLabel_R1!T5="1",MultiLabel_R2!T4="1"),1,0)+IF(OR(MultiLabel_R1!U5="1",MultiLabel_R2!U4="1"),1,0)+IF(OR(MultiLabel_R1!V5="1",MultiLabel_R2!V4="1"),1,0)+IF(OR(MultiLabel_R1!W5="1",MultiLabel_R2!W4="1"),1,0)+IF(OR(MultiLabel_R1!X5="1",MultiLabel_R2!X4="1"),1,0)))</f>
        <v>1</v>
      </c>
      <c r="F4" s="14">
        <f>IF((IF(OR(MultiLabel_R1!Y5="1",MultiLabel_R2!Y4="1"),1,0)+IF(OR(MultiLabel_R1!Z5="1",MultiLabel_R2!Z4="1"),1,0)+IF(OR(MultiLabel_R1!AA5="1",MultiLabel_R2!AA4="1"),1,0)+IF(OR(MultiLabel_R1!AB5="1",MultiLabel_R2!AB4="1"),1,0)+IF(OR(MultiLabel_R1!AC5="1",MultiLabel_R2!AC4="1"),1,0)+IF(OR(MultiLabel_R1!AD5="1",MultiLabel_R2!AD4="1"),1,0)+IF(OR(MultiLabel_R1!AE5="1",MultiLabel_R2!AE4="1"),1,0)+IF(OR(MultiLabel_R1!AF5="1",MultiLabel_R2!AF4="1"),1,0))=0,"NA",(IF(AND(MultiLabel_R1!Y5="1",MultiLabel_R2!Y4="1"),1,0)+IF(AND(MultiLabel_R1!Z5="1",MultiLabel_R2!Z4="1"),1,0)+IF(AND(MultiLabel_R1!AA5="1",MultiLabel_R2!AA4="1"),1,0)+IF(AND(MultiLabel_R1!AB5="1",MultiLabel_R2!AB4="1"),1,0)+IF(AND(MultiLabel_R1!AC5="1",MultiLabel_R2!AC4="1"),1,0)+IF(AND(MultiLabel_R1!AD5="1",MultiLabel_R2!AD4="1"),1,0)+IF(AND(MultiLabel_R1!AE5="1",MultiLabel_R2!AE4="1"),1,0)+IF(AND(MultiLabel_R1!AF5="1",MultiLabel_R2!AF4="1"),1,0))/(IF(OR(MultiLabel_R1!Y5="1",MultiLabel_R2!Y4="1"),1,0)+IF(OR(MultiLabel_R1!Z5="1",MultiLabel_R2!Z4="1"),1,0)+IF(OR(MultiLabel_R1!AA5="1",MultiLabel_R2!AA4="1"),1,0)+IF(OR(MultiLabel_R1!AB5="1",MultiLabel_R2!AB4="1"),1,0)+IF(OR(MultiLabel_R1!AC5="1",MultiLabel_R2!AC4="1"),1,0)+IF(OR(MultiLabel_R1!AD5="1",MultiLabel_R2!AD4="1"),1,0)+IF(OR(MultiLabel_R1!AE5="1",MultiLabel_R2!AE4="1"),1,0)+IF(OR(MultiLabel_R1!AF5="1",MultiLabel_R2!AF4="1"),1,0)))</f>
        <v>1</v>
      </c>
      <c r="G4" s="14">
        <f>IF((IF(OR(MultiLabel_R1!AG5="1",MultiLabel_R2!AG4="1"),1,0)+IF(OR(MultiLabel_R1!AH5="1",MultiLabel_R2!AH4="1"),1,0)+IF(OR(MultiLabel_R1!AI5="1",MultiLabel_R2!AI4="1"),1,0)+IF(OR(MultiLabel_R1!AJ5="1",MultiLabel_R2!AJ4="1"),1,0)+IF(OR(MultiLabel_R1!AK5="1",MultiLabel_R2!AK4="1"),1,0)+IF(OR(MultiLabel_R1!AL5="1",MultiLabel_R2!AL4="1"),1,0)+IF(OR(MultiLabel_R1!AM5="1",MultiLabel_R2!AM4="1"),1,0)+IF(OR(MultiLabel_R1!AN5="1",MultiLabel_R2!AN4="1"),1,0)+IF(OR(MultiLabel_R1!AO5="1",MultiLabel_R2!AO4="1"),1,0)+IF(OR(MultiLabel_R1!AP5="1",MultiLabel_R2!AP4="1"),1,0)+IF(OR(MultiLabel_R1!AQ5="1",MultiLabel_R2!AQ4="1"),1,0)+IF(OR(MultiLabel_R1!AR5="1",MultiLabel_R2!AR4="1"),1,0))=0,"NA",(IF(AND(MultiLabel_R1!AG5="1",MultiLabel_R2!AG4="1"),1,0)+IF(AND(MultiLabel_R1!AH5="1",MultiLabel_R2!AH4="1"),1,0)+IF(AND(MultiLabel_R1!AI5="1",MultiLabel_R2!AI4="1"),1,0)+IF(AND(MultiLabel_R1!AJ5="1",MultiLabel_R2!AJ4="1"),1,0)+IF(AND(MultiLabel_R1!AK5="1",MultiLabel_R2!AK4="1"),1,0)+IF(AND(MultiLabel_R1!AL5="1",MultiLabel_R2!AL4="1"),1,0)+IF(AND(MultiLabel_R1!AM5="1",MultiLabel_R2!AM4="1"),1,0)+IF(AND(MultiLabel_R1!AN5="1",MultiLabel_R2!AN4="1"),1,0)+IF(AND(MultiLabel_R1!AO5="1",MultiLabel_R2!AO4="1"),1,0)+IF(AND(MultiLabel_R1!AP5="1",MultiLabel_R2!AP4="1"),1,0)+IF(AND(MultiLabel_R1!AQ5="1",MultiLabel_R2!AQ4="1"),1,0)+IF(AND(MultiLabel_R1!AR5="1",MultiLabel_R2!AR4="1"),1,0))/(IF(OR(MultiLabel_R1!AG5="1",MultiLabel_R2!AG4="1"),1,0)+IF(OR(MultiLabel_R1!AH5="1",MultiLabel_R2!AH4="1"),1,0)+IF(OR(MultiLabel_R1!AI5="1",MultiLabel_R2!AI4="1"),1,0)+IF(OR(MultiLabel_R1!AJ5="1",MultiLabel_R2!AJ4="1"),1,0)+IF(OR(MultiLabel_R1!AK5="1",MultiLabel_R2!AK4="1"),1,0)+IF(OR(MultiLabel_R1!AL5="1",MultiLabel_R2!AL4="1"),1,0)+IF(OR(MultiLabel_R1!AM5="1",MultiLabel_R2!AM4="1"),1,0)+IF(OR(MultiLabel_R1!AN5="1",MultiLabel_R2!AN4="1"),1,0)+IF(OR(MultiLabel_R1!AO5="1",MultiLabel_R2!AO4="1"),1,0)+IF(OR(MultiLabel_R1!AP5="1",MultiLabel_R2!AP4="1"),1,0)+IF(OR(MultiLabel_R1!AQ5="1",MultiLabel_R2!AQ4="1"),1,0)+IF(OR(MultiLabel_R1!AR5="1",MultiLabel_R2!AR4="1"),1,0)))</f>
        <v>1</v>
      </c>
      <c r="I4" s="4" t="s">
        <v>232</v>
      </c>
      <c r="J4" s="4">
        <f>IF(COUNT(D3:D27)=0,"NA",AVERAGE(D3:D27))</f>
        <v>1</v>
      </c>
      <c r="K4" s="4">
        <f>COUNT(D3:D27)</f>
        <v>25</v>
      </c>
      <c r="L4" s="4" t="s">
        <v>433</v>
      </c>
    </row>
    <row r="5" spans="1:12">
      <c r="A5" s="4" t="s">
        <v>61</v>
      </c>
      <c r="B5" s="4" t="s">
        <v>62</v>
      </c>
      <c r="C5" s="14">
        <f>IF((IF(OR(MultiLabel_R1!C6="1",MultiLabel_R2!C5="1"),1,0)+IF(OR(MultiLabel_R1!D6="1",MultiLabel_R2!D5="1"),1,0)+IF(OR(MultiLabel_R1!E6="1",MultiLabel_R2!E5="1"),1,0)+IF(OR(MultiLabel_R1!F6="1",MultiLabel_R2!F5="1"),1,0))=0,"NA",(IF(AND(MultiLabel_R1!C6="1",MultiLabel_R2!C5="1"),1,0)+IF(AND(MultiLabel_R1!D6="1",MultiLabel_R2!D5="1"),1,0)+IF(AND(MultiLabel_R1!E6="1",MultiLabel_R2!E5="1"),1,0)+IF(AND(MultiLabel_R1!F6="1",MultiLabel_R2!F5="1"),1,0))/(IF(OR(MultiLabel_R1!C6="1",MultiLabel_R2!C5="1"),1,0)+IF(OR(MultiLabel_R1!D6="1",MultiLabel_R2!D5="1"),1,0)+IF(OR(MultiLabel_R1!E6="1",MultiLabel_R2!E5="1"),1,0)+IF(OR(MultiLabel_R1!F6="1",MultiLabel_R2!F5="1"),1,0)))</f>
        <v>1</v>
      </c>
      <c r="D5" s="14">
        <f>IF((IF(OR(MultiLabel_R1!G6="1",MultiLabel_R2!G5="1"),1,0)+IF(OR(MultiLabel_R1!H6="1",MultiLabel_R2!H5="1"),1,0)+IF(OR(MultiLabel_R1!I6="1",MultiLabel_R2!I5="1"),1,0)+IF(OR(MultiLabel_R1!J6="1",MultiLabel_R2!J5="1"),1,0)+IF(OR(MultiLabel_R1!K6="1",MultiLabel_R2!K5="1"),1,0)+IF(OR(MultiLabel_R1!L6="1",MultiLabel_R2!L5="1"),1,0))=0,"NA",(IF(AND(MultiLabel_R1!G6="1",MultiLabel_R2!G5="1"),1,0)+IF(AND(MultiLabel_R1!H6="1",MultiLabel_R2!H5="1"),1,0)+IF(AND(MultiLabel_R1!I6="1",MultiLabel_R2!I5="1"),1,0)+IF(AND(MultiLabel_R1!J6="1",MultiLabel_R2!J5="1"),1,0)+IF(AND(MultiLabel_R1!K6="1",MultiLabel_R2!K5="1"),1,0)+IF(AND(MultiLabel_R1!L6="1",MultiLabel_R2!L5="1"),1,0))/(IF(OR(MultiLabel_R1!G6="1",MultiLabel_R2!G5="1"),1,0)+IF(OR(MultiLabel_R1!H6="1",MultiLabel_R2!H5="1"),1,0)+IF(OR(MultiLabel_R1!I6="1",MultiLabel_R2!I5="1"),1,0)+IF(OR(MultiLabel_R1!J6="1",MultiLabel_R2!J5="1"),1,0)+IF(OR(MultiLabel_R1!K6="1",MultiLabel_R2!K5="1"),1,0)+IF(OR(MultiLabel_R1!L6="1",MultiLabel_R2!L5="1"),1,0)))</f>
        <v>1</v>
      </c>
      <c r="E5" s="14">
        <f>IF((IF(OR(MultiLabel_R1!M6="1",MultiLabel_R2!M5="1"),1,0)+IF(OR(MultiLabel_R1!N6="1",MultiLabel_R2!N5="1"),1,0)+IF(OR(MultiLabel_R1!O6="1",MultiLabel_R2!O5="1"),1,0)+IF(OR(MultiLabel_R1!P6="1",MultiLabel_R2!P5="1"),1,0)+IF(OR(MultiLabel_R1!Q6="1",MultiLabel_R2!Q5="1"),1,0)+IF(OR(MultiLabel_R1!R6="1",MultiLabel_R2!R5="1"),1,0)+IF(OR(MultiLabel_R1!S6="1",MultiLabel_R2!S5="1"),1,0)+IF(OR(MultiLabel_R1!T6="1",MultiLabel_R2!T5="1"),1,0)+IF(OR(MultiLabel_R1!U6="1",MultiLabel_R2!U5="1"),1,0)+IF(OR(MultiLabel_R1!V6="1",MultiLabel_R2!V5="1"),1,0)+IF(OR(MultiLabel_R1!W6="1",MultiLabel_R2!W5="1"),1,0)+IF(OR(MultiLabel_R1!X6="1",MultiLabel_R2!X5="1"),1,0))=0,"NA",(IF(AND(MultiLabel_R1!M6="1",MultiLabel_R2!M5="1"),1,0)+IF(AND(MultiLabel_R1!N6="1",MultiLabel_R2!N5="1"),1,0)+IF(AND(MultiLabel_R1!O6="1",MultiLabel_R2!O5="1"),1,0)+IF(AND(MultiLabel_R1!P6="1",MultiLabel_R2!P5="1"),1,0)+IF(AND(MultiLabel_R1!Q6="1",MultiLabel_R2!Q5="1"),1,0)+IF(AND(MultiLabel_R1!R6="1",MultiLabel_R2!R5="1"),1,0)+IF(AND(MultiLabel_R1!S6="1",MultiLabel_R2!S5="1"),1,0)+IF(AND(MultiLabel_R1!T6="1",MultiLabel_R2!T5="1"),1,0)+IF(AND(MultiLabel_R1!U6="1",MultiLabel_R2!U5="1"),1,0)+IF(AND(MultiLabel_R1!V6="1",MultiLabel_R2!V5="1"),1,0)+IF(AND(MultiLabel_R1!W6="1",MultiLabel_R2!W5="1"),1,0)+IF(AND(MultiLabel_R1!X6="1",MultiLabel_R2!X5="1"),1,0))/(IF(OR(MultiLabel_R1!M6="1",MultiLabel_R2!M5="1"),1,0)+IF(OR(MultiLabel_R1!N6="1",MultiLabel_R2!N5="1"),1,0)+IF(OR(MultiLabel_R1!O6="1",MultiLabel_R2!O5="1"),1,0)+IF(OR(MultiLabel_R1!P6="1",MultiLabel_R2!P5="1"),1,0)+IF(OR(MultiLabel_R1!Q6="1",MultiLabel_R2!Q5="1"),1,0)+IF(OR(MultiLabel_R1!R6="1",MultiLabel_R2!R5="1"),1,0)+IF(OR(MultiLabel_R1!S6="1",MultiLabel_R2!S5="1"),1,0)+IF(OR(MultiLabel_R1!T6="1",MultiLabel_R2!T5="1"),1,0)+IF(OR(MultiLabel_R1!U6="1",MultiLabel_R2!U5="1"),1,0)+IF(OR(MultiLabel_R1!V6="1",MultiLabel_R2!V5="1"),1,0)+IF(OR(MultiLabel_R1!W6="1",MultiLabel_R2!W5="1"),1,0)+IF(OR(MultiLabel_R1!X6="1",MultiLabel_R2!X5="1"),1,0)))</f>
        <v>1</v>
      </c>
      <c r="F5" s="14">
        <f>IF((IF(OR(MultiLabel_R1!Y6="1",MultiLabel_R2!Y5="1"),1,0)+IF(OR(MultiLabel_R1!Z6="1",MultiLabel_R2!Z5="1"),1,0)+IF(OR(MultiLabel_R1!AA6="1",MultiLabel_R2!AA5="1"),1,0)+IF(OR(MultiLabel_R1!AB6="1",MultiLabel_R2!AB5="1"),1,0)+IF(OR(MultiLabel_R1!AC6="1",MultiLabel_R2!AC5="1"),1,0)+IF(OR(MultiLabel_R1!AD6="1",MultiLabel_R2!AD5="1"),1,0)+IF(OR(MultiLabel_R1!AE6="1",MultiLabel_R2!AE5="1"),1,0)+IF(OR(MultiLabel_R1!AF6="1",MultiLabel_R2!AF5="1"),1,0))=0,"NA",(IF(AND(MultiLabel_R1!Y6="1",MultiLabel_R2!Y5="1"),1,0)+IF(AND(MultiLabel_R1!Z6="1",MultiLabel_R2!Z5="1"),1,0)+IF(AND(MultiLabel_R1!AA6="1",MultiLabel_R2!AA5="1"),1,0)+IF(AND(MultiLabel_R1!AB6="1",MultiLabel_R2!AB5="1"),1,0)+IF(AND(MultiLabel_R1!AC6="1",MultiLabel_R2!AC5="1"),1,0)+IF(AND(MultiLabel_R1!AD6="1",MultiLabel_R2!AD5="1"),1,0)+IF(AND(MultiLabel_R1!AE6="1",MultiLabel_R2!AE5="1"),1,0)+IF(AND(MultiLabel_R1!AF6="1",MultiLabel_R2!AF5="1"),1,0))/(IF(OR(MultiLabel_R1!Y6="1",MultiLabel_R2!Y5="1"),1,0)+IF(OR(MultiLabel_R1!Z6="1",MultiLabel_R2!Z5="1"),1,0)+IF(OR(MultiLabel_R1!AA6="1",MultiLabel_R2!AA5="1"),1,0)+IF(OR(MultiLabel_R1!AB6="1",MultiLabel_R2!AB5="1"),1,0)+IF(OR(MultiLabel_R1!AC6="1",MultiLabel_R2!AC5="1"),1,0)+IF(OR(MultiLabel_R1!AD6="1",MultiLabel_R2!AD5="1"),1,0)+IF(OR(MultiLabel_R1!AE6="1",MultiLabel_R2!AE5="1"),1,0)+IF(OR(MultiLabel_R1!AF6="1",MultiLabel_R2!AF5="1"),1,0)))</f>
        <v>1</v>
      </c>
      <c r="G5" s="14">
        <f>IF((IF(OR(MultiLabel_R1!AG6="1",MultiLabel_R2!AG5="1"),1,0)+IF(OR(MultiLabel_R1!AH6="1",MultiLabel_R2!AH5="1"),1,0)+IF(OR(MultiLabel_R1!AI6="1",MultiLabel_R2!AI5="1"),1,0)+IF(OR(MultiLabel_R1!AJ6="1",MultiLabel_R2!AJ5="1"),1,0)+IF(OR(MultiLabel_R1!AK6="1",MultiLabel_R2!AK5="1"),1,0)+IF(OR(MultiLabel_R1!AL6="1",MultiLabel_R2!AL5="1"),1,0)+IF(OR(MultiLabel_R1!AM6="1",MultiLabel_R2!AM5="1"),1,0)+IF(OR(MultiLabel_R1!AN6="1",MultiLabel_R2!AN5="1"),1,0)+IF(OR(MultiLabel_R1!AO6="1",MultiLabel_R2!AO5="1"),1,0)+IF(OR(MultiLabel_R1!AP6="1",MultiLabel_R2!AP5="1"),1,0)+IF(OR(MultiLabel_R1!AQ6="1",MultiLabel_R2!AQ5="1"),1,0)+IF(OR(MultiLabel_R1!AR6="1",MultiLabel_R2!AR5="1"),1,0))=0,"NA",(IF(AND(MultiLabel_R1!AG6="1",MultiLabel_R2!AG5="1"),1,0)+IF(AND(MultiLabel_R1!AH6="1",MultiLabel_R2!AH5="1"),1,0)+IF(AND(MultiLabel_R1!AI6="1",MultiLabel_R2!AI5="1"),1,0)+IF(AND(MultiLabel_R1!AJ6="1",MultiLabel_R2!AJ5="1"),1,0)+IF(AND(MultiLabel_R1!AK6="1",MultiLabel_R2!AK5="1"),1,0)+IF(AND(MultiLabel_R1!AL6="1",MultiLabel_R2!AL5="1"),1,0)+IF(AND(MultiLabel_R1!AM6="1",MultiLabel_R2!AM5="1"),1,0)+IF(AND(MultiLabel_R1!AN6="1",MultiLabel_R2!AN5="1"),1,0)+IF(AND(MultiLabel_R1!AO6="1",MultiLabel_R2!AO5="1"),1,0)+IF(AND(MultiLabel_R1!AP6="1",MultiLabel_R2!AP5="1"),1,0)+IF(AND(MultiLabel_R1!AQ6="1",MultiLabel_R2!AQ5="1"),1,0)+IF(AND(MultiLabel_R1!AR6="1",MultiLabel_R2!AR5="1"),1,0))/(IF(OR(MultiLabel_R1!AG6="1",MultiLabel_R2!AG5="1"),1,0)+IF(OR(MultiLabel_R1!AH6="1",MultiLabel_R2!AH5="1"),1,0)+IF(OR(MultiLabel_R1!AI6="1",MultiLabel_R2!AI5="1"),1,0)+IF(OR(MultiLabel_R1!AJ6="1",MultiLabel_R2!AJ5="1"),1,0)+IF(OR(MultiLabel_R1!AK6="1",MultiLabel_R2!AK5="1"),1,0)+IF(OR(MultiLabel_R1!AL6="1",MultiLabel_R2!AL5="1"),1,0)+IF(OR(MultiLabel_R1!AM6="1",MultiLabel_R2!AM5="1"),1,0)+IF(OR(MultiLabel_R1!AN6="1",MultiLabel_R2!AN5="1"),1,0)+IF(OR(MultiLabel_R1!AO6="1",MultiLabel_R2!AO5="1"),1,0)+IF(OR(MultiLabel_R1!AP6="1",MultiLabel_R2!AP5="1"),1,0)+IF(OR(MultiLabel_R1!AQ6="1",MultiLabel_R2!AQ5="1"),1,0)+IF(OR(MultiLabel_R1!AR6="1",MultiLabel_R2!AR5="1"),1,0)))</f>
        <v>1</v>
      </c>
      <c r="I5" s="4" t="s">
        <v>233</v>
      </c>
      <c r="J5" s="4">
        <f>IF(COUNT(E3:E27)=0,"NA",AVERAGE(E3:E27))</f>
        <v>1</v>
      </c>
      <c r="K5" s="4">
        <f>COUNT(E3:E27)</f>
        <v>25</v>
      </c>
      <c r="L5" s="4" t="s">
        <v>433</v>
      </c>
    </row>
    <row r="6" spans="1:12">
      <c r="A6" s="4" t="s">
        <v>71</v>
      </c>
      <c r="B6" s="4" t="s">
        <v>72</v>
      </c>
      <c r="C6" s="14">
        <f>IF((IF(OR(MultiLabel_R1!C7="1",MultiLabel_R2!C6="1"),1,0)+IF(OR(MultiLabel_R1!D7="1",MultiLabel_R2!D6="1"),1,0)+IF(OR(MultiLabel_R1!E7="1",MultiLabel_R2!E6="1"),1,0)+IF(OR(MultiLabel_R1!F7="1",MultiLabel_R2!F6="1"),1,0))=0,"NA",(IF(AND(MultiLabel_R1!C7="1",MultiLabel_R2!C6="1"),1,0)+IF(AND(MultiLabel_R1!D7="1",MultiLabel_R2!D6="1"),1,0)+IF(AND(MultiLabel_R1!E7="1",MultiLabel_R2!E6="1"),1,0)+IF(AND(MultiLabel_R1!F7="1",MultiLabel_R2!F6="1"),1,0))/(IF(OR(MultiLabel_R1!C7="1",MultiLabel_R2!C6="1"),1,0)+IF(OR(MultiLabel_R1!D7="1",MultiLabel_R2!D6="1"),1,0)+IF(OR(MultiLabel_R1!E7="1",MultiLabel_R2!E6="1"),1,0)+IF(OR(MultiLabel_R1!F7="1",MultiLabel_R2!F6="1"),1,0)))</f>
        <v>1</v>
      </c>
      <c r="D6" s="14">
        <f>IF((IF(OR(MultiLabel_R1!G7="1",MultiLabel_R2!G6="1"),1,0)+IF(OR(MultiLabel_R1!H7="1",MultiLabel_R2!H6="1"),1,0)+IF(OR(MultiLabel_R1!I7="1",MultiLabel_R2!I6="1"),1,0)+IF(OR(MultiLabel_R1!J7="1",MultiLabel_R2!J6="1"),1,0)+IF(OR(MultiLabel_R1!K7="1",MultiLabel_R2!K6="1"),1,0)+IF(OR(MultiLabel_R1!L7="1",MultiLabel_R2!L6="1"),1,0))=0,"NA",(IF(AND(MultiLabel_R1!G7="1",MultiLabel_R2!G6="1"),1,0)+IF(AND(MultiLabel_R1!H7="1",MultiLabel_R2!H6="1"),1,0)+IF(AND(MultiLabel_R1!I7="1",MultiLabel_R2!I6="1"),1,0)+IF(AND(MultiLabel_R1!J7="1",MultiLabel_R2!J6="1"),1,0)+IF(AND(MultiLabel_R1!K7="1",MultiLabel_R2!K6="1"),1,0)+IF(AND(MultiLabel_R1!L7="1",MultiLabel_R2!L6="1"),1,0))/(IF(OR(MultiLabel_R1!G7="1",MultiLabel_R2!G6="1"),1,0)+IF(OR(MultiLabel_R1!H7="1",MultiLabel_R2!H6="1"),1,0)+IF(OR(MultiLabel_R1!I7="1",MultiLabel_R2!I6="1"),1,0)+IF(OR(MultiLabel_R1!J7="1",MultiLabel_R2!J6="1"),1,0)+IF(OR(MultiLabel_R1!K7="1",MultiLabel_R2!K6="1"),1,0)+IF(OR(MultiLabel_R1!L7="1",MultiLabel_R2!L6="1"),1,0)))</f>
        <v>1</v>
      </c>
      <c r="E6" s="14">
        <f>IF((IF(OR(MultiLabel_R1!M7="1",MultiLabel_R2!M6="1"),1,0)+IF(OR(MultiLabel_R1!N7="1",MultiLabel_R2!N6="1"),1,0)+IF(OR(MultiLabel_R1!O7="1",MultiLabel_R2!O6="1"),1,0)+IF(OR(MultiLabel_R1!P7="1",MultiLabel_R2!P6="1"),1,0)+IF(OR(MultiLabel_R1!Q7="1",MultiLabel_R2!Q6="1"),1,0)+IF(OR(MultiLabel_R1!R7="1",MultiLabel_R2!R6="1"),1,0)+IF(OR(MultiLabel_R1!S7="1",MultiLabel_R2!S6="1"),1,0)+IF(OR(MultiLabel_R1!T7="1",MultiLabel_R2!T6="1"),1,0)+IF(OR(MultiLabel_R1!U7="1",MultiLabel_R2!U6="1"),1,0)+IF(OR(MultiLabel_R1!V7="1",MultiLabel_R2!V6="1"),1,0)+IF(OR(MultiLabel_R1!W7="1",MultiLabel_R2!W6="1"),1,0)+IF(OR(MultiLabel_R1!X7="1",MultiLabel_R2!X6="1"),1,0))=0,"NA",(IF(AND(MultiLabel_R1!M7="1",MultiLabel_R2!M6="1"),1,0)+IF(AND(MultiLabel_R1!N7="1",MultiLabel_R2!N6="1"),1,0)+IF(AND(MultiLabel_R1!O7="1",MultiLabel_R2!O6="1"),1,0)+IF(AND(MultiLabel_R1!P7="1",MultiLabel_R2!P6="1"),1,0)+IF(AND(MultiLabel_R1!Q7="1",MultiLabel_R2!Q6="1"),1,0)+IF(AND(MultiLabel_R1!R7="1",MultiLabel_R2!R6="1"),1,0)+IF(AND(MultiLabel_R1!S7="1",MultiLabel_R2!S6="1"),1,0)+IF(AND(MultiLabel_R1!T7="1",MultiLabel_R2!T6="1"),1,0)+IF(AND(MultiLabel_R1!U7="1",MultiLabel_R2!U6="1"),1,0)+IF(AND(MultiLabel_R1!V7="1",MultiLabel_R2!V6="1"),1,0)+IF(AND(MultiLabel_R1!W7="1",MultiLabel_R2!W6="1"),1,0)+IF(AND(MultiLabel_R1!X7="1",MultiLabel_R2!X6="1"),1,0))/(IF(OR(MultiLabel_R1!M7="1",MultiLabel_R2!M6="1"),1,0)+IF(OR(MultiLabel_R1!N7="1",MultiLabel_R2!N6="1"),1,0)+IF(OR(MultiLabel_R1!O7="1",MultiLabel_R2!O6="1"),1,0)+IF(OR(MultiLabel_R1!P7="1",MultiLabel_R2!P6="1"),1,0)+IF(OR(MultiLabel_R1!Q7="1",MultiLabel_R2!Q6="1"),1,0)+IF(OR(MultiLabel_R1!R7="1",MultiLabel_R2!R6="1"),1,0)+IF(OR(MultiLabel_R1!S7="1",MultiLabel_R2!S6="1"),1,0)+IF(OR(MultiLabel_R1!T7="1",MultiLabel_R2!T6="1"),1,0)+IF(OR(MultiLabel_R1!U7="1",MultiLabel_R2!U6="1"),1,0)+IF(OR(MultiLabel_R1!V7="1",MultiLabel_R2!V6="1"),1,0)+IF(OR(MultiLabel_R1!W7="1",MultiLabel_R2!W6="1"),1,0)+IF(OR(MultiLabel_R1!X7="1",MultiLabel_R2!X6="1"),1,0)))</f>
        <v>1</v>
      </c>
      <c r="F6" s="14">
        <f>IF((IF(OR(MultiLabel_R1!Y7="1",MultiLabel_R2!Y6="1"),1,0)+IF(OR(MultiLabel_R1!Z7="1",MultiLabel_R2!Z6="1"),1,0)+IF(OR(MultiLabel_R1!AA7="1",MultiLabel_R2!AA6="1"),1,0)+IF(OR(MultiLabel_R1!AB7="1",MultiLabel_R2!AB6="1"),1,0)+IF(OR(MultiLabel_R1!AC7="1",MultiLabel_R2!AC6="1"),1,0)+IF(OR(MultiLabel_R1!AD7="1",MultiLabel_R2!AD6="1"),1,0)+IF(OR(MultiLabel_R1!AE7="1",MultiLabel_R2!AE6="1"),1,0)+IF(OR(MultiLabel_R1!AF7="1",MultiLabel_R2!AF6="1"),1,0))=0,"NA",(IF(AND(MultiLabel_R1!Y7="1",MultiLabel_R2!Y6="1"),1,0)+IF(AND(MultiLabel_R1!Z7="1",MultiLabel_R2!Z6="1"),1,0)+IF(AND(MultiLabel_R1!AA7="1",MultiLabel_R2!AA6="1"),1,0)+IF(AND(MultiLabel_R1!AB7="1",MultiLabel_R2!AB6="1"),1,0)+IF(AND(MultiLabel_R1!AC7="1",MultiLabel_R2!AC6="1"),1,0)+IF(AND(MultiLabel_R1!AD7="1",MultiLabel_R2!AD6="1"),1,0)+IF(AND(MultiLabel_R1!AE7="1",MultiLabel_R2!AE6="1"),1,0)+IF(AND(MultiLabel_R1!AF7="1",MultiLabel_R2!AF6="1"),1,0))/(IF(OR(MultiLabel_R1!Y7="1",MultiLabel_R2!Y6="1"),1,0)+IF(OR(MultiLabel_R1!Z7="1",MultiLabel_R2!Z6="1"),1,0)+IF(OR(MultiLabel_R1!AA7="1",MultiLabel_R2!AA6="1"),1,0)+IF(OR(MultiLabel_R1!AB7="1",MultiLabel_R2!AB6="1"),1,0)+IF(OR(MultiLabel_R1!AC7="1",MultiLabel_R2!AC6="1"),1,0)+IF(OR(MultiLabel_R1!AD7="1",MultiLabel_R2!AD6="1"),1,0)+IF(OR(MultiLabel_R1!AE7="1",MultiLabel_R2!AE6="1"),1,0)+IF(OR(MultiLabel_R1!AF7="1",MultiLabel_R2!AF6="1"),1,0)))</f>
        <v>1</v>
      </c>
      <c r="G6" s="14">
        <f>IF((IF(OR(MultiLabel_R1!AG7="1",MultiLabel_R2!AG6="1"),1,0)+IF(OR(MultiLabel_R1!AH7="1",MultiLabel_R2!AH6="1"),1,0)+IF(OR(MultiLabel_R1!AI7="1",MultiLabel_R2!AI6="1"),1,0)+IF(OR(MultiLabel_R1!AJ7="1",MultiLabel_R2!AJ6="1"),1,0)+IF(OR(MultiLabel_R1!AK7="1",MultiLabel_R2!AK6="1"),1,0)+IF(OR(MultiLabel_R1!AL7="1",MultiLabel_R2!AL6="1"),1,0)+IF(OR(MultiLabel_R1!AM7="1",MultiLabel_R2!AM6="1"),1,0)+IF(OR(MultiLabel_R1!AN7="1",MultiLabel_R2!AN6="1"),1,0)+IF(OR(MultiLabel_R1!AO7="1",MultiLabel_R2!AO6="1"),1,0)+IF(OR(MultiLabel_R1!AP7="1",MultiLabel_R2!AP6="1"),1,0)+IF(OR(MultiLabel_R1!AQ7="1",MultiLabel_R2!AQ6="1"),1,0)+IF(OR(MultiLabel_R1!AR7="1",MultiLabel_R2!AR6="1"),1,0))=0,"NA",(IF(AND(MultiLabel_R1!AG7="1",MultiLabel_R2!AG6="1"),1,0)+IF(AND(MultiLabel_R1!AH7="1",MultiLabel_R2!AH6="1"),1,0)+IF(AND(MultiLabel_R1!AI7="1",MultiLabel_R2!AI6="1"),1,0)+IF(AND(MultiLabel_R1!AJ7="1",MultiLabel_R2!AJ6="1"),1,0)+IF(AND(MultiLabel_R1!AK7="1",MultiLabel_R2!AK6="1"),1,0)+IF(AND(MultiLabel_R1!AL7="1",MultiLabel_R2!AL6="1"),1,0)+IF(AND(MultiLabel_R1!AM7="1",MultiLabel_R2!AM6="1"),1,0)+IF(AND(MultiLabel_R1!AN7="1",MultiLabel_R2!AN6="1"),1,0)+IF(AND(MultiLabel_R1!AO7="1",MultiLabel_R2!AO6="1"),1,0)+IF(AND(MultiLabel_R1!AP7="1",MultiLabel_R2!AP6="1"),1,0)+IF(AND(MultiLabel_R1!AQ7="1",MultiLabel_R2!AQ6="1"),1,0)+IF(AND(MultiLabel_R1!AR7="1",MultiLabel_R2!AR6="1"),1,0))/(IF(OR(MultiLabel_R1!AG7="1",MultiLabel_R2!AG6="1"),1,0)+IF(OR(MultiLabel_R1!AH7="1",MultiLabel_R2!AH6="1"),1,0)+IF(OR(MultiLabel_R1!AI7="1",MultiLabel_R2!AI6="1"),1,0)+IF(OR(MultiLabel_R1!AJ7="1",MultiLabel_R2!AJ6="1"),1,0)+IF(OR(MultiLabel_R1!AK7="1",MultiLabel_R2!AK6="1"),1,0)+IF(OR(MultiLabel_R1!AL7="1",MultiLabel_R2!AL6="1"),1,0)+IF(OR(MultiLabel_R1!AM7="1",MultiLabel_R2!AM6="1"),1,0)+IF(OR(MultiLabel_R1!AN7="1",MultiLabel_R2!AN6="1"),1,0)+IF(OR(MultiLabel_R1!AO7="1",MultiLabel_R2!AO6="1"),1,0)+IF(OR(MultiLabel_R1!AP7="1",MultiLabel_R2!AP6="1"),1,0)+IF(OR(MultiLabel_R1!AQ7="1",MultiLabel_R2!AQ6="1"),1,0)+IF(OR(MultiLabel_R1!AR7="1",MultiLabel_R2!AR6="1"),1,0)))</f>
        <v>1</v>
      </c>
      <c r="I6" s="4" t="s">
        <v>234</v>
      </c>
      <c r="J6" s="4">
        <f>IF(COUNT(F3:F27)=0,"NA",AVERAGE(F3:F27))</f>
        <v>1</v>
      </c>
      <c r="K6" s="4">
        <f>COUNT(F3:F27)</f>
        <v>25</v>
      </c>
      <c r="L6" s="4" t="s">
        <v>433</v>
      </c>
    </row>
    <row r="7" spans="1:12">
      <c r="A7" s="4" t="s">
        <v>79</v>
      </c>
      <c r="B7" s="4" t="s">
        <v>80</v>
      </c>
      <c r="C7" s="14">
        <f>IF((IF(OR(MultiLabel_R1!C8="1",MultiLabel_R2!C7="1"),1,0)+IF(OR(MultiLabel_R1!D8="1",MultiLabel_R2!D7="1"),1,0)+IF(OR(MultiLabel_R1!E8="1",MultiLabel_R2!E7="1"),1,0)+IF(OR(MultiLabel_R1!F8="1",MultiLabel_R2!F7="1"),1,0))=0,"NA",(IF(AND(MultiLabel_R1!C8="1",MultiLabel_R2!C7="1"),1,0)+IF(AND(MultiLabel_R1!D8="1",MultiLabel_R2!D7="1"),1,0)+IF(AND(MultiLabel_R1!E8="1",MultiLabel_R2!E7="1"),1,0)+IF(AND(MultiLabel_R1!F8="1",MultiLabel_R2!F7="1"),1,0))/(IF(OR(MultiLabel_R1!C8="1",MultiLabel_R2!C7="1"),1,0)+IF(OR(MultiLabel_R1!D8="1",MultiLabel_R2!D7="1"),1,0)+IF(OR(MultiLabel_R1!E8="1",MultiLabel_R2!E7="1"),1,0)+IF(OR(MultiLabel_R1!F8="1",MultiLabel_R2!F7="1"),1,0)))</f>
        <v>1</v>
      </c>
      <c r="D7" s="14">
        <f>IF((IF(OR(MultiLabel_R1!G8="1",MultiLabel_R2!G7="1"),1,0)+IF(OR(MultiLabel_R1!H8="1",MultiLabel_R2!H7="1"),1,0)+IF(OR(MultiLabel_R1!I8="1",MultiLabel_R2!I7="1"),1,0)+IF(OR(MultiLabel_R1!J8="1",MultiLabel_R2!J7="1"),1,0)+IF(OR(MultiLabel_R1!K8="1",MultiLabel_R2!K7="1"),1,0)+IF(OR(MultiLabel_R1!L8="1",MultiLabel_R2!L7="1"),1,0))=0,"NA",(IF(AND(MultiLabel_R1!G8="1",MultiLabel_R2!G7="1"),1,0)+IF(AND(MultiLabel_R1!H8="1",MultiLabel_R2!H7="1"),1,0)+IF(AND(MultiLabel_R1!I8="1",MultiLabel_R2!I7="1"),1,0)+IF(AND(MultiLabel_R1!J8="1",MultiLabel_R2!J7="1"),1,0)+IF(AND(MultiLabel_R1!K8="1",MultiLabel_R2!K7="1"),1,0)+IF(AND(MultiLabel_R1!L8="1",MultiLabel_R2!L7="1"),1,0))/(IF(OR(MultiLabel_R1!G8="1",MultiLabel_R2!G7="1"),1,0)+IF(OR(MultiLabel_R1!H8="1",MultiLabel_R2!H7="1"),1,0)+IF(OR(MultiLabel_R1!I8="1",MultiLabel_R2!I7="1"),1,0)+IF(OR(MultiLabel_R1!J8="1",MultiLabel_R2!J7="1"),1,0)+IF(OR(MultiLabel_R1!K8="1",MultiLabel_R2!K7="1"),1,0)+IF(OR(MultiLabel_R1!L8="1",MultiLabel_R2!L7="1"),1,0)))</f>
        <v>1</v>
      </c>
      <c r="E7" s="14">
        <f>IF((IF(OR(MultiLabel_R1!M8="1",MultiLabel_R2!M7="1"),1,0)+IF(OR(MultiLabel_R1!N8="1",MultiLabel_R2!N7="1"),1,0)+IF(OR(MultiLabel_R1!O8="1",MultiLabel_R2!O7="1"),1,0)+IF(OR(MultiLabel_R1!P8="1",MultiLabel_R2!P7="1"),1,0)+IF(OR(MultiLabel_R1!Q8="1",MultiLabel_R2!Q7="1"),1,0)+IF(OR(MultiLabel_R1!R8="1",MultiLabel_R2!R7="1"),1,0)+IF(OR(MultiLabel_R1!S8="1",MultiLabel_R2!S7="1"),1,0)+IF(OR(MultiLabel_R1!T8="1",MultiLabel_R2!T7="1"),1,0)+IF(OR(MultiLabel_R1!U8="1",MultiLabel_R2!U7="1"),1,0)+IF(OR(MultiLabel_R1!V8="1",MultiLabel_R2!V7="1"),1,0)+IF(OR(MultiLabel_R1!W8="1",MultiLabel_R2!W7="1"),1,0)+IF(OR(MultiLabel_R1!X8="1",MultiLabel_R2!X7="1"),1,0))=0,"NA",(IF(AND(MultiLabel_R1!M8="1",MultiLabel_R2!M7="1"),1,0)+IF(AND(MultiLabel_R1!N8="1",MultiLabel_R2!N7="1"),1,0)+IF(AND(MultiLabel_R1!O8="1",MultiLabel_R2!O7="1"),1,0)+IF(AND(MultiLabel_R1!P8="1",MultiLabel_R2!P7="1"),1,0)+IF(AND(MultiLabel_R1!Q8="1",MultiLabel_R2!Q7="1"),1,0)+IF(AND(MultiLabel_R1!R8="1",MultiLabel_R2!R7="1"),1,0)+IF(AND(MultiLabel_R1!S8="1",MultiLabel_R2!S7="1"),1,0)+IF(AND(MultiLabel_R1!T8="1",MultiLabel_R2!T7="1"),1,0)+IF(AND(MultiLabel_R1!U8="1",MultiLabel_R2!U7="1"),1,0)+IF(AND(MultiLabel_R1!V8="1",MultiLabel_R2!V7="1"),1,0)+IF(AND(MultiLabel_R1!W8="1",MultiLabel_R2!W7="1"),1,0)+IF(AND(MultiLabel_R1!X8="1",MultiLabel_R2!X7="1"),1,0))/(IF(OR(MultiLabel_R1!M8="1",MultiLabel_R2!M7="1"),1,0)+IF(OR(MultiLabel_R1!N8="1",MultiLabel_R2!N7="1"),1,0)+IF(OR(MultiLabel_R1!O8="1",MultiLabel_R2!O7="1"),1,0)+IF(OR(MultiLabel_R1!P8="1",MultiLabel_R2!P7="1"),1,0)+IF(OR(MultiLabel_R1!Q8="1",MultiLabel_R2!Q7="1"),1,0)+IF(OR(MultiLabel_R1!R8="1",MultiLabel_R2!R7="1"),1,0)+IF(OR(MultiLabel_R1!S8="1",MultiLabel_R2!S7="1"),1,0)+IF(OR(MultiLabel_R1!T8="1",MultiLabel_R2!T7="1"),1,0)+IF(OR(MultiLabel_R1!U8="1",MultiLabel_R2!U7="1"),1,0)+IF(OR(MultiLabel_R1!V8="1",MultiLabel_R2!V7="1"),1,0)+IF(OR(MultiLabel_R1!W8="1",MultiLabel_R2!W7="1"),1,0)+IF(OR(MultiLabel_R1!X8="1",MultiLabel_R2!X7="1"),1,0)))</f>
        <v>1</v>
      </c>
      <c r="F7" s="14">
        <f>IF((IF(OR(MultiLabel_R1!Y8="1",MultiLabel_R2!Y7="1"),1,0)+IF(OR(MultiLabel_R1!Z8="1",MultiLabel_R2!Z7="1"),1,0)+IF(OR(MultiLabel_R1!AA8="1",MultiLabel_R2!AA7="1"),1,0)+IF(OR(MultiLabel_R1!AB8="1",MultiLabel_R2!AB7="1"),1,0)+IF(OR(MultiLabel_R1!AC8="1",MultiLabel_R2!AC7="1"),1,0)+IF(OR(MultiLabel_R1!AD8="1",MultiLabel_R2!AD7="1"),1,0)+IF(OR(MultiLabel_R1!AE8="1",MultiLabel_R2!AE7="1"),1,0)+IF(OR(MultiLabel_R1!AF8="1",MultiLabel_R2!AF7="1"),1,0))=0,"NA",(IF(AND(MultiLabel_R1!Y8="1",MultiLabel_R2!Y7="1"),1,0)+IF(AND(MultiLabel_R1!Z8="1",MultiLabel_R2!Z7="1"),1,0)+IF(AND(MultiLabel_R1!AA8="1",MultiLabel_R2!AA7="1"),1,0)+IF(AND(MultiLabel_R1!AB8="1",MultiLabel_R2!AB7="1"),1,0)+IF(AND(MultiLabel_R1!AC8="1",MultiLabel_R2!AC7="1"),1,0)+IF(AND(MultiLabel_R1!AD8="1",MultiLabel_R2!AD7="1"),1,0)+IF(AND(MultiLabel_R1!AE8="1",MultiLabel_R2!AE7="1"),1,0)+IF(AND(MultiLabel_R1!AF8="1",MultiLabel_R2!AF7="1"),1,0))/(IF(OR(MultiLabel_R1!Y8="1",MultiLabel_R2!Y7="1"),1,0)+IF(OR(MultiLabel_R1!Z8="1",MultiLabel_R2!Z7="1"),1,0)+IF(OR(MultiLabel_R1!AA8="1",MultiLabel_R2!AA7="1"),1,0)+IF(OR(MultiLabel_R1!AB8="1",MultiLabel_R2!AB7="1"),1,0)+IF(OR(MultiLabel_R1!AC8="1",MultiLabel_R2!AC7="1"),1,0)+IF(OR(MultiLabel_R1!AD8="1",MultiLabel_R2!AD7="1"),1,0)+IF(OR(MultiLabel_R1!AE8="1",MultiLabel_R2!AE7="1"),1,0)+IF(OR(MultiLabel_R1!AF8="1",MultiLabel_R2!AF7="1"),1,0)))</f>
        <v>1</v>
      </c>
      <c r="G7" s="14">
        <f>IF((IF(OR(MultiLabel_R1!AG8="1",MultiLabel_R2!AG7="1"),1,0)+IF(OR(MultiLabel_R1!AH8="1",MultiLabel_R2!AH7="1"),1,0)+IF(OR(MultiLabel_R1!AI8="1",MultiLabel_R2!AI7="1"),1,0)+IF(OR(MultiLabel_R1!AJ8="1",MultiLabel_R2!AJ7="1"),1,0)+IF(OR(MultiLabel_R1!AK8="1",MultiLabel_R2!AK7="1"),1,0)+IF(OR(MultiLabel_R1!AL8="1",MultiLabel_R2!AL7="1"),1,0)+IF(OR(MultiLabel_R1!AM8="1",MultiLabel_R2!AM7="1"),1,0)+IF(OR(MultiLabel_R1!AN8="1",MultiLabel_R2!AN7="1"),1,0)+IF(OR(MultiLabel_R1!AO8="1",MultiLabel_R2!AO7="1"),1,0)+IF(OR(MultiLabel_R1!AP8="1",MultiLabel_R2!AP7="1"),1,0)+IF(OR(MultiLabel_R1!AQ8="1",MultiLabel_R2!AQ7="1"),1,0)+IF(OR(MultiLabel_R1!AR8="1",MultiLabel_R2!AR7="1"),1,0))=0,"NA",(IF(AND(MultiLabel_R1!AG8="1",MultiLabel_R2!AG7="1"),1,0)+IF(AND(MultiLabel_R1!AH8="1",MultiLabel_R2!AH7="1"),1,0)+IF(AND(MultiLabel_R1!AI8="1",MultiLabel_R2!AI7="1"),1,0)+IF(AND(MultiLabel_R1!AJ8="1",MultiLabel_R2!AJ7="1"),1,0)+IF(AND(MultiLabel_R1!AK8="1",MultiLabel_R2!AK7="1"),1,0)+IF(AND(MultiLabel_R1!AL8="1",MultiLabel_R2!AL7="1"),1,0)+IF(AND(MultiLabel_R1!AM8="1",MultiLabel_R2!AM7="1"),1,0)+IF(AND(MultiLabel_R1!AN8="1",MultiLabel_R2!AN7="1"),1,0)+IF(AND(MultiLabel_R1!AO8="1",MultiLabel_R2!AO7="1"),1,0)+IF(AND(MultiLabel_R1!AP8="1",MultiLabel_R2!AP7="1"),1,0)+IF(AND(MultiLabel_R1!AQ8="1",MultiLabel_R2!AQ7="1"),1,0)+IF(AND(MultiLabel_R1!AR8="1",MultiLabel_R2!AR7="1"),1,0))/(IF(OR(MultiLabel_R1!AG8="1",MultiLabel_R2!AG7="1"),1,0)+IF(OR(MultiLabel_R1!AH8="1",MultiLabel_R2!AH7="1"),1,0)+IF(OR(MultiLabel_R1!AI8="1",MultiLabel_R2!AI7="1"),1,0)+IF(OR(MultiLabel_R1!AJ8="1",MultiLabel_R2!AJ7="1"),1,0)+IF(OR(MultiLabel_R1!AK8="1",MultiLabel_R2!AK7="1"),1,0)+IF(OR(MultiLabel_R1!AL8="1",MultiLabel_R2!AL7="1"),1,0)+IF(OR(MultiLabel_R1!AM8="1",MultiLabel_R2!AM7="1"),1,0)+IF(OR(MultiLabel_R1!AN8="1",MultiLabel_R2!AN7="1"),1,0)+IF(OR(MultiLabel_R1!AO8="1",MultiLabel_R2!AO7="1"),1,0)+IF(OR(MultiLabel_R1!AP8="1",MultiLabel_R2!AP7="1"),1,0)+IF(OR(MultiLabel_R1!AQ8="1",MultiLabel_R2!AQ7="1"),1,0)+IF(OR(MultiLabel_R1!AR8="1",MultiLabel_R2!AR7="1"),1,0)))</f>
        <v>1</v>
      </c>
      <c r="I7" s="4" t="s">
        <v>235</v>
      </c>
      <c r="J7" s="4">
        <f>IF(COUNT(G3:G27)=0,"NA",AVERAGE(G3:G27))</f>
        <v>1</v>
      </c>
      <c r="K7" s="4">
        <f>COUNT(G3:G27)</f>
        <v>25</v>
      </c>
      <c r="L7" s="4" t="s">
        <v>433</v>
      </c>
    </row>
    <row r="8" spans="1:12">
      <c r="A8" s="4" t="s">
        <v>87</v>
      </c>
      <c r="B8" s="4" t="s">
        <v>88</v>
      </c>
      <c r="C8" s="14">
        <f>IF((IF(OR(MultiLabel_R1!C9="1",MultiLabel_R2!C8="1"),1,0)+IF(OR(MultiLabel_R1!D9="1",MultiLabel_R2!D8="1"),1,0)+IF(OR(MultiLabel_R1!E9="1",MultiLabel_R2!E8="1"),1,0)+IF(OR(MultiLabel_R1!F9="1",MultiLabel_R2!F8="1"),1,0))=0,"NA",(IF(AND(MultiLabel_R1!C9="1",MultiLabel_R2!C8="1"),1,0)+IF(AND(MultiLabel_R1!D9="1",MultiLabel_R2!D8="1"),1,0)+IF(AND(MultiLabel_R1!E9="1",MultiLabel_R2!E8="1"),1,0)+IF(AND(MultiLabel_R1!F9="1",MultiLabel_R2!F8="1"),1,0))/(IF(OR(MultiLabel_R1!C9="1",MultiLabel_R2!C8="1"),1,0)+IF(OR(MultiLabel_R1!D9="1",MultiLabel_R2!D8="1"),1,0)+IF(OR(MultiLabel_R1!E9="1",MultiLabel_R2!E8="1"),1,0)+IF(OR(MultiLabel_R1!F9="1",MultiLabel_R2!F8="1"),1,0)))</f>
        <v>1</v>
      </c>
      <c r="D8" s="14">
        <f>IF((IF(OR(MultiLabel_R1!G9="1",MultiLabel_R2!G8="1"),1,0)+IF(OR(MultiLabel_R1!H9="1",MultiLabel_R2!H8="1"),1,0)+IF(OR(MultiLabel_R1!I9="1",MultiLabel_R2!I8="1"),1,0)+IF(OR(MultiLabel_R1!J9="1",MultiLabel_R2!J8="1"),1,0)+IF(OR(MultiLabel_R1!K9="1",MultiLabel_R2!K8="1"),1,0)+IF(OR(MultiLabel_R1!L9="1",MultiLabel_R2!L8="1"),1,0))=0,"NA",(IF(AND(MultiLabel_R1!G9="1",MultiLabel_R2!G8="1"),1,0)+IF(AND(MultiLabel_R1!H9="1",MultiLabel_R2!H8="1"),1,0)+IF(AND(MultiLabel_R1!I9="1",MultiLabel_R2!I8="1"),1,0)+IF(AND(MultiLabel_R1!J9="1",MultiLabel_R2!J8="1"),1,0)+IF(AND(MultiLabel_R1!K9="1",MultiLabel_R2!K8="1"),1,0)+IF(AND(MultiLabel_R1!L9="1",MultiLabel_R2!L8="1"),1,0))/(IF(OR(MultiLabel_R1!G9="1",MultiLabel_R2!G8="1"),1,0)+IF(OR(MultiLabel_R1!H9="1",MultiLabel_R2!H8="1"),1,0)+IF(OR(MultiLabel_R1!I9="1",MultiLabel_R2!I8="1"),1,0)+IF(OR(MultiLabel_R1!J9="1",MultiLabel_R2!J8="1"),1,0)+IF(OR(MultiLabel_R1!K9="1",MultiLabel_R2!K8="1"),1,0)+IF(OR(MultiLabel_R1!L9="1",MultiLabel_R2!L8="1"),1,0)))</f>
        <v>1</v>
      </c>
      <c r="E8" s="14">
        <f>IF((IF(OR(MultiLabel_R1!M9="1",MultiLabel_R2!M8="1"),1,0)+IF(OR(MultiLabel_R1!N9="1",MultiLabel_R2!N8="1"),1,0)+IF(OR(MultiLabel_R1!O9="1",MultiLabel_R2!O8="1"),1,0)+IF(OR(MultiLabel_R1!P9="1",MultiLabel_R2!P8="1"),1,0)+IF(OR(MultiLabel_R1!Q9="1",MultiLabel_R2!Q8="1"),1,0)+IF(OR(MultiLabel_R1!R9="1",MultiLabel_R2!R8="1"),1,0)+IF(OR(MultiLabel_R1!S9="1",MultiLabel_R2!S8="1"),1,0)+IF(OR(MultiLabel_R1!T9="1",MultiLabel_R2!T8="1"),1,0)+IF(OR(MultiLabel_R1!U9="1",MultiLabel_R2!U8="1"),1,0)+IF(OR(MultiLabel_R1!V9="1",MultiLabel_R2!V8="1"),1,0)+IF(OR(MultiLabel_R1!W9="1",MultiLabel_R2!W8="1"),1,0)+IF(OR(MultiLabel_R1!X9="1",MultiLabel_R2!X8="1"),1,0))=0,"NA",(IF(AND(MultiLabel_R1!M9="1",MultiLabel_R2!M8="1"),1,0)+IF(AND(MultiLabel_R1!N9="1",MultiLabel_R2!N8="1"),1,0)+IF(AND(MultiLabel_R1!O9="1",MultiLabel_R2!O8="1"),1,0)+IF(AND(MultiLabel_R1!P9="1",MultiLabel_R2!P8="1"),1,0)+IF(AND(MultiLabel_R1!Q9="1",MultiLabel_R2!Q8="1"),1,0)+IF(AND(MultiLabel_R1!R9="1",MultiLabel_R2!R8="1"),1,0)+IF(AND(MultiLabel_R1!S9="1",MultiLabel_R2!S8="1"),1,0)+IF(AND(MultiLabel_R1!T9="1",MultiLabel_R2!T8="1"),1,0)+IF(AND(MultiLabel_R1!U9="1",MultiLabel_R2!U8="1"),1,0)+IF(AND(MultiLabel_R1!V9="1",MultiLabel_R2!V8="1"),1,0)+IF(AND(MultiLabel_R1!W9="1",MultiLabel_R2!W8="1"),1,0)+IF(AND(MultiLabel_R1!X9="1",MultiLabel_R2!X8="1"),1,0))/(IF(OR(MultiLabel_R1!M9="1",MultiLabel_R2!M8="1"),1,0)+IF(OR(MultiLabel_R1!N9="1",MultiLabel_R2!N8="1"),1,0)+IF(OR(MultiLabel_R1!O9="1",MultiLabel_R2!O8="1"),1,0)+IF(OR(MultiLabel_R1!P9="1",MultiLabel_R2!P8="1"),1,0)+IF(OR(MultiLabel_R1!Q9="1",MultiLabel_R2!Q8="1"),1,0)+IF(OR(MultiLabel_R1!R9="1",MultiLabel_R2!R8="1"),1,0)+IF(OR(MultiLabel_R1!S9="1",MultiLabel_R2!S8="1"),1,0)+IF(OR(MultiLabel_R1!T9="1",MultiLabel_R2!T8="1"),1,0)+IF(OR(MultiLabel_R1!U9="1",MultiLabel_R2!U8="1"),1,0)+IF(OR(MultiLabel_R1!V9="1",MultiLabel_R2!V8="1"),1,0)+IF(OR(MultiLabel_R1!W9="1",MultiLabel_R2!W8="1"),1,0)+IF(OR(MultiLabel_R1!X9="1",MultiLabel_R2!X8="1"),1,0)))</f>
        <v>1</v>
      </c>
      <c r="F8" s="14">
        <f>IF((IF(OR(MultiLabel_R1!Y9="1",MultiLabel_R2!Y8="1"),1,0)+IF(OR(MultiLabel_R1!Z9="1",MultiLabel_R2!Z8="1"),1,0)+IF(OR(MultiLabel_R1!AA9="1",MultiLabel_R2!AA8="1"),1,0)+IF(OR(MultiLabel_R1!AB9="1",MultiLabel_R2!AB8="1"),1,0)+IF(OR(MultiLabel_R1!AC9="1",MultiLabel_R2!AC8="1"),1,0)+IF(OR(MultiLabel_R1!AD9="1",MultiLabel_R2!AD8="1"),1,0)+IF(OR(MultiLabel_R1!AE9="1",MultiLabel_R2!AE8="1"),1,0)+IF(OR(MultiLabel_R1!AF9="1",MultiLabel_R2!AF8="1"),1,0))=0,"NA",(IF(AND(MultiLabel_R1!Y9="1",MultiLabel_R2!Y8="1"),1,0)+IF(AND(MultiLabel_R1!Z9="1",MultiLabel_R2!Z8="1"),1,0)+IF(AND(MultiLabel_R1!AA9="1",MultiLabel_R2!AA8="1"),1,0)+IF(AND(MultiLabel_R1!AB9="1",MultiLabel_R2!AB8="1"),1,0)+IF(AND(MultiLabel_R1!AC9="1",MultiLabel_R2!AC8="1"),1,0)+IF(AND(MultiLabel_R1!AD9="1",MultiLabel_R2!AD8="1"),1,0)+IF(AND(MultiLabel_R1!AE9="1",MultiLabel_R2!AE8="1"),1,0)+IF(AND(MultiLabel_R1!AF9="1",MultiLabel_R2!AF8="1"),1,0))/(IF(OR(MultiLabel_R1!Y9="1",MultiLabel_R2!Y8="1"),1,0)+IF(OR(MultiLabel_R1!Z9="1",MultiLabel_R2!Z8="1"),1,0)+IF(OR(MultiLabel_R1!AA9="1",MultiLabel_R2!AA8="1"),1,0)+IF(OR(MultiLabel_R1!AB9="1",MultiLabel_R2!AB8="1"),1,0)+IF(OR(MultiLabel_R1!AC9="1",MultiLabel_R2!AC8="1"),1,0)+IF(OR(MultiLabel_R1!AD9="1",MultiLabel_R2!AD8="1"),1,0)+IF(OR(MultiLabel_R1!AE9="1",MultiLabel_R2!AE8="1"),1,0)+IF(OR(MultiLabel_R1!AF9="1",MultiLabel_R2!AF8="1"),1,0)))</f>
        <v>1</v>
      </c>
      <c r="G8" s="14">
        <f>IF((IF(OR(MultiLabel_R1!AG9="1",MultiLabel_R2!AG8="1"),1,0)+IF(OR(MultiLabel_R1!AH9="1",MultiLabel_R2!AH8="1"),1,0)+IF(OR(MultiLabel_R1!AI9="1",MultiLabel_R2!AI8="1"),1,0)+IF(OR(MultiLabel_R1!AJ9="1",MultiLabel_R2!AJ8="1"),1,0)+IF(OR(MultiLabel_R1!AK9="1",MultiLabel_R2!AK8="1"),1,0)+IF(OR(MultiLabel_R1!AL9="1",MultiLabel_R2!AL8="1"),1,0)+IF(OR(MultiLabel_R1!AM9="1",MultiLabel_R2!AM8="1"),1,0)+IF(OR(MultiLabel_R1!AN9="1",MultiLabel_R2!AN8="1"),1,0)+IF(OR(MultiLabel_R1!AO9="1",MultiLabel_R2!AO8="1"),1,0)+IF(OR(MultiLabel_R1!AP9="1",MultiLabel_R2!AP8="1"),1,0)+IF(OR(MultiLabel_R1!AQ9="1",MultiLabel_R2!AQ8="1"),1,0)+IF(OR(MultiLabel_R1!AR9="1",MultiLabel_R2!AR8="1"),1,0))=0,"NA",(IF(AND(MultiLabel_R1!AG9="1",MultiLabel_R2!AG8="1"),1,0)+IF(AND(MultiLabel_R1!AH9="1",MultiLabel_R2!AH8="1"),1,0)+IF(AND(MultiLabel_R1!AI9="1",MultiLabel_R2!AI8="1"),1,0)+IF(AND(MultiLabel_R1!AJ9="1",MultiLabel_R2!AJ8="1"),1,0)+IF(AND(MultiLabel_R1!AK9="1",MultiLabel_R2!AK8="1"),1,0)+IF(AND(MultiLabel_R1!AL9="1",MultiLabel_R2!AL8="1"),1,0)+IF(AND(MultiLabel_R1!AM9="1",MultiLabel_R2!AM8="1"),1,0)+IF(AND(MultiLabel_R1!AN9="1",MultiLabel_R2!AN8="1"),1,0)+IF(AND(MultiLabel_R1!AO9="1",MultiLabel_R2!AO8="1"),1,0)+IF(AND(MultiLabel_R1!AP9="1",MultiLabel_R2!AP8="1"),1,0)+IF(AND(MultiLabel_R1!AQ9="1",MultiLabel_R2!AQ8="1"),1,0)+IF(AND(MultiLabel_R1!AR9="1",MultiLabel_R2!AR8="1"),1,0))/(IF(OR(MultiLabel_R1!AG9="1",MultiLabel_R2!AG8="1"),1,0)+IF(OR(MultiLabel_R1!AH9="1",MultiLabel_R2!AH8="1"),1,0)+IF(OR(MultiLabel_R1!AI9="1",MultiLabel_R2!AI8="1"),1,0)+IF(OR(MultiLabel_R1!AJ9="1",MultiLabel_R2!AJ8="1"),1,0)+IF(OR(MultiLabel_R1!AK9="1",MultiLabel_R2!AK8="1"),1,0)+IF(OR(MultiLabel_R1!AL9="1",MultiLabel_R2!AL8="1"),1,0)+IF(OR(MultiLabel_R1!AM9="1",MultiLabel_R2!AM8="1"),1,0)+IF(OR(MultiLabel_R1!AN9="1",MultiLabel_R2!AN8="1"),1,0)+IF(OR(MultiLabel_R1!AO9="1",MultiLabel_R2!AO8="1"),1,0)+IF(OR(MultiLabel_R1!AP9="1",MultiLabel_R2!AP8="1"),1,0)+IF(OR(MultiLabel_R1!AQ9="1",MultiLabel_R2!AQ8="1"),1,0)+IF(OR(MultiLabel_R1!AR9="1",MultiLabel_R2!AR8="1"),1,0)))</f>
        <v>1</v>
      </c>
    </row>
    <row r="9" spans="1:12">
      <c r="A9" s="4" t="s">
        <v>94</v>
      </c>
      <c r="B9" s="4" t="s">
        <v>95</v>
      </c>
      <c r="C9" s="14">
        <f>IF((IF(OR(MultiLabel_R1!C10="1",MultiLabel_R2!C9="1"),1,0)+IF(OR(MultiLabel_R1!D10="1",MultiLabel_R2!D9="1"),1,0)+IF(OR(MultiLabel_R1!E10="1",MultiLabel_R2!E9="1"),1,0)+IF(OR(MultiLabel_R1!F10="1",MultiLabel_R2!F9="1"),1,0))=0,"NA",(IF(AND(MultiLabel_R1!C10="1",MultiLabel_R2!C9="1"),1,0)+IF(AND(MultiLabel_R1!D10="1",MultiLabel_R2!D9="1"),1,0)+IF(AND(MultiLabel_R1!E10="1",MultiLabel_R2!E9="1"),1,0)+IF(AND(MultiLabel_R1!F10="1",MultiLabel_R2!F9="1"),1,0))/(IF(OR(MultiLabel_R1!C10="1",MultiLabel_R2!C9="1"),1,0)+IF(OR(MultiLabel_R1!D10="1",MultiLabel_R2!D9="1"),1,0)+IF(OR(MultiLabel_R1!E10="1",MultiLabel_R2!E9="1"),1,0)+IF(OR(MultiLabel_R1!F10="1",MultiLabel_R2!F9="1"),1,0)))</f>
        <v>1</v>
      </c>
      <c r="D9" s="14">
        <f>IF((IF(OR(MultiLabel_R1!G10="1",MultiLabel_R2!G9="1"),1,0)+IF(OR(MultiLabel_R1!H10="1",MultiLabel_R2!H9="1"),1,0)+IF(OR(MultiLabel_R1!I10="1",MultiLabel_R2!I9="1"),1,0)+IF(OR(MultiLabel_R1!J10="1",MultiLabel_R2!J9="1"),1,0)+IF(OR(MultiLabel_R1!K10="1",MultiLabel_R2!K9="1"),1,0)+IF(OR(MultiLabel_R1!L10="1",MultiLabel_R2!L9="1"),1,0))=0,"NA",(IF(AND(MultiLabel_R1!G10="1",MultiLabel_R2!G9="1"),1,0)+IF(AND(MultiLabel_R1!H10="1",MultiLabel_R2!H9="1"),1,0)+IF(AND(MultiLabel_R1!I10="1",MultiLabel_R2!I9="1"),1,0)+IF(AND(MultiLabel_R1!J10="1",MultiLabel_R2!J9="1"),1,0)+IF(AND(MultiLabel_R1!K10="1",MultiLabel_R2!K9="1"),1,0)+IF(AND(MultiLabel_R1!L10="1",MultiLabel_R2!L9="1"),1,0))/(IF(OR(MultiLabel_R1!G10="1",MultiLabel_R2!G9="1"),1,0)+IF(OR(MultiLabel_R1!H10="1",MultiLabel_R2!H9="1"),1,0)+IF(OR(MultiLabel_R1!I10="1",MultiLabel_R2!I9="1"),1,0)+IF(OR(MultiLabel_R1!J10="1",MultiLabel_R2!J9="1"),1,0)+IF(OR(MultiLabel_R1!K10="1",MultiLabel_R2!K9="1"),1,0)+IF(OR(MultiLabel_R1!L10="1",MultiLabel_R2!L9="1"),1,0)))</f>
        <v>1</v>
      </c>
      <c r="E9" s="14">
        <f>IF((IF(OR(MultiLabel_R1!M10="1",MultiLabel_R2!M9="1"),1,0)+IF(OR(MultiLabel_R1!N10="1",MultiLabel_R2!N9="1"),1,0)+IF(OR(MultiLabel_R1!O10="1",MultiLabel_R2!O9="1"),1,0)+IF(OR(MultiLabel_R1!P10="1",MultiLabel_R2!P9="1"),1,0)+IF(OR(MultiLabel_R1!Q10="1",MultiLabel_R2!Q9="1"),1,0)+IF(OR(MultiLabel_R1!R10="1",MultiLabel_R2!R9="1"),1,0)+IF(OR(MultiLabel_R1!S10="1",MultiLabel_R2!S9="1"),1,0)+IF(OR(MultiLabel_R1!T10="1",MultiLabel_R2!T9="1"),1,0)+IF(OR(MultiLabel_R1!U10="1",MultiLabel_R2!U9="1"),1,0)+IF(OR(MultiLabel_R1!V10="1",MultiLabel_R2!V9="1"),1,0)+IF(OR(MultiLabel_R1!W10="1",MultiLabel_R2!W9="1"),1,0)+IF(OR(MultiLabel_R1!X10="1",MultiLabel_R2!X9="1"),1,0))=0,"NA",(IF(AND(MultiLabel_R1!M10="1",MultiLabel_R2!M9="1"),1,0)+IF(AND(MultiLabel_R1!N10="1",MultiLabel_R2!N9="1"),1,0)+IF(AND(MultiLabel_R1!O10="1",MultiLabel_R2!O9="1"),1,0)+IF(AND(MultiLabel_R1!P10="1",MultiLabel_R2!P9="1"),1,0)+IF(AND(MultiLabel_R1!Q10="1",MultiLabel_R2!Q9="1"),1,0)+IF(AND(MultiLabel_R1!R10="1",MultiLabel_R2!R9="1"),1,0)+IF(AND(MultiLabel_R1!S10="1",MultiLabel_R2!S9="1"),1,0)+IF(AND(MultiLabel_R1!T10="1",MultiLabel_R2!T9="1"),1,0)+IF(AND(MultiLabel_R1!U10="1",MultiLabel_R2!U9="1"),1,0)+IF(AND(MultiLabel_R1!V10="1",MultiLabel_R2!V9="1"),1,0)+IF(AND(MultiLabel_R1!W10="1",MultiLabel_R2!W9="1"),1,0)+IF(AND(MultiLabel_R1!X10="1",MultiLabel_R2!X9="1"),1,0))/(IF(OR(MultiLabel_R1!M10="1",MultiLabel_R2!M9="1"),1,0)+IF(OR(MultiLabel_R1!N10="1",MultiLabel_R2!N9="1"),1,0)+IF(OR(MultiLabel_R1!O10="1",MultiLabel_R2!O9="1"),1,0)+IF(OR(MultiLabel_R1!P10="1",MultiLabel_R2!P9="1"),1,0)+IF(OR(MultiLabel_R1!Q10="1",MultiLabel_R2!Q9="1"),1,0)+IF(OR(MultiLabel_R1!R10="1",MultiLabel_R2!R9="1"),1,0)+IF(OR(MultiLabel_R1!S10="1",MultiLabel_R2!S9="1"),1,0)+IF(OR(MultiLabel_R1!T10="1",MultiLabel_R2!T9="1"),1,0)+IF(OR(MultiLabel_R1!U10="1",MultiLabel_R2!U9="1"),1,0)+IF(OR(MultiLabel_R1!V10="1",MultiLabel_R2!V9="1"),1,0)+IF(OR(MultiLabel_R1!W10="1",MultiLabel_R2!W9="1"),1,0)+IF(OR(MultiLabel_R1!X10="1",MultiLabel_R2!X9="1"),1,0)))</f>
        <v>1</v>
      </c>
      <c r="F9" s="14">
        <f>IF((IF(OR(MultiLabel_R1!Y10="1",MultiLabel_R2!Y9="1"),1,0)+IF(OR(MultiLabel_R1!Z10="1",MultiLabel_R2!Z9="1"),1,0)+IF(OR(MultiLabel_R1!AA10="1",MultiLabel_R2!AA9="1"),1,0)+IF(OR(MultiLabel_R1!AB10="1",MultiLabel_R2!AB9="1"),1,0)+IF(OR(MultiLabel_R1!AC10="1",MultiLabel_R2!AC9="1"),1,0)+IF(OR(MultiLabel_R1!AD10="1",MultiLabel_R2!AD9="1"),1,0)+IF(OR(MultiLabel_R1!AE10="1",MultiLabel_R2!AE9="1"),1,0)+IF(OR(MultiLabel_R1!AF10="1",MultiLabel_R2!AF9="1"),1,0))=0,"NA",(IF(AND(MultiLabel_R1!Y10="1",MultiLabel_R2!Y9="1"),1,0)+IF(AND(MultiLabel_R1!Z10="1",MultiLabel_R2!Z9="1"),1,0)+IF(AND(MultiLabel_R1!AA10="1",MultiLabel_R2!AA9="1"),1,0)+IF(AND(MultiLabel_R1!AB10="1",MultiLabel_R2!AB9="1"),1,0)+IF(AND(MultiLabel_R1!AC10="1",MultiLabel_R2!AC9="1"),1,0)+IF(AND(MultiLabel_R1!AD10="1",MultiLabel_R2!AD9="1"),1,0)+IF(AND(MultiLabel_R1!AE10="1",MultiLabel_R2!AE9="1"),1,0)+IF(AND(MultiLabel_R1!AF10="1",MultiLabel_R2!AF9="1"),1,0))/(IF(OR(MultiLabel_R1!Y10="1",MultiLabel_R2!Y9="1"),1,0)+IF(OR(MultiLabel_R1!Z10="1",MultiLabel_R2!Z9="1"),1,0)+IF(OR(MultiLabel_R1!AA10="1",MultiLabel_R2!AA9="1"),1,0)+IF(OR(MultiLabel_R1!AB10="1",MultiLabel_R2!AB9="1"),1,0)+IF(OR(MultiLabel_R1!AC10="1",MultiLabel_R2!AC9="1"),1,0)+IF(OR(MultiLabel_R1!AD10="1",MultiLabel_R2!AD9="1"),1,0)+IF(OR(MultiLabel_R1!AE10="1",MultiLabel_R2!AE9="1"),1,0)+IF(OR(MultiLabel_R1!AF10="1",MultiLabel_R2!AF9="1"),1,0)))</f>
        <v>1</v>
      </c>
      <c r="G9" s="14">
        <f>IF((IF(OR(MultiLabel_R1!AG10="1",MultiLabel_R2!AG9="1"),1,0)+IF(OR(MultiLabel_R1!AH10="1",MultiLabel_R2!AH9="1"),1,0)+IF(OR(MultiLabel_R1!AI10="1",MultiLabel_R2!AI9="1"),1,0)+IF(OR(MultiLabel_R1!AJ10="1",MultiLabel_R2!AJ9="1"),1,0)+IF(OR(MultiLabel_R1!AK10="1",MultiLabel_R2!AK9="1"),1,0)+IF(OR(MultiLabel_R1!AL10="1",MultiLabel_R2!AL9="1"),1,0)+IF(OR(MultiLabel_R1!AM10="1",MultiLabel_R2!AM9="1"),1,0)+IF(OR(MultiLabel_R1!AN10="1",MultiLabel_R2!AN9="1"),1,0)+IF(OR(MultiLabel_R1!AO10="1",MultiLabel_R2!AO9="1"),1,0)+IF(OR(MultiLabel_R1!AP10="1",MultiLabel_R2!AP9="1"),1,0)+IF(OR(MultiLabel_R1!AQ10="1",MultiLabel_R2!AQ9="1"),1,0)+IF(OR(MultiLabel_R1!AR10="1",MultiLabel_R2!AR9="1"),1,0))=0,"NA",(IF(AND(MultiLabel_R1!AG10="1",MultiLabel_R2!AG9="1"),1,0)+IF(AND(MultiLabel_R1!AH10="1",MultiLabel_R2!AH9="1"),1,0)+IF(AND(MultiLabel_R1!AI10="1",MultiLabel_R2!AI9="1"),1,0)+IF(AND(MultiLabel_R1!AJ10="1",MultiLabel_R2!AJ9="1"),1,0)+IF(AND(MultiLabel_R1!AK10="1",MultiLabel_R2!AK9="1"),1,0)+IF(AND(MultiLabel_R1!AL10="1",MultiLabel_R2!AL9="1"),1,0)+IF(AND(MultiLabel_R1!AM10="1",MultiLabel_R2!AM9="1"),1,0)+IF(AND(MultiLabel_R1!AN10="1",MultiLabel_R2!AN9="1"),1,0)+IF(AND(MultiLabel_R1!AO10="1",MultiLabel_R2!AO9="1"),1,0)+IF(AND(MultiLabel_R1!AP10="1",MultiLabel_R2!AP9="1"),1,0)+IF(AND(MultiLabel_R1!AQ10="1",MultiLabel_R2!AQ9="1"),1,0)+IF(AND(MultiLabel_R1!AR10="1",MultiLabel_R2!AR9="1"),1,0))/(IF(OR(MultiLabel_R1!AG10="1",MultiLabel_R2!AG9="1"),1,0)+IF(OR(MultiLabel_R1!AH10="1",MultiLabel_R2!AH9="1"),1,0)+IF(OR(MultiLabel_R1!AI10="1",MultiLabel_R2!AI9="1"),1,0)+IF(OR(MultiLabel_R1!AJ10="1",MultiLabel_R2!AJ9="1"),1,0)+IF(OR(MultiLabel_R1!AK10="1",MultiLabel_R2!AK9="1"),1,0)+IF(OR(MultiLabel_R1!AL10="1",MultiLabel_R2!AL9="1"),1,0)+IF(OR(MultiLabel_R1!AM10="1",MultiLabel_R2!AM9="1"),1,0)+IF(OR(MultiLabel_R1!AN10="1",MultiLabel_R2!AN9="1"),1,0)+IF(OR(MultiLabel_R1!AO10="1",MultiLabel_R2!AO9="1"),1,0)+IF(OR(MultiLabel_R1!AP10="1",MultiLabel_R2!AP9="1"),1,0)+IF(OR(MultiLabel_R1!AQ10="1",MultiLabel_R2!AQ9="1"),1,0)+IF(OR(MultiLabel_R1!AR10="1",MultiLabel_R2!AR9="1"),1,0)))</f>
        <v>1</v>
      </c>
    </row>
    <row r="10" spans="1:12">
      <c r="A10" s="4" t="s">
        <v>102</v>
      </c>
      <c r="B10" s="4" t="s">
        <v>103</v>
      </c>
      <c r="C10" s="14">
        <f>IF((IF(OR(MultiLabel_R1!C11="1",MultiLabel_R2!C10="1"),1,0)+IF(OR(MultiLabel_R1!D11="1",MultiLabel_R2!D10="1"),1,0)+IF(OR(MultiLabel_R1!E11="1",MultiLabel_R2!E10="1"),1,0)+IF(OR(MultiLabel_R1!F11="1",MultiLabel_R2!F10="1"),1,0))=0,"NA",(IF(AND(MultiLabel_R1!C11="1",MultiLabel_R2!C10="1"),1,0)+IF(AND(MultiLabel_R1!D11="1",MultiLabel_R2!D10="1"),1,0)+IF(AND(MultiLabel_R1!E11="1",MultiLabel_R2!E10="1"),1,0)+IF(AND(MultiLabel_R1!F11="1",MultiLabel_R2!F10="1"),1,0))/(IF(OR(MultiLabel_R1!C11="1",MultiLabel_R2!C10="1"),1,0)+IF(OR(MultiLabel_R1!D11="1",MultiLabel_R2!D10="1"),1,0)+IF(OR(MultiLabel_R1!E11="1",MultiLabel_R2!E10="1"),1,0)+IF(OR(MultiLabel_R1!F11="1",MultiLabel_R2!F10="1"),1,0)))</f>
        <v>1</v>
      </c>
      <c r="D10" s="14">
        <f>IF((IF(OR(MultiLabel_R1!G11="1",MultiLabel_R2!G10="1"),1,0)+IF(OR(MultiLabel_R1!H11="1",MultiLabel_R2!H10="1"),1,0)+IF(OR(MultiLabel_R1!I11="1",MultiLabel_R2!I10="1"),1,0)+IF(OR(MultiLabel_R1!J11="1",MultiLabel_R2!J10="1"),1,0)+IF(OR(MultiLabel_R1!K11="1",MultiLabel_R2!K10="1"),1,0)+IF(OR(MultiLabel_R1!L11="1",MultiLabel_R2!L10="1"),1,0))=0,"NA",(IF(AND(MultiLabel_R1!G11="1",MultiLabel_R2!G10="1"),1,0)+IF(AND(MultiLabel_R1!H11="1",MultiLabel_R2!H10="1"),1,0)+IF(AND(MultiLabel_R1!I11="1",MultiLabel_R2!I10="1"),1,0)+IF(AND(MultiLabel_R1!J11="1",MultiLabel_R2!J10="1"),1,0)+IF(AND(MultiLabel_R1!K11="1",MultiLabel_R2!K10="1"),1,0)+IF(AND(MultiLabel_R1!L11="1",MultiLabel_R2!L10="1"),1,0))/(IF(OR(MultiLabel_R1!G11="1",MultiLabel_R2!G10="1"),1,0)+IF(OR(MultiLabel_R1!H11="1",MultiLabel_R2!H10="1"),1,0)+IF(OR(MultiLabel_R1!I11="1",MultiLabel_R2!I10="1"),1,0)+IF(OR(MultiLabel_R1!J11="1",MultiLabel_R2!J10="1"),1,0)+IF(OR(MultiLabel_R1!K11="1",MultiLabel_R2!K10="1"),1,0)+IF(OR(MultiLabel_R1!L11="1",MultiLabel_R2!L10="1"),1,0)))</f>
        <v>1</v>
      </c>
      <c r="E10" s="14">
        <f>IF((IF(OR(MultiLabel_R1!M11="1",MultiLabel_R2!M10="1"),1,0)+IF(OR(MultiLabel_R1!N11="1",MultiLabel_R2!N10="1"),1,0)+IF(OR(MultiLabel_R1!O11="1",MultiLabel_R2!O10="1"),1,0)+IF(OR(MultiLabel_R1!P11="1",MultiLabel_R2!P10="1"),1,0)+IF(OR(MultiLabel_R1!Q11="1",MultiLabel_R2!Q10="1"),1,0)+IF(OR(MultiLabel_R1!R11="1",MultiLabel_R2!R10="1"),1,0)+IF(OR(MultiLabel_R1!S11="1",MultiLabel_R2!S10="1"),1,0)+IF(OR(MultiLabel_R1!T11="1",MultiLabel_R2!T10="1"),1,0)+IF(OR(MultiLabel_R1!U11="1",MultiLabel_R2!U10="1"),1,0)+IF(OR(MultiLabel_R1!V11="1",MultiLabel_R2!V10="1"),1,0)+IF(OR(MultiLabel_R1!W11="1",MultiLabel_R2!W10="1"),1,0)+IF(OR(MultiLabel_R1!X11="1",MultiLabel_R2!X10="1"),1,0))=0,"NA",(IF(AND(MultiLabel_R1!M11="1",MultiLabel_R2!M10="1"),1,0)+IF(AND(MultiLabel_R1!N11="1",MultiLabel_R2!N10="1"),1,0)+IF(AND(MultiLabel_R1!O11="1",MultiLabel_R2!O10="1"),1,0)+IF(AND(MultiLabel_R1!P11="1",MultiLabel_R2!P10="1"),1,0)+IF(AND(MultiLabel_R1!Q11="1",MultiLabel_R2!Q10="1"),1,0)+IF(AND(MultiLabel_R1!R11="1",MultiLabel_R2!R10="1"),1,0)+IF(AND(MultiLabel_R1!S11="1",MultiLabel_R2!S10="1"),1,0)+IF(AND(MultiLabel_R1!T11="1",MultiLabel_R2!T10="1"),1,0)+IF(AND(MultiLabel_R1!U11="1",MultiLabel_R2!U10="1"),1,0)+IF(AND(MultiLabel_R1!V11="1",MultiLabel_R2!V10="1"),1,0)+IF(AND(MultiLabel_R1!W11="1",MultiLabel_R2!W10="1"),1,0)+IF(AND(MultiLabel_R1!X11="1",MultiLabel_R2!X10="1"),1,0))/(IF(OR(MultiLabel_R1!M11="1",MultiLabel_R2!M10="1"),1,0)+IF(OR(MultiLabel_R1!N11="1",MultiLabel_R2!N10="1"),1,0)+IF(OR(MultiLabel_R1!O11="1",MultiLabel_R2!O10="1"),1,0)+IF(OR(MultiLabel_R1!P11="1",MultiLabel_R2!P10="1"),1,0)+IF(OR(MultiLabel_R1!Q11="1",MultiLabel_R2!Q10="1"),1,0)+IF(OR(MultiLabel_R1!R11="1",MultiLabel_R2!R10="1"),1,0)+IF(OR(MultiLabel_R1!S11="1",MultiLabel_R2!S10="1"),1,0)+IF(OR(MultiLabel_R1!T11="1",MultiLabel_R2!T10="1"),1,0)+IF(OR(MultiLabel_R1!U11="1",MultiLabel_R2!U10="1"),1,0)+IF(OR(MultiLabel_R1!V11="1",MultiLabel_R2!V10="1"),1,0)+IF(OR(MultiLabel_R1!W11="1",MultiLabel_R2!W10="1"),1,0)+IF(OR(MultiLabel_R1!X11="1",MultiLabel_R2!X10="1"),1,0)))</f>
        <v>1</v>
      </c>
      <c r="F10" s="14">
        <f>IF((IF(OR(MultiLabel_R1!Y11="1",MultiLabel_R2!Y10="1"),1,0)+IF(OR(MultiLabel_R1!Z11="1",MultiLabel_R2!Z10="1"),1,0)+IF(OR(MultiLabel_R1!AA11="1",MultiLabel_R2!AA10="1"),1,0)+IF(OR(MultiLabel_R1!AB11="1",MultiLabel_R2!AB10="1"),1,0)+IF(OR(MultiLabel_R1!AC11="1",MultiLabel_R2!AC10="1"),1,0)+IF(OR(MultiLabel_R1!AD11="1",MultiLabel_R2!AD10="1"),1,0)+IF(OR(MultiLabel_R1!AE11="1",MultiLabel_R2!AE10="1"),1,0)+IF(OR(MultiLabel_R1!AF11="1",MultiLabel_R2!AF10="1"),1,0))=0,"NA",(IF(AND(MultiLabel_R1!Y11="1",MultiLabel_R2!Y10="1"),1,0)+IF(AND(MultiLabel_R1!Z11="1",MultiLabel_R2!Z10="1"),1,0)+IF(AND(MultiLabel_R1!AA11="1",MultiLabel_R2!AA10="1"),1,0)+IF(AND(MultiLabel_R1!AB11="1",MultiLabel_R2!AB10="1"),1,0)+IF(AND(MultiLabel_R1!AC11="1",MultiLabel_R2!AC10="1"),1,0)+IF(AND(MultiLabel_R1!AD11="1",MultiLabel_R2!AD10="1"),1,0)+IF(AND(MultiLabel_R1!AE11="1",MultiLabel_R2!AE10="1"),1,0)+IF(AND(MultiLabel_R1!AF11="1",MultiLabel_R2!AF10="1"),1,0))/(IF(OR(MultiLabel_R1!Y11="1",MultiLabel_R2!Y10="1"),1,0)+IF(OR(MultiLabel_R1!Z11="1",MultiLabel_R2!Z10="1"),1,0)+IF(OR(MultiLabel_R1!AA11="1",MultiLabel_R2!AA10="1"),1,0)+IF(OR(MultiLabel_R1!AB11="1",MultiLabel_R2!AB10="1"),1,0)+IF(OR(MultiLabel_R1!AC11="1",MultiLabel_R2!AC10="1"),1,0)+IF(OR(MultiLabel_R1!AD11="1",MultiLabel_R2!AD10="1"),1,0)+IF(OR(MultiLabel_R1!AE11="1",MultiLabel_R2!AE10="1"),1,0)+IF(OR(MultiLabel_R1!AF11="1",MultiLabel_R2!AF10="1"),1,0)))</f>
        <v>1</v>
      </c>
      <c r="G10" s="14">
        <f>IF((IF(OR(MultiLabel_R1!AG11="1",MultiLabel_R2!AG10="1"),1,0)+IF(OR(MultiLabel_R1!AH11="1",MultiLabel_R2!AH10="1"),1,0)+IF(OR(MultiLabel_R1!AI11="1",MultiLabel_R2!AI10="1"),1,0)+IF(OR(MultiLabel_R1!AJ11="1",MultiLabel_R2!AJ10="1"),1,0)+IF(OR(MultiLabel_R1!AK11="1",MultiLabel_R2!AK10="1"),1,0)+IF(OR(MultiLabel_R1!AL11="1",MultiLabel_R2!AL10="1"),1,0)+IF(OR(MultiLabel_R1!AM11="1",MultiLabel_R2!AM10="1"),1,0)+IF(OR(MultiLabel_R1!AN11="1",MultiLabel_R2!AN10="1"),1,0)+IF(OR(MultiLabel_R1!AO11="1",MultiLabel_R2!AO10="1"),1,0)+IF(OR(MultiLabel_R1!AP11="1",MultiLabel_R2!AP10="1"),1,0)+IF(OR(MultiLabel_R1!AQ11="1",MultiLabel_R2!AQ10="1"),1,0)+IF(OR(MultiLabel_R1!AR11="1",MultiLabel_R2!AR10="1"),1,0))=0,"NA",(IF(AND(MultiLabel_R1!AG11="1",MultiLabel_R2!AG10="1"),1,0)+IF(AND(MultiLabel_R1!AH11="1",MultiLabel_R2!AH10="1"),1,0)+IF(AND(MultiLabel_R1!AI11="1",MultiLabel_R2!AI10="1"),1,0)+IF(AND(MultiLabel_R1!AJ11="1",MultiLabel_R2!AJ10="1"),1,0)+IF(AND(MultiLabel_R1!AK11="1",MultiLabel_R2!AK10="1"),1,0)+IF(AND(MultiLabel_R1!AL11="1",MultiLabel_R2!AL10="1"),1,0)+IF(AND(MultiLabel_R1!AM11="1",MultiLabel_R2!AM10="1"),1,0)+IF(AND(MultiLabel_R1!AN11="1",MultiLabel_R2!AN10="1"),1,0)+IF(AND(MultiLabel_R1!AO11="1",MultiLabel_R2!AO10="1"),1,0)+IF(AND(MultiLabel_R1!AP11="1",MultiLabel_R2!AP10="1"),1,0)+IF(AND(MultiLabel_R1!AQ11="1",MultiLabel_R2!AQ10="1"),1,0)+IF(AND(MultiLabel_R1!AR11="1",MultiLabel_R2!AR10="1"),1,0))/(IF(OR(MultiLabel_R1!AG11="1",MultiLabel_R2!AG10="1"),1,0)+IF(OR(MultiLabel_R1!AH11="1",MultiLabel_R2!AH10="1"),1,0)+IF(OR(MultiLabel_R1!AI11="1",MultiLabel_R2!AI10="1"),1,0)+IF(OR(MultiLabel_R1!AJ11="1",MultiLabel_R2!AJ10="1"),1,0)+IF(OR(MultiLabel_R1!AK11="1",MultiLabel_R2!AK10="1"),1,0)+IF(OR(MultiLabel_R1!AL11="1",MultiLabel_R2!AL10="1"),1,0)+IF(OR(MultiLabel_R1!AM11="1",MultiLabel_R2!AM10="1"),1,0)+IF(OR(MultiLabel_R1!AN11="1",MultiLabel_R2!AN10="1"),1,0)+IF(OR(MultiLabel_R1!AO11="1",MultiLabel_R2!AO10="1"),1,0)+IF(OR(MultiLabel_R1!AP11="1",MultiLabel_R2!AP10="1"),1,0)+IF(OR(MultiLabel_R1!AQ11="1",MultiLabel_R2!AQ10="1"),1,0)+IF(OR(MultiLabel_R1!AR11="1",MultiLabel_R2!AR10="1"),1,0)))</f>
        <v>1</v>
      </c>
    </row>
    <row r="11" spans="1:12">
      <c r="A11" s="4" t="s">
        <v>110</v>
      </c>
      <c r="B11" s="4" t="s">
        <v>111</v>
      </c>
      <c r="C11" s="14">
        <f>IF((IF(OR(MultiLabel_R1!C12="1",MultiLabel_R2!C11="1"),1,0)+IF(OR(MultiLabel_R1!D12="1",MultiLabel_R2!D11="1"),1,0)+IF(OR(MultiLabel_R1!E12="1",MultiLabel_R2!E11="1"),1,0)+IF(OR(MultiLabel_R1!F12="1",MultiLabel_R2!F11="1"),1,0))=0,"NA",(IF(AND(MultiLabel_R1!C12="1",MultiLabel_R2!C11="1"),1,0)+IF(AND(MultiLabel_R1!D12="1",MultiLabel_R2!D11="1"),1,0)+IF(AND(MultiLabel_R1!E12="1",MultiLabel_R2!E11="1"),1,0)+IF(AND(MultiLabel_R1!F12="1",MultiLabel_R2!F11="1"),1,0))/(IF(OR(MultiLabel_R1!C12="1",MultiLabel_R2!C11="1"),1,0)+IF(OR(MultiLabel_R1!D12="1",MultiLabel_R2!D11="1"),1,0)+IF(OR(MultiLabel_R1!E12="1",MultiLabel_R2!E11="1"),1,0)+IF(OR(MultiLabel_R1!F12="1",MultiLabel_R2!F11="1"),1,0)))</f>
        <v>1</v>
      </c>
      <c r="D11" s="14">
        <f>IF((IF(OR(MultiLabel_R1!G12="1",MultiLabel_R2!G11="1"),1,0)+IF(OR(MultiLabel_R1!H12="1",MultiLabel_R2!H11="1"),1,0)+IF(OR(MultiLabel_R1!I12="1",MultiLabel_R2!I11="1"),1,0)+IF(OR(MultiLabel_R1!J12="1",MultiLabel_R2!J11="1"),1,0)+IF(OR(MultiLabel_R1!K12="1",MultiLabel_R2!K11="1"),1,0)+IF(OR(MultiLabel_R1!L12="1",MultiLabel_R2!L11="1"),1,0))=0,"NA",(IF(AND(MultiLabel_R1!G12="1",MultiLabel_R2!G11="1"),1,0)+IF(AND(MultiLabel_R1!H12="1",MultiLabel_R2!H11="1"),1,0)+IF(AND(MultiLabel_R1!I12="1",MultiLabel_R2!I11="1"),1,0)+IF(AND(MultiLabel_R1!J12="1",MultiLabel_R2!J11="1"),1,0)+IF(AND(MultiLabel_R1!K12="1",MultiLabel_R2!K11="1"),1,0)+IF(AND(MultiLabel_R1!L12="1",MultiLabel_R2!L11="1"),1,0))/(IF(OR(MultiLabel_R1!G12="1",MultiLabel_R2!G11="1"),1,0)+IF(OR(MultiLabel_R1!H12="1",MultiLabel_R2!H11="1"),1,0)+IF(OR(MultiLabel_R1!I12="1",MultiLabel_R2!I11="1"),1,0)+IF(OR(MultiLabel_R1!J12="1",MultiLabel_R2!J11="1"),1,0)+IF(OR(MultiLabel_R1!K12="1",MultiLabel_R2!K11="1"),1,0)+IF(OR(MultiLabel_R1!L12="1",MultiLabel_R2!L11="1"),1,0)))</f>
        <v>1</v>
      </c>
      <c r="E11" s="14">
        <f>IF((IF(OR(MultiLabel_R1!M12="1",MultiLabel_R2!M11="1"),1,0)+IF(OR(MultiLabel_R1!N12="1",MultiLabel_R2!N11="1"),1,0)+IF(OR(MultiLabel_R1!O12="1",MultiLabel_R2!O11="1"),1,0)+IF(OR(MultiLabel_R1!P12="1",MultiLabel_R2!P11="1"),1,0)+IF(OR(MultiLabel_R1!Q12="1",MultiLabel_R2!Q11="1"),1,0)+IF(OR(MultiLabel_R1!R12="1",MultiLabel_R2!R11="1"),1,0)+IF(OR(MultiLabel_R1!S12="1",MultiLabel_R2!S11="1"),1,0)+IF(OR(MultiLabel_R1!T12="1",MultiLabel_R2!T11="1"),1,0)+IF(OR(MultiLabel_R1!U12="1",MultiLabel_R2!U11="1"),1,0)+IF(OR(MultiLabel_R1!V12="1",MultiLabel_R2!V11="1"),1,0)+IF(OR(MultiLabel_R1!W12="1",MultiLabel_R2!W11="1"),1,0)+IF(OR(MultiLabel_R1!X12="1",MultiLabel_R2!X11="1"),1,0))=0,"NA",(IF(AND(MultiLabel_R1!M12="1",MultiLabel_R2!M11="1"),1,0)+IF(AND(MultiLabel_R1!N12="1",MultiLabel_R2!N11="1"),1,0)+IF(AND(MultiLabel_R1!O12="1",MultiLabel_R2!O11="1"),1,0)+IF(AND(MultiLabel_R1!P12="1",MultiLabel_R2!P11="1"),1,0)+IF(AND(MultiLabel_R1!Q12="1",MultiLabel_R2!Q11="1"),1,0)+IF(AND(MultiLabel_R1!R12="1",MultiLabel_R2!R11="1"),1,0)+IF(AND(MultiLabel_R1!S12="1",MultiLabel_R2!S11="1"),1,0)+IF(AND(MultiLabel_R1!T12="1",MultiLabel_R2!T11="1"),1,0)+IF(AND(MultiLabel_R1!U12="1",MultiLabel_R2!U11="1"),1,0)+IF(AND(MultiLabel_R1!V12="1",MultiLabel_R2!V11="1"),1,0)+IF(AND(MultiLabel_R1!W12="1",MultiLabel_R2!W11="1"),1,0)+IF(AND(MultiLabel_R1!X12="1",MultiLabel_R2!X11="1"),1,0))/(IF(OR(MultiLabel_R1!M12="1",MultiLabel_R2!M11="1"),1,0)+IF(OR(MultiLabel_R1!N12="1",MultiLabel_R2!N11="1"),1,0)+IF(OR(MultiLabel_R1!O12="1",MultiLabel_R2!O11="1"),1,0)+IF(OR(MultiLabel_R1!P12="1",MultiLabel_R2!P11="1"),1,0)+IF(OR(MultiLabel_R1!Q12="1",MultiLabel_R2!Q11="1"),1,0)+IF(OR(MultiLabel_R1!R12="1",MultiLabel_R2!R11="1"),1,0)+IF(OR(MultiLabel_R1!S12="1",MultiLabel_R2!S11="1"),1,0)+IF(OR(MultiLabel_R1!T12="1",MultiLabel_R2!T11="1"),1,0)+IF(OR(MultiLabel_R1!U12="1",MultiLabel_R2!U11="1"),1,0)+IF(OR(MultiLabel_R1!V12="1",MultiLabel_R2!V11="1"),1,0)+IF(OR(MultiLabel_R1!W12="1",MultiLabel_R2!W11="1"),1,0)+IF(OR(MultiLabel_R1!X12="1",MultiLabel_R2!X11="1"),1,0)))</f>
        <v>1</v>
      </c>
      <c r="F11" s="14">
        <f>IF((IF(OR(MultiLabel_R1!Y12="1",MultiLabel_R2!Y11="1"),1,0)+IF(OR(MultiLabel_R1!Z12="1",MultiLabel_R2!Z11="1"),1,0)+IF(OR(MultiLabel_R1!AA12="1",MultiLabel_R2!AA11="1"),1,0)+IF(OR(MultiLabel_R1!AB12="1",MultiLabel_R2!AB11="1"),1,0)+IF(OR(MultiLabel_R1!AC12="1",MultiLabel_R2!AC11="1"),1,0)+IF(OR(MultiLabel_R1!AD12="1",MultiLabel_R2!AD11="1"),1,0)+IF(OR(MultiLabel_R1!AE12="1",MultiLabel_R2!AE11="1"),1,0)+IF(OR(MultiLabel_R1!AF12="1",MultiLabel_R2!AF11="1"),1,0))=0,"NA",(IF(AND(MultiLabel_R1!Y12="1",MultiLabel_R2!Y11="1"),1,0)+IF(AND(MultiLabel_R1!Z12="1",MultiLabel_R2!Z11="1"),1,0)+IF(AND(MultiLabel_R1!AA12="1",MultiLabel_R2!AA11="1"),1,0)+IF(AND(MultiLabel_R1!AB12="1",MultiLabel_R2!AB11="1"),1,0)+IF(AND(MultiLabel_R1!AC12="1",MultiLabel_R2!AC11="1"),1,0)+IF(AND(MultiLabel_R1!AD12="1",MultiLabel_R2!AD11="1"),1,0)+IF(AND(MultiLabel_R1!AE12="1",MultiLabel_R2!AE11="1"),1,0)+IF(AND(MultiLabel_R1!AF12="1",MultiLabel_R2!AF11="1"),1,0))/(IF(OR(MultiLabel_R1!Y12="1",MultiLabel_R2!Y11="1"),1,0)+IF(OR(MultiLabel_R1!Z12="1",MultiLabel_R2!Z11="1"),1,0)+IF(OR(MultiLabel_R1!AA12="1",MultiLabel_R2!AA11="1"),1,0)+IF(OR(MultiLabel_R1!AB12="1",MultiLabel_R2!AB11="1"),1,0)+IF(OR(MultiLabel_R1!AC12="1",MultiLabel_R2!AC11="1"),1,0)+IF(OR(MultiLabel_R1!AD12="1",MultiLabel_R2!AD11="1"),1,0)+IF(OR(MultiLabel_R1!AE12="1",MultiLabel_R2!AE11="1"),1,0)+IF(OR(MultiLabel_R1!AF12="1",MultiLabel_R2!AF11="1"),1,0)))</f>
        <v>1</v>
      </c>
      <c r="G11" s="14">
        <f>IF((IF(OR(MultiLabel_R1!AG12="1",MultiLabel_R2!AG11="1"),1,0)+IF(OR(MultiLabel_R1!AH12="1",MultiLabel_R2!AH11="1"),1,0)+IF(OR(MultiLabel_R1!AI12="1",MultiLabel_R2!AI11="1"),1,0)+IF(OR(MultiLabel_R1!AJ12="1",MultiLabel_R2!AJ11="1"),1,0)+IF(OR(MultiLabel_R1!AK12="1",MultiLabel_R2!AK11="1"),1,0)+IF(OR(MultiLabel_R1!AL12="1",MultiLabel_R2!AL11="1"),1,0)+IF(OR(MultiLabel_R1!AM12="1",MultiLabel_R2!AM11="1"),1,0)+IF(OR(MultiLabel_R1!AN12="1",MultiLabel_R2!AN11="1"),1,0)+IF(OR(MultiLabel_R1!AO12="1",MultiLabel_R2!AO11="1"),1,0)+IF(OR(MultiLabel_R1!AP12="1",MultiLabel_R2!AP11="1"),1,0)+IF(OR(MultiLabel_R1!AQ12="1",MultiLabel_R2!AQ11="1"),1,0)+IF(OR(MultiLabel_R1!AR12="1",MultiLabel_R2!AR11="1"),1,0))=0,"NA",(IF(AND(MultiLabel_R1!AG12="1",MultiLabel_R2!AG11="1"),1,0)+IF(AND(MultiLabel_R1!AH12="1",MultiLabel_R2!AH11="1"),1,0)+IF(AND(MultiLabel_R1!AI12="1",MultiLabel_R2!AI11="1"),1,0)+IF(AND(MultiLabel_R1!AJ12="1",MultiLabel_R2!AJ11="1"),1,0)+IF(AND(MultiLabel_R1!AK12="1",MultiLabel_R2!AK11="1"),1,0)+IF(AND(MultiLabel_R1!AL12="1",MultiLabel_R2!AL11="1"),1,0)+IF(AND(MultiLabel_R1!AM12="1",MultiLabel_R2!AM11="1"),1,0)+IF(AND(MultiLabel_R1!AN12="1",MultiLabel_R2!AN11="1"),1,0)+IF(AND(MultiLabel_R1!AO12="1",MultiLabel_R2!AO11="1"),1,0)+IF(AND(MultiLabel_R1!AP12="1",MultiLabel_R2!AP11="1"),1,0)+IF(AND(MultiLabel_R1!AQ12="1",MultiLabel_R2!AQ11="1"),1,0)+IF(AND(MultiLabel_R1!AR12="1",MultiLabel_R2!AR11="1"),1,0))/(IF(OR(MultiLabel_R1!AG12="1",MultiLabel_R2!AG11="1"),1,0)+IF(OR(MultiLabel_R1!AH12="1",MultiLabel_R2!AH11="1"),1,0)+IF(OR(MultiLabel_R1!AI12="1",MultiLabel_R2!AI11="1"),1,0)+IF(OR(MultiLabel_R1!AJ12="1",MultiLabel_R2!AJ11="1"),1,0)+IF(OR(MultiLabel_R1!AK12="1",MultiLabel_R2!AK11="1"),1,0)+IF(OR(MultiLabel_R1!AL12="1",MultiLabel_R2!AL11="1"),1,0)+IF(OR(MultiLabel_R1!AM12="1",MultiLabel_R2!AM11="1"),1,0)+IF(OR(MultiLabel_R1!AN12="1",MultiLabel_R2!AN11="1"),1,0)+IF(OR(MultiLabel_R1!AO12="1",MultiLabel_R2!AO11="1"),1,0)+IF(OR(MultiLabel_R1!AP12="1",MultiLabel_R2!AP11="1"),1,0)+IF(OR(MultiLabel_R1!AQ12="1",MultiLabel_R2!AQ11="1"),1,0)+IF(OR(MultiLabel_R1!AR12="1",MultiLabel_R2!AR11="1"),1,0)))</f>
        <v>1</v>
      </c>
    </row>
    <row r="12" spans="1:12">
      <c r="A12" s="4" t="s">
        <v>116</v>
      </c>
      <c r="B12" s="4" t="s">
        <v>117</v>
      </c>
      <c r="C12" s="14">
        <f>IF((IF(OR(MultiLabel_R1!C13="1",MultiLabel_R2!C12="1"),1,0)+IF(OR(MultiLabel_R1!D13="1",MultiLabel_R2!D12="1"),1,0)+IF(OR(MultiLabel_R1!E13="1",MultiLabel_R2!E12="1"),1,0)+IF(OR(MultiLabel_R1!F13="1",MultiLabel_R2!F12="1"),1,0))=0,"NA",(IF(AND(MultiLabel_R1!C13="1",MultiLabel_R2!C12="1"),1,0)+IF(AND(MultiLabel_R1!D13="1",MultiLabel_R2!D12="1"),1,0)+IF(AND(MultiLabel_R1!E13="1",MultiLabel_R2!E12="1"),1,0)+IF(AND(MultiLabel_R1!F13="1",MultiLabel_R2!F12="1"),1,0))/(IF(OR(MultiLabel_R1!C13="1",MultiLabel_R2!C12="1"),1,0)+IF(OR(MultiLabel_R1!D13="1",MultiLabel_R2!D12="1"),1,0)+IF(OR(MultiLabel_R1!E13="1",MultiLabel_R2!E12="1"),1,0)+IF(OR(MultiLabel_R1!F13="1",MultiLabel_R2!F12="1"),1,0)))</f>
        <v>1</v>
      </c>
      <c r="D12" s="14">
        <f>IF((IF(OR(MultiLabel_R1!G13="1",MultiLabel_R2!G12="1"),1,0)+IF(OR(MultiLabel_R1!H13="1",MultiLabel_R2!H12="1"),1,0)+IF(OR(MultiLabel_R1!I13="1",MultiLabel_R2!I12="1"),1,0)+IF(OR(MultiLabel_R1!J13="1",MultiLabel_R2!J12="1"),1,0)+IF(OR(MultiLabel_R1!K13="1",MultiLabel_R2!K12="1"),1,0)+IF(OR(MultiLabel_R1!L13="1",MultiLabel_R2!L12="1"),1,0))=0,"NA",(IF(AND(MultiLabel_R1!G13="1",MultiLabel_R2!G12="1"),1,0)+IF(AND(MultiLabel_R1!H13="1",MultiLabel_R2!H12="1"),1,0)+IF(AND(MultiLabel_R1!I13="1",MultiLabel_R2!I12="1"),1,0)+IF(AND(MultiLabel_R1!J13="1",MultiLabel_R2!J12="1"),1,0)+IF(AND(MultiLabel_R1!K13="1",MultiLabel_R2!K12="1"),1,0)+IF(AND(MultiLabel_R1!L13="1",MultiLabel_R2!L12="1"),1,0))/(IF(OR(MultiLabel_R1!G13="1",MultiLabel_R2!G12="1"),1,0)+IF(OR(MultiLabel_R1!H13="1",MultiLabel_R2!H12="1"),1,0)+IF(OR(MultiLabel_R1!I13="1",MultiLabel_R2!I12="1"),1,0)+IF(OR(MultiLabel_R1!J13="1",MultiLabel_R2!J12="1"),1,0)+IF(OR(MultiLabel_R1!K13="1",MultiLabel_R2!K12="1"),1,0)+IF(OR(MultiLabel_R1!L13="1",MultiLabel_R2!L12="1"),1,0)))</f>
        <v>1</v>
      </c>
      <c r="E12" s="14">
        <f>IF((IF(OR(MultiLabel_R1!M13="1",MultiLabel_R2!M12="1"),1,0)+IF(OR(MultiLabel_R1!N13="1",MultiLabel_R2!N12="1"),1,0)+IF(OR(MultiLabel_R1!O13="1",MultiLabel_R2!O12="1"),1,0)+IF(OR(MultiLabel_R1!P13="1",MultiLabel_R2!P12="1"),1,0)+IF(OR(MultiLabel_R1!Q13="1",MultiLabel_R2!Q12="1"),1,0)+IF(OR(MultiLabel_R1!R13="1",MultiLabel_R2!R12="1"),1,0)+IF(OR(MultiLabel_R1!S13="1",MultiLabel_R2!S12="1"),1,0)+IF(OR(MultiLabel_R1!T13="1",MultiLabel_R2!T12="1"),1,0)+IF(OR(MultiLabel_R1!U13="1",MultiLabel_R2!U12="1"),1,0)+IF(OR(MultiLabel_R1!V13="1",MultiLabel_R2!V12="1"),1,0)+IF(OR(MultiLabel_R1!W13="1",MultiLabel_R2!W12="1"),1,0)+IF(OR(MultiLabel_R1!X13="1",MultiLabel_R2!X12="1"),1,0))=0,"NA",(IF(AND(MultiLabel_R1!M13="1",MultiLabel_R2!M12="1"),1,0)+IF(AND(MultiLabel_R1!N13="1",MultiLabel_R2!N12="1"),1,0)+IF(AND(MultiLabel_R1!O13="1",MultiLabel_R2!O12="1"),1,0)+IF(AND(MultiLabel_R1!P13="1",MultiLabel_R2!P12="1"),1,0)+IF(AND(MultiLabel_R1!Q13="1",MultiLabel_R2!Q12="1"),1,0)+IF(AND(MultiLabel_R1!R13="1",MultiLabel_R2!R12="1"),1,0)+IF(AND(MultiLabel_R1!S13="1",MultiLabel_R2!S12="1"),1,0)+IF(AND(MultiLabel_R1!T13="1",MultiLabel_R2!T12="1"),1,0)+IF(AND(MultiLabel_R1!U13="1",MultiLabel_R2!U12="1"),1,0)+IF(AND(MultiLabel_R1!V13="1",MultiLabel_R2!V12="1"),1,0)+IF(AND(MultiLabel_R1!W13="1",MultiLabel_R2!W12="1"),1,0)+IF(AND(MultiLabel_R1!X13="1",MultiLabel_R2!X12="1"),1,0))/(IF(OR(MultiLabel_R1!M13="1",MultiLabel_R2!M12="1"),1,0)+IF(OR(MultiLabel_R1!N13="1",MultiLabel_R2!N12="1"),1,0)+IF(OR(MultiLabel_R1!O13="1",MultiLabel_R2!O12="1"),1,0)+IF(OR(MultiLabel_R1!P13="1",MultiLabel_R2!P12="1"),1,0)+IF(OR(MultiLabel_R1!Q13="1",MultiLabel_R2!Q12="1"),1,0)+IF(OR(MultiLabel_R1!R13="1",MultiLabel_R2!R12="1"),1,0)+IF(OR(MultiLabel_R1!S13="1",MultiLabel_R2!S12="1"),1,0)+IF(OR(MultiLabel_R1!T13="1",MultiLabel_R2!T12="1"),1,0)+IF(OR(MultiLabel_R1!U13="1",MultiLabel_R2!U12="1"),1,0)+IF(OR(MultiLabel_R1!V13="1",MultiLabel_R2!V12="1"),1,0)+IF(OR(MultiLabel_R1!W13="1",MultiLabel_R2!W12="1"),1,0)+IF(OR(MultiLabel_R1!X13="1",MultiLabel_R2!X12="1"),1,0)))</f>
        <v>1</v>
      </c>
      <c r="F12" s="14">
        <f>IF((IF(OR(MultiLabel_R1!Y13="1",MultiLabel_R2!Y12="1"),1,0)+IF(OR(MultiLabel_R1!Z13="1",MultiLabel_R2!Z12="1"),1,0)+IF(OR(MultiLabel_R1!AA13="1",MultiLabel_R2!AA12="1"),1,0)+IF(OR(MultiLabel_R1!AB13="1",MultiLabel_R2!AB12="1"),1,0)+IF(OR(MultiLabel_R1!AC13="1",MultiLabel_R2!AC12="1"),1,0)+IF(OR(MultiLabel_R1!AD13="1",MultiLabel_R2!AD12="1"),1,0)+IF(OR(MultiLabel_R1!AE13="1",MultiLabel_R2!AE12="1"),1,0)+IF(OR(MultiLabel_R1!AF13="1",MultiLabel_R2!AF12="1"),1,0))=0,"NA",(IF(AND(MultiLabel_R1!Y13="1",MultiLabel_R2!Y12="1"),1,0)+IF(AND(MultiLabel_R1!Z13="1",MultiLabel_R2!Z12="1"),1,0)+IF(AND(MultiLabel_R1!AA13="1",MultiLabel_R2!AA12="1"),1,0)+IF(AND(MultiLabel_R1!AB13="1",MultiLabel_R2!AB12="1"),1,0)+IF(AND(MultiLabel_R1!AC13="1",MultiLabel_R2!AC12="1"),1,0)+IF(AND(MultiLabel_R1!AD13="1",MultiLabel_R2!AD12="1"),1,0)+IF(AND(MultiLabel_R1!AE13="1",MultiLabel_R2!AE12="1"),1,0)+IF(AND(MultiLabel_R1!AF13="1",MultiLabel_R2!AF12="1"),1,0))/(IF(OR(MultiLabel_R1!Y13="1",MultiLabel_R2!Y12="1"),1,0)+IF(OR(MultiLabel_R1!Z13="1",MultiLabel_R2!Z12="1"),1,0)+IF(OR(MultiLabel_R1!AA13="1",MultiLabel_R2!AA12="1"),1,0)+IF(OR(MultiLabel_R1!AB13="1",MultiLabel_R2!AB12="1"),1,0)+IF(OR(MultiLabel_R1!AC13="1",MultiLabel_R2!AC12="1"),1,0)+IF(OR(MultiLabel_R1!AD13="1",MultiLabel_R2!AD12="1"),1,0)+IF(OR(MultiLabel_R1!AE13="1",MultiLabel_R2!AE12="1"),1,0)+IF(OR(MultiLabel_R1!AF13="1",MultiLabel_R2!AF12="1"),1,0)))</f>
        <v>1</v>
      </c>
      <c r="G12" s="14">
        <f>IF((IF(OR(MultiLabel_R1!AG13="1",MultiLabel_R2!AG12="1"),1,0)+IF(OR(MultiLabel_R1!AH13="1",MultiLabel_R2!AH12="1"),1,0)+IF(OR(MultiLabel_R1!AI13="1",MultiLabel_R2!AI12="1"),1,0)+IF(OR(MultiLabel_R1!AJ13="1",MultiLabel_R2!AJ12="1"),1,0)+IF(OR(MultiLabel_R1!AK13="1",MultiLabel_R2!AK12="1"),1,0)+IF(OR(MultiLabel_R1!AL13="1",MultiLabel_R2!AL12="1"),1,0)+IF(OR(MultiLabel_R1!AM13="1",MultiLabel_R2!AM12="1"),1,0)+IF(OR(MultiLabel_R1!AN13="1",MultiLabel_R2!AN12="1"),1,0)+IF(OR(MultiLabel_R1!AO13="1",MultiLabel_R2!AO12="1"),1,0)+IF(OR(MultiLabel_R1!AP13="1",MultiLabel_R2!AP12="1"),1,0)+IF(OR(MultiLabel_R1!AQ13="1",MultiLabel_R2!AQ12="1"),1,0)+IF(OR(MultiLabel_R1!AR13="1",MultiLabel_R2!AR12="1"),1,0))=0,"NA",(IF(AND(MultiLabel_R1!AG13="1",MultiLabel_R2!AG12="1"),1,0)+IF(AND(MultiLabel_R1!AH13="1",MultiLabel_R2!AH12="1"),1,0)+IF(AND(MultiLabel_R1!AI13="1",MultiLabel_R2!AI12="1"),1,0)+IF(AND(MultiLabel_R1!AJ13="1",MultiLabel_R2!AJ12="1"),1,0)+IF(AND(MultiLabel_R1!AK13="1",MultiLabel_R2!AK12="1"),1,0)+IF(AND(MultiLabel_R1!AL13="1",MultiLabel_R2!AL12="1"),1,0)+IF(AND(MultiLabel_R1!AM13="1",MultiLabel_R2!AM12="1"),1,0)+IF(AND(MultiLabel_R1!AN13="1",MultiLabel_R2!AN12="1"),1,0)+IF(AND(MultiLabel_R1!AO13="1",MultiLabel_R2!AO12="1"),1,0)+IF(AND(MultiLabel_R1!AP13="1",MultiLabel_R2!AP12="1"),1,0)+IF(AND(MultiLabel_R1!AQ13="1",MultiLabel_R2!AQ12="1"),1,0)+IF(AND(MultiLabel_R1!AR13="1",MultiLabel_R2!AR12="1"),1,0))/(IF(OR(MultiLabel_R1!AG13="1",MultiLabel_R2!AG12="1"),1,0)+IF(OR(MultiLabel_R1!AH13="1",MultiLabel_R2!AH12="1"),1,0)+IF(OR(MultiLabel_R1!AI13="1",MultiLabel_R2!AI12="1"),1,0)+IF(OR(MultiLabel_R1!AJ13="1",MultiLabel_R2!AJ12="1"),1,0)+IF(OR(MultiLabel_R1!AK13="1",MultiLabel_R2!AK12="1"),1,0)+IF(OR(MultiLabel_R1!AL13="1",MultiLabel_R2!AL12="1"),1,0)+IF(OR(MultiLabel_R1!AM13="1",MultiLabel_R2!AM12="1"),1,0)+IF(OR(MultiLabel_R1!AN13="1",MultiLabel_R2!AN12="1"),1,0)+IF(OR(MultiLabel_R1!AO13="1",MultiLabel_R2!AO12="1"),1,0)+IF(OR(MultiLabel_R1!AP13="1",MultiLabel_R2!AP12="1"),1,0)+IF(OR(MultiLabel_R1!AQ13="1",MultiLabel_R2!AQ12="1"),1,0)+IF(OR(MultiLabel_R1!AR13="1",MultiLabel_R2!AR12="1"),1,0)))</f>
        <v>1</v>
      </c>
    </row>
    <row r="13" spans="1:12">
      <c r="A13" s="4" t="s">
        <v>124</v>
      </c>
      <c r="B13" s="4" t="s">
        <v>125</v>
      </c>
      <c r="C13" s="14">
        <f>IF((IF(OR(MultiLabel_R1!C14="1",MultiLabel_R2!C13="1"),1,0)+IF(OR(MultiLabel_R1!D14="1",MultiLabel_R2!D13="1"),1,0)+IF(OR(MultiLabel_R1!E14="1",MultiLabel_R2!E13="1"),1,0)+IF(OR(MultiLabel_R1!F14="1",MultiLabel_R2!F13="1"),1,0))=0,"NA",(IF(AND(MultiLabel_R1!C14="1",MultiLabel_R2!C13="1"),1,0)+IF(AND(MultiLabel_R1!D14="1",MultiLabel_R2!D13="1"),1,0)+IF(AND(MultiLabel_R1!E14="1",MultiLabel_R2!E13="1"),1,0)+IF(AND(MultiLabel_R1!F14="1",MultiLabel_R2!F13="1"),1,0))/(IF(OR(MultiLabel_R1!C14="1",MultiLabel_R2!C13="1"),1,0)+IF(OR(MultiLabel_R1!D14="1",MultiLabel_R2!D13="1"),1,0)+IF(OR(MultiLabel_R1!E14="1",MultiLabel_R2!E13="1"),1,0)+IF(OR(MultiLabel_R1!F14="1",MultiLabel_R2!F13="1"),1,0)))</f>
        <v>1</v>
      </c>
      <c r="D13" s="14">
        <f>IF((IF(OR(MultiLabel_R1!G14="1",MultiLabel_R2!G13="1"),1,0)+IF(OR(MultiLabel_R1!H14="1",MultiLabel_R2!H13="1"),1,0)+IF(OR(MultiLabel_R1!I14="1",MultiLabel_R2!I13="1"),1,0)+IF(OR(MultiLabel_R1!J14="1",MultiLabel_R2!J13="1"),1,0)+IF(OR(MultiLabel_R1!K14="1",MultiLabel_R2!K13="1"),1,0)+IF(OR(MultiLabel_R1!L14="1",MultiLabel_R2!L13="1"),1,0))=0,"NA",(IF(AND(MultiLabel_R1!G14="1",MultiLabel_R2!G13="1"),1,0)+IF(AND(MultiLabel_R1!H14="1",MultiLabel_R2!H13="1"),1,0)+IF(AND(MultiLabel_R1!I14="1",MultiLabel_R2!I13="1"),1,0)+IF(AND(MultiLabel_R1!J14="1",MultiLabel_R2!J13="1"),1,0)+IF(AND(MultiLabel_R1!K14="1",MultiLabel_R2!K13="1"),1,0)+IF(AND(MultiLabel_R1!L14="1",MultiLabel_R2!L13="1"),1,0))/(IF(OR(MultiLabel_R1!G14="1",MultiLabel_R2!G13="1"),1,0)+IF(OR(MultiLabel_R1!H14="1",MultiLabel_R2!H13="1"),1,0)+IF(OR(MultiLabel_R1!I14="1",MultiLabel_R2!I13="1"),1,0)+IF(OR(MultiLabel_R1!J14="1",MultiLabel_R2!J13="1"),1,0)+IF(OR(MultiLabel_R1!K14="1",MultiLabel_R2!K13="1"),1,0)+IF(OR(MultiLabel_R1!L14="1",MultiLabel_R2!L13="1"),1,0)))</f>
        <v>1</v>
      </c>
      <c r="E13" s="14">
        <f>IF((IF(OR(MultiLabel_R1!M14="1",MultiLabel_R2!M13="1"),1,0)+IF(OR(MultiLabel_R1!N14="1",MultiLabel_R2!N13="1"),1,0)+IF(OR(MultiLabel_R1!O14="1",MultiLabel_R2!O13="1"),1,0)+IF(OR(MultiLabel_R1!P14="1",MultiLabel_R2!P13="1"),1,0)+IF(OR(MultiLabel_R1!Q14="1",MultiLabel_R2!Q13="1"),1,0)+IF(OR(MultiLabel_R1!R14="1",MultiLabel_R2!R13="1"),1,0)+IF(OR(MultiLabel_R1!S14="1",MultiLabel_R2!S13="1"),1,0)+IF(OR(MultiLabel_R1!T14="1",MultiLabel_R2!T13="1"),1,0)+IF(OR(MultiLabel_R1!U14="1",MultiLabel_R2!U13="1"),1,0)+IF(OR(MultiLabel_R1!V14="1",MultiLabel_R2!V13="1"),1,0)+IF(OR(MultiLabel_R1!W14="1",MultiLabel_R2!W13="1"),1,0)+IF(OR(MultiLabel_R1!X14="1",MultiLabel_R2!X13="1"),1,0))=0,"NA",(IF(AND(MultiLabel_R1!M14="1",MultiLabel_R2!M13="1"),1,0)+IF(AND(MultiLabel_R1!N14="1",MultiLabel_R2!N13="1"),1,0)+IF(AND(MultiLabel_R1!O14="1",MultiLabel_R2!O13="1"),1,0)+IF(AND(MultiLabel_R1!P14="1",MultiLabel_R2!P13="1"),1,0)+IF(AND(MultiLabel_R1!Q14="1",MultiLabel_R2!Q13="1"),1,0)+IF(AND(MultiLabel_R1!R14="1",MultiLabel_R2!R13="1"),1,0)+IF(AND(MultiLabel_R1!S14="1",MultiLabel_R2!S13="1"),1,0)+IF(AND(MultiLabel_R1!T14="1",MultiLabel_R2!T13="1"),1,0)+IF(AND(MultiLabel_R1!U14="1",MultiLabel_R2!U13="1"),1,0)+IF(AND(MultiLabel_R1!V14="1",MultiLabel_R2!V13="1"),1,0)+IF(AND(MultiLabel_R1!W14="1",MultiLabel_R2!W13="1"),1,0)+IF(AND(MultiLabel_R1!X14="1",MultiLabel_R2!X13="1"),1,0))/(IF(OR(MultiLabel_R1!M14="1",MultiLabel_R2!M13="1"),1,0)+IF(OR(MultiLabel_R1!N14="1",MultiLabel_R2!N13="1"),1,0)+IF(OR(MultiLabel_R1!O14="1",MultiLabel_R2!O13="1"),1,0)+IF(OR(MultiLabel_R1!P14="1",MultiLabel_R2!P13="1"),1,0)+IF(OR(MultiLabel_R1!Q14="1",MultiLabel_R2!Q13="1"),1,0)+IF(OR(MultiLabel_R1!R14="1",MultiLabel_R2!R13="1"),1,0)+IF(OR(MultiLabel_R1!S14="1",MultiLabel_R2!S13="1"),1,0)+IF(OR(MultiLabel_R1!T14="1",MultiLabel_R2!T13="1"),1,0)+IF(OR(MultiLabel_R1!U14="1",MultiLabel_R2!U13="1"),1,0)+IF(OR(MultiLabel_R1!V14="1",MultiLabel_R2!V13="1"),1,0)+IF(OR(MultiLabel_R1!W14="1",MultiLabel_R2!W13="1"),1,0)+IF(OR(MultiLabel_R1!X14="1",MultiLabel_R2!X13="1"),1,0)))</f>
        <v>1</v>
      </c>
      <c r="F13" s="14">
        <f>IF((IF(OR(MultiLabel_R1!Y14="1",MultiLabel_R2!Y13="1"),1,0)+IF(OR(MultiLabel_R1!Z14="1",MultiLabel_R2!Z13="1"),1,0)+IF(OR(MultiLabel_R1!AA14="1",MultiLabel_R2!AA13="1"),1,0)+IF(OR(MultiLabel_R1!AB14="1",MultiLabel_R2!AB13="1"),1,0)+IF(OR(MultiLabel_R1!AC14="1",MultiLabel_R2!AC13="1"),1,0)+IF(OR(MultiLabel_R1!AD14="1",MultiLabel_R2!AD13="1"),1,0)+IF(OR(MultiLabel_R1!AE14="1",MultiLabel_R2!AE13="1"),1,0)+IF(OR(MultiLabel_R1!AF14="1",MultiLabel_R2!AF13="1"),1,0))=0,"NA",(IF(AND(MultiLabel_R1!Y14="1",MultiLabel_R2!Y13="1"),1,0)+IF(AND(MultiLabel_R1!Z14="1",MultiLabel_R2!Z13="1"),1,0)+IF(AND(MultiLabel_R1!AA14="1",MultiLabel_R2!AA13="1"),1,0)+IF(AND(MultiLabel_R1!AB14="1",MultiLabel_R2!AB13="1"),1,0)+IF(AND(MultiLabel_R1!AC14="1",MultiLabel_R2!AC13="1"),1,0)+IF(AND(MultiLabel_R1!AD14="1",MultiLabel_R2!AD13="1"),1,0)+IF(AND(MultiLabel_R1!AE14="1",MultiLabel_R2!AE13="1"),1,0)+IF(AND(MultiLabel_R1!AF14="1",MultiLabel_R2!AF13="1"),1,0))/(IF(OR(MultiLabel_R1!Y14="1",MultiLabel_R2!Y13="1"),1,0)+IF(OR(MultiLabel_R1!Z14="1",MultiLabel_R2!Z13="1"),1,0)+IF(OR(MultiLabel_R1!AA14="1",MultiLabel_R2!AA13="1"),1,0)+IF(OR(MultiLabel_R1!AB14="1",MultiLabel_R2!AB13="1"),1,0)+IF(OR(MultiLabel_R1!AC14="1",MultiLabel_R2!AC13="1"),1,0)+IF(OR(MultiLabel_R1!AD14="1",MultiLabel_R2!AD13="1"),1,0)+IF(OR(MultiLabel_R1!AE14="1",MultiLabel_R2!AE13="1"),1,0)+IF(OR(MultiLabel_R1!AF14="1",MultiLabel_R2!AF13="1"),1,0)))</f>
        <v>1</v>
      </c>
      <c r="G13" s="14">
        <f>IF((IF(OR(MultiLabel_R1!AG14="1",MultiLabel_R2!AG13="1"),1,0)+IF(OR(MultiLabel_R1!AH14="1",MultiLabel_R2!AH13="1"),1,0)+IF(OR(MultiLabel_R1!AI14="1",MultiLabel_R2!AI13="1"),1,0)+IF(OR(MultiLabel_R1!AJ14="1",MultiLabel_R2!AJ13="1"),1,0)+IF(OR(MultiLabel_R1!AK14="1",MultiLabel_R2!AK13="1"),1,0)+IF(OR(MultiLabel_R1!AL14="1",MultiLabel_R2!AL13="1"),1,0)+IF(OR(MultiLabel_R1!AM14="1",MultiLabel_R2!AM13="1"),1,0)+IF(OR(MultiLabel_R1!AN14="1",MultiLabel_R2!AN13="1"),1,0)+IF(OR(MultiLabel_R1!AO14="1",MultiLabel_R2!AO13="1"),1,0)+IF(OR(MultiLabel_R1!AP14="1",MultiLabel_R2!AP13="1"),1,0)+IF(OR(MultiLabel_R1!AQ14="1",MultiLabel_R2!AQ13="1"),1,0)+IF(OR(MultiLabel_R1!AR14="1",MultiLabel_R2!AR13="1"),1,0))=0,"NA",(IF(AND(MultiLabel_R1!AG14="1",MultiLabel_R2!AG13="1"),1,0)+IF(AND(MultiLabel_R1!AH14="1",MultiLabel_R2!AH13="1"),1,0)+IF(AND(MultiLabel_R1!AI14="1",MultiLabel_R2!AI13="1"),1,0)+IF(AND(MultiLabel_R1!AJ14="1",MultiLabel_R2!AJ13="1"),1,0)+IF(AND(MultiLabel_R1!AK14="1",MultiLabel_R2!AK13="1"),1,0)+IF(AND(MultiLabel_R1!AL14="1",MultiLabel_R2!AL13="1"),1,0)+IF(AND(MultiLabel_R1!AM14="1",MultiLabel_R2!AM13="1"),1,0)+IF(AND(MultiLabel_R1!AN14="1",MultiLabel_R2!AN13="1"),1,0)+IF(AND(MultiLabel_R1!AO14="1",MultiLabel_R2!AO13="1"),1,0)+IF(AND(MultiLabel_R1!AP14="1",MultiLabel_R2!AP13="1"),1,0)+IF(AND(MultiLabel_R1!AQ14="1",MultiLabel_R2!AQ13="1"),1,0)+IF(AND(MultiLabel_R1!AR14="1",MultiLabel_R2!AR13="1"),1,0))/(IF(OR(MultiLabel_R1!AG14="1",MultiLabel_R2!AG13="1"),1,0)+IF(OR(MultiLabel_R1!AH14="1",MultiLabel_R2!AH13="1"),1,0)+IF(OR(MultiLabel_R1!AI14="1",MultiLabel_R2!AI13="1"),1,0)+IF(OR(MultiLabel_R1!AJ14="1",MultiLabel_R2!AJ13="1"),1,0)+IF(OR(MultiLabel_R1!AK14="1",MultiLabel_R2!AK13="1"),1,0)+IF(OR(MultiLabel_R1!AL14="1",MultiLabel_R2!AL13="1"),1,0)+IF(OR(MultiLabel_R1!AM14="1",MultiLabel_R2!AM13="1"),1,0)+IF(OR(MultiLabel_R1!AN14="1",MultiLabel_R2!AN13="1"),1,0)+IF(OR(MultiLabel_R1!AO14="1",MultiLabel_R2!AO13="1"),1,0)+IF(OR(MultiLabel_R1!AP14="1",MultiLabel_R2!AP13="1"),1,0)+IF(OR(MultiLabel_R1!AQ14="1",MultiLabel_R2!AQ13="1"),1,0)+IF(OR(MultiLabel_R1!AR14="1",MultiLabel_R2!AR13="1"),1,0)))</f>
        <v>1</v>
      </c>
    </row>
    <row r="14" spans="1:12">
      <c r="A14" s="4" t="s">
        <v>131</v>
      </c>
      <c r="B14" s="4" t="s">
        <v>132</v>
      </c>
      <c r="C14" s="14">
        <f>IF((IF(OR(MultiLabel_R1!C15="1",MultiLabel_R2!C14="1"),1,0)+IF(OR(MultiLabel_R1!D15="1",MultiLabel_R2!D14="1"),1,0)+IF(OR(MultiLabel_R1!E15="1",MultiLabel_R2!E14="1"),1,0)+IF(OR(MultiLabel_R1!F15="1",MultiLabel_R2!F14="1"),1,0))=0,"NA",(IF(AND(MultiLabel_R1!C15="1",MultiLabel_R2!C14="1"),1,0)+IF(AND(MultiLabel_R1!D15="1",MultiLabel_R2!D14="1"),1,0)+IF(AND(MultiLabel_R1!E15="1",MultiLabel_R2!E14="1"),1,0)+IF(AND(MultiLabel_R1!F15="1",MultiLabel_R2!F14="1"),1,0))/(IF(OR(MultiLabel_R1!C15="1",MultiLabel_R2!C14="1"),1,0)+IF(OR(MultiLabel_R1!D15="1",MultiLabel_R2!D14="1"),1,0)+IF(OR(MultiLabel_R1!E15="1",MultiLabel_R2!E14="1"),1,0)+IF(OR(MultiLabel_R1!F15="1",MultiLabel_R2!F14="1"),1,0)))</f>
        <v>1</v>
      </c>
      <c r="D14" s="14">
        <f>IF((IF(OR(MultiLabel_R1!G15="1",MultiLabel_R2!G14="1"),1,0)+IF(OR(MultiLabel_R1!H15="1",MultiLabel_R2!H14="1"),1,0)+IF(OR(MultiLabel_R1!I15="1",MultiLabel_R2!I14="1"),1,0)+IF(OR(MultiLabel_R1!J15="1",MultiLabel_R2!J14="1"),1,0)+IF(OR(MultiLabel_R1!K15="1",MultiLabel_R2!K14="1"),1,0)+IF(OR(MultiLabel_R1!L15="1",MultiLabel_R2!L14="1"),1,0))=0,"NA",(IF(AND(MultiLabel_R1!G15="1",MultiLabel_R2!G14="1"),1,0)+IF(AND(MultiLabel_R1!H15="1",MultiLabel_R2!H14="1"),1,0)+IF(AND(MultiLabel_R1!I15="1",MultiLabel_R2!I14="1"),1,0)+IF(AND(MultiLabel_R1!J15="1",MultiLabel_R2!J14="1"),1,0)+IF(AND(MultiLabel_R1!K15="1",MultiLabel_R2!K14="1"),1,0)+IF(AND(MultiLabel_R1!L15="1",MultiLabel_R2!L14="1"),1,0))/(IF(OR(MultiLabel_R1!G15="1",MultiLabel_R2!G14="1"),1,0)+IF(OR(MultiLabel_R1!H15="1",MultiLabel_R2!H14="1"),1,0)+IF(OR(MultiLabel_R1!I15="1",MultiLabel_R2!I14="1"),1,0)+IF(OR(MultiLabel_R1!J15="1",MultiLabel_R2!J14="1"),1,0)+IF(OR(MultiLabel_R1!K15="1",MultiLabel_R2!K14="1"),1,0)+IF(OR(MultiLabel_R1!L15="1",MultiLabel_R2!L14="1"),1,0)))</f>
        <v>1</v>
      </c>
      <c r="E14" s="14">
        <f>IF((IF(OR(MultiLabel_R1!M15="1",MultiLabel_R2!M14="1"),1,0)+IF(OR(MultiLabel_R1!N15="1",MultiLabel_R2!N14="1"),1,0)+IF(OR(MultiLabel_R1!O15="1",MultiLabel_R2!O14="1"),1,0)+IF(OR(MultiLabel_R1!P15="1",MultiLabel_R2!P14="1"),1,0)+IF(OR(MultiLabel_R1!Q15="1",MultiLabel_R2!Q14="1"),1,0)+IF(OR(MultiLabel_R1!R15="1",MultiLabel_R2!R14="1"),1,0)+IF(OR(MultiLabel_R1!S15="1",MultiLabel_R2!S14="1"),1,0)+IF(OR(MultiLabel_R1!T15="1",MultiLabel_R2!T14="1"),1,0)+IF(OR(MultiLabel_R1!U15="1",MultiLabel_R2!U14="1"),1,0)+IF(OR(MultiLabel_R1!V15="1",MultiLabel_R2!V14="1"),1,0)+IF(OR(MultiLabel_R1!W15="1",MultiLabel_R2!W14="1"),1,0)+IF(OR(MultiLabel_R1!X15="1",MultiLabel_R2!X14="1"),1,0))=0,"NA",(IF(AND(MultiLabel_R1!M15="1",MultiLabel_R2!M14="1"),1,0)+IF(AND(MultiLabel_R1!N15="1",MultiLabel_R2!N14="1"),1,0)+IF(AND(MultiLabel_R1!O15="1",MultiLabel_R2!O14="1"),1,0)+IF(AND(MultiLabel_R1!P15="1",MultiLabel_R2!P14="1"),1,0)+IF(AND(MultiLabel_R1!Q15="1",MultiLabel_R2!Q14="1"),1,0)+IF(AND(MultiLabel_R1!R15="1",MultiLabel_R2!R14="1"),1,0)+IF(AND(MultiLabel_R1!S15="1",MultiLabel_R2!S14="1"),1,0)+IF(AND(MultiLabel_R1!T15="1",MultiLabel_R2!T14="1"),1,0)+IF(AND(MultiLabel_R1!U15="1",MultiLabel_R2!U14="1"),1,0)+IF(AND(MultiLabel_R1!V15="1",MultiLabel_R2!V14="1"),1,0)+IF(AND(MultiLabel_R1!W15="1",MultiLabel_R2!W14="1"),1,0)+IF(AND(MultiLabel_R1!X15="1",MultiLabel_R2!X14="1"),1,0))/(IF(OR(MultiLabel_R1!M15="1",MultiLabel_R2!M14="1"),1,0)+IF(OR(MultiLabel_R1!N15="1",MultiLabel_R2!N14="1"),1,0)+IF(OR(MultiLabel_R1!O15="1",MultiLabel_R2!O14="1"),1,0)+IF(OR(MultiLabel_R1!P15="1",MultiLabel_R2!P14="1"),1,0)+IF(OR(MultiLabel_R1!Q15="1",MultiLabel_R2!Q14="1"),1,0)+IF(OR(MultiLabel_R1!R15="1",MultiLabel_R2!R14="1"),1,0)+IF(OR(MultiLabel_R1!S15="1",MultiLabel_R2!S14="1"),1,0)+IF(OR(MultiLabel_R1!T15="1",MultiLabel_R2!T14="1"),1,0)+IF(OR(MultiLabel_R1!U15="1",MultiLabel_R2!U14="1"),1,0)+IF(OR(MultiLabel_R1!V15="1",MultiLabel_R2!V14="1"),1,0)+IF(OR(MultiLabel_R1!W15="1",MultiLabel_R2!W14="1"),1,0)+IF(OR(MultiLabel_R1!X15="1",MultiLabel_R2!X14="1"),1,0)))</f>
        <v>1</v>
      </c>
      <c r="F14" s="14">
        <f>IF((IF(OR(MultiLabel_R1!Y15="1",MultiLabel_R2!Y14="1"),1,0)+IF(OR(MultiLabel_R1!Z15="1",MultiLabel_R2!Z14="1"),1,0)+IF(OR(MultiLabel_R1!AA15="1",MultiLabel_R2!AA14="1"),1,0)+IF(OR(MultiLabel_R1!AB15="1",MultiLabel_R2!AB14="1"),1,0)+IF(OR(MultiLabel_R1!AC15="1",MultiLabel_R2!AC14="1"),1,0)+IF(OR(MultiLabel_R1!AD15="1",MultiLabel_R2!AD14="1"),1,0)+IF(OR(MultiLabel_R1!AE15="1",MultiLabel_R2!AE14="1"),1,0)+IF(OR(MultiLabel_R1!AF15="1",MultiLabel_R2!AF14="1"),1,0))=0,"NA",(IF(AND(MultiLabel_R1!Y15="1",MultiLabel_R2!Y14="1"),1,0)+IF(AND(MultiLabel_R1!Z15="1",MultiLabel_R2!Z14="1"),1,0)+IF(AND(MultiLabel_R1!AA15="1",MultiLabel_R2!AA14="1"),1,0)+IF(AND(MultiLabel_R1!AB15="1",MultiLabel_R2!AB14="1"),1,0)+IF(AND(MultiLabel_R1!AC15="1",MultiLabel_R2!AC14="1"),1,0)+IF(AND(MultiLabel_R1!AD15="1",MultiLabel_R2!AD14="1"),1,0)+IF(AND(MultiLabel_R1!AE15="1",MultiLabel_R2!AE14="1"),1,0)+IF(AND(MultiLabel_R1!AF15="1",MultiLabel_R2!AF14="1"),1,0))/(IF(OR(MultiLabel_R1!Y15="1",MultiLabel_R2!Y14="1"),1,0)+IF(OR(MultiLabel_R1!Z15="1",MultiLabel_R2!Z14="1"),1,0)+IF(OR(MultiLabel_R1!AA15="1",MultiLabel_R2!AA14="1"),1,0)+IF(OR(MultiLabel_R1!AB15="1",MultiLabel_R2!AB14="1"),1,0)+IF(OR(MultiLabel_R1!AC15="1",MultiLabel_R2!AC14="1"),1,0)+IF(OR(MultiLabel_R1!AD15="1",MultiLabel_R2!AD14="1"),1,0)+IF(OR(MultiLabel_R1!AE15="1",MultiLabel_R2!AE14="1"),1,0)+IF(OR(MultiLabel_R1!AF15="1",MultiLabel_R2!AF14="1"),1,0)))</f>
        <v>1</v>
      </c>
      <c r="G14" s="14">
        <f>IF((IF(OR(MultiLabel_R1!AG15="1",MultiLabel_R2!AG14="1"),1,0)+IF(OR(MultiLabel_R1!AH15="1",MultiLabel_R2!AH14="1"),1,0)+IF(OR(MultiLabel_R1!AI15="1",MultiLabel_R2!AI14="1"),1,0)+IF(OR(MultiLabel_R1!AJ15="1",MultiLabel_R2!AJ14="1"),1,0)+IF(OR(MultiLabel_R1!AK15="1",MultiLabel_R2!AK14="1"),1,0)+IF(OR(MultiLabel_R1!AL15="1",MultiLabel_R2!AL14="1"),1,0)+IF(OR(MultiLabel_R1!AM15="1",MultiLabel_R2!AM14="1"),1,0)+IF(OR(MultiLabel_R1!AN15="1",MultiLabel_R2!AN14="1"),1,0)+IF(OR(MultiLabel_R1!AO15="1",MultiLabel_R2!AO14="1"),1,0)+IF(OR(MultiLabel_R1!AP15="1",MultiLabel_R2!AP14="1"),1,0)+IF(OR(MultiLabel_R1!AQ15="1",MultiLabel_R2!AQ14="1"),1,0)+IF(OR(MultiLabel_R1!AR15="1",MultiLabel_R2!AR14="1"),1,0))=0,"NA",(IF(AND(MultiLabel_R1!AG15="1",MultiLabel_R2!AG14="1"),1,0)+IF(AND(MultiLabel_R1!AH15="1",MultiLabel_R2!AH14="1"),1,0)+IF(AND(MultiLabel_R1!AI15="1",MultiLabel_R2!AI14="1"),1,0)+IF(AND(MultiLabel_R1!AJ15="1",MultiLabel_R2!AJ14="1"),1,0)+IF(AND(MultiLabel_R1!AK15="1",MultiLabel_R2!AK14="1"),1,0)+IF(AND(MultiLabel_R1!AL15="1",MultiLabel_R2!AL14="1"),1,0)+IF(AND(MultiLabel_R1!AM15="1",MultiLabel_R2!AM14="1"),1,0)+IF(AND(MultiLabel_R1!AN15="1",MultiLabel_R2!AN14="1"),1,0)+IF(AND(MultiLabel_R1!AO15="1",MultiLabel_R2!AO14="1"),1,0)+IF(AND(MultiLabel_R1!AP15="1",MultiLabel_R2!AP14="1"),1,0)+IF(AND(MultiLabel_R1!AQ15="1",MultiLabel_R2!AQ14="1"),1,0)+IF(AND(MultiLabel_R1!AR15="1",MultiLabel_R2!AR14="1"),1,0))/(IF(OR(MultiLabel_R1!AG15="1",MultiLabel_R2!AG14="1"),1,0)+IF(OR(MultiLabel_R1!AH15="1",MultiLabel_R2!AH14="1"),1,0)+IF(OR(MultiLabel_R1!AI15="1",MultiLabel_R2!AI14="1"),1,0)+IF(OR(MultiLabel_R1!AJ15="1",MultiLabel_R2!AJ14="1"),1,0)+IF(OR(MultiLabel_R1!AK15="1",MultiLabel_R2!AK14="1"),1,0)+IF(OR(MultiLabel_R1!AL15="1",MultiLabel_R2!AL14="1"),1,0)+IF(OR(MultiLabel_R1!AM15="1",MultiLabel_R2!AM14="1"),1,0)+IF(OR(MultiLabel_R1!AN15="1",MultiLabel_R2!AN14="1"),1,0)+IF(OR(MultiLabel_R1!AO15="1",MultiLabel_R2!AO14="1"),1,0)+IF(OR(MultiLabel_R1!AP15="1",MultiLabel_R2!AP14="1"),1,0)+IF(OR(MultiLabel_R1!AQ15="1",MultiLabel_R2!AQ14="1"),1,0)+IF(OR(MultiLabel_R1!AR15="1",MultiLabel_R2!AR14="1"),1,0)))</f>
        <v>1</v>
      </c>
    </row>
    <row r="15" spans="1:12">
      <c r="A15" s="4" t="s">
        <v>138</v>
      </c>
      <c r="B15" s="4" t="s">
        <v>139</v>
      </c>
      <c r="C15" s="14">
        <f>IF((IF(OR(MultiLabel_R1!C16="1",MultiLabel_R2!C15="1"),1,0)+IF(OR(MultiLabel_R1!D16="1",MultiLabel_R2!D15="1"),1,0)+IF(OR(MultiLabel_R1!E16="1",MultiLabel_R2!E15="1"),1,0)+IF(OR(MultiLabel_R1!F16="1",MultiLabel_R2!F15="1"),1,0))=0,"NA",(IF(AND(MultiLabel_R1!C16="1",MultiLabel_R2!C15="1"),1,0)+IF(AND(MultiLabel_R1!D16="1",MultiLabel_R2!D15="1"),1,0)+IF(AND(MultiLabel_R1!E16="1",MultiLabel_R2!E15="1"),1,0)+IF(AND(MultiLabel_R1!F16="1",MultiLabel_R2!F15="1"),1,0))/(IF(OR(MultiLabel_R1!C16="1",MultiLabel_R2!C15="1"),1,0)+IF(OR(MultiLabel_R1!D16="1",MultiLabel_R2!D15="1"),1,0)+IF(OR(MultiLabel_R1!E16="1",MultiLabel_R2!E15="1"),1,0)+IF(OR(MultiLabel_R1!F16="1",MultiLabel_R2!F15="1"),1,0)))</f>
        <v>1</v>
      </c>
      <c r="D15" s="14">
        <f>IF((IF(OR(MultiLabel_R1!G16="1",MultiLabel_R2!G15="1"),1,0)+IF(OR(MultiLabel_R1!H16="1",MultiLabel_R2!H15="1"),1,0)+IF(OR(MultiLabel_R1!I16="1",MultiLabel_R2!I15="1"),1,0)+IF(OR(MultiLabel_R1!J16="1",MultiLabel_R2!J15="1"),1,0)+IF(OR(MultiLabel_R1!K16="1",MultiLabel_R2!K15="1"),1,0)+IF(OR(MultiLabel_R1!L16="1",MultiLabel_R2!L15="1"),1,0))=0,"NA",(IF(AND(MultiLabel_R1!G16="1",MultiLabel_R2!G15="1"),1,0)+IF(AND(MultiLabel_R1!H16="1",MultiLabel_R2!H15="1"),1,0)+IF(AND(MultiLabel_R1!I16="1",MultiLabel_R2!I15="1"),1,0)+IF(AND(MultiLabel_R1!J16="1",MultiLabel_R2!J15="1"),1,0)+IF(AND(MultiLabel_R1!K16="1",MultiLabel_R2!K15="1"),1,0)+IF(AND(MultiLabel_R1!L16="1",MultiLabel_R2!L15="1"),1,0))/(IF(OR(MultiLabel_R1!G16="1",MultiLabel_R2!G15="1"),1,0)+IF(OR(MultiLabel_R1!H16="1",MultiLabel_R2!H15="1"),1,0)+IF(OR(MultiLabel_R1!I16="1",MultiLabel_R2!I15="1"),1,0)+IF(OR(MultiLabel_R1!J16="1",MultiLabel_R2!J15="1"),1,0)+IF(OR(MultiLabel_R1!K16="1",MultiLabel_R2!K15="1"),1,0)+IF(OR(MultiLabel_R1!L16="1",MultiLabel_R2!L15="1"),1,0)))</f>
        <v>1</v>
      </c>
      <c r="E15" s="14">
        <f>IF((IF(OR(MultiLabel_R1!M16="1",MultiLabel_R2!M15="1"),1,0)+IF(OR(MultiLabel_R1!N16="1",MultiLabel_R2!N15="1"),1,0)+IF(OR(MultiLabel_R1!O16="1",MultiLabel_R2!O15="1"),1,0)+IF(OR(MultiLabel_R1!P16="1",MultiLabel_R2!P15="1"),1,0)+IF(OR(MultiLabel_R1!Q16="1",MultiLabel_R2!Q15="1"),1,0)+IF(OR(MultiLabel_R1!R16="1",MultiLabel_R2!R15="1"),1,0)+IF(OR(MultiLabel_R1!S16="1",MultiLabel_R2!S15="1"),1,0)+IF(OR(MultiLabel_R1!T16="1",MultiLabel_R2!T15="1"),1,0)+IF(OR(MultiLabel_R1!U16="1",MultiLabel_R2!U15="1"),1,0)+IF(OR(MultiLabel_R1!V16="1",MultiLabel_R2!V15="1"),1,0)+IF(OR(MultiLabel_R1!W16="1",MultiLabel_R2!W15="1"),1,0)+IF(OR(MultiLabel_R1!X16="1",MultiLabel_R2!X15="1"),1,0))=0,"NA",(IF(AND(MultiLabel_R1!M16="1",MultiLabel_R2!M15="1"),1,0)+IF(AND(MultiLabel_R1!N16="1",MultiLabel_R2!N15="1"),1,0)+IF(AND(MultiLabel_R1!O16="1",MultiLabel_R2!O15="1"),1,0)+IF(AND(MultiLabel_R1!P16="1",MultiLabel_R2!P15="1"),1,0)+IF(AND(MultiLabel_R1!Q16="1",MultiLabel_R2!Q15="1"),1,0)+IF(AND(MultiLabel_R1!R16="1",MultiLabel_R2!R15="1"),1,0)+IF(AND(MultiLabel_R1!S16="1",MultiLabel_R2!S15="1"),1,0)+IF(AND(MultiLabel_R1!T16="1",MultiLabel_R2!T15="1"),1,0)+IF(AND(MultiLabel_R1!U16="1",MultiLabel_R2!U15="1"),1,0)+IF(AND(MultiLabel_R1!V16="1",MultiLabel_R2!V15="1"),1,0)+IF(AND(MultiLabel_R1!W16="1",MultiLabel_R2!W15="1"),1,0)+IF(AND(MultiLabel_R1!X16="1",MultiLabel_R2!X15="1"),1,0))/(IF(OR(MultiLabel_R1!M16="1",MultiLabel_R2!M15="1"),1,0)+IF(OR(MultiLabel_R1!N16="1",MultiLabel_R2!N15="1"),1,0)+IF(OR(MultiLabel_R1!O16="1",MultiLabel_R2!O15="1"),1,0)+IF(OR(MultiLabel_R1!P16="1",MultiLabel_R2!P15="1"),1,0)+IF(OR(MultiLabel_R1!Q16="1",MultiLabel_R2!Q15="1"),1,0)+IF(OR(MultiLabel_R1!R16="1",MultiLabel_R2!R15="1"),1,0)+IF(OR(MultiLabel_R1!S16="1",MultiLabel_R2!S15="1"),1,0)+IF(OR(MultiLabel_R1!T16="1",MultiLabel_R2!T15="1"),1,0)+IF(OR(MultiLabel_R1!U16="1",MultiLabel_R2!U15="1"),1,0)+IF(OR(MultiLabel_R1!V16="1",MultiLabel_R2!V15="1"),1,0)+IF(OR(MultiLabel_R1!W16="1",MultiLabel_R2!W15="1"),1,0)+IF(OR(MultiLabel_R1!X16="1",MultiLabel_R2!X15="1"),1,0)))</f>
        <v>1</v>
      </c>
      <c r="F15" s="14">
        <f>IF((IF(OR(MultiLabel_R1!Y16="1",MultiLabel_R2!Y15="1"),1,0)+IF(OR(MultiLabel_R1!Z16="1",MultiLabel_R2!Z15="1"),1,0)+IF(OR(MultiLabel_R1!AA16="1",MultiLabel_R2!AA15="1"),1,0)+IF(OR(MultiLabel_R1!AB16="1",MultiLabel_R2!AB15="1"),1,0)+IF(OR(MultiLabel_R1!AC16="1",MultiLabel_R2!AC15="1"),1,0)+IF(OR(MultiLabel_R1!AD16="1",MultiLabel_R2!AD15="1"),1,0)+IF(OR(MultiLabel_R1!AE16="1",MultiLabel_R2!AE15="1"),1,0)+IF(OR(MultiLabel_R1!AF16="1",MultiLabel_R2!AF15="1"),1,0))=0,"NA",(IF(AND(MultiLabel_R1!Y16="1",MultiLabel_R2!Y15="1"),1,0)+IF(AND(MultiLabel_R1!Z16="1",MultiLabel_R2!Z15="1"),1,0)+IF(AND(MultiLabel_R1!AA16="1",MultiLabel_R2!AA15="1"),1,0)+IF(AND(MultiLabel_R1!AB16="1",MultiLabel_R2!AB15="1"),1,0)+IF(AND(MultiLabel_R1!AC16="1",MultiLabel_R2!AC15="1"),1,0)+IF(AND(MultiLabel_R1!AD16="1",MultiLabel_R2!AD15="1"),1,0)+IF(AND(MultiLabel_R1!AE16="1",MultiLabel_R2!AE15="1"),1,0)+IF(AND(MultiLabel_R1!AF16="1",MultiLabel_R2!AF15="1"),1,0))/(IF(OR(MultiLabel_R1!Y16="1",MultiLabel_R2!Y15="1"),1,0)+IF(OR(MultiLabel_R1!Z16="1",MultiLabel_R2!Z15="1"),1,0)+IF(OR(MultiLabel_R1!AA16="1",MultiLabel_R2!AA15="1"),1,0)+IF(OR(MultiLabel_R1!AB16="1",MultiLabel_R2!AB15="1"),1,0)+IF(OR(MultiLabel_R1!AC16="1",MultiLabel_R2!AC15="1"),1,0)+IF(OR(MultiLabel_R1!AD16="1",MultiLabel_R2!AD15="1"),1,0)+IF(OR(MultiLabel_R1!AE16="1",MultiLabel_R2!AE15="1"),1,0)+IF(OR(MultiLabel_R1!AF16="1",MultiLabel_R2!AF15="1"),1,0)))</f>
        <v>1</v>
      </c>
      <c r="G15" s="14">
        <f>IF((IF(OR(MultiLabel_R1!AG16="1",MultiLabel_R2!AG15="1"),1,0)+IF(OR(MultiLabel_R1!AH16="1",MultiLabel_R2!AH15="1"),1,0)+IF(OR(MultiLabel_R1!AI16="1",MultiLabel_R2!AI15="1"),1,0)+IF(OR(MultiLabel_R1!AJ16="1",MultiLabel_R2!AJ15="1"),1,0)+IF(OR(MultiLabel_R1!AK16="1",MultiLabel_R2!AK15="1"),1,0)+IF(OR(MultiLabel_R1!AL16="1",MultiLabel_R2!AL15="1"),1,0)+IF(OR(MultiLabel_R1!AM16="1",MultiLabel_R2!AM15="1"),1,0)+IF(OR(MultiLabel_R1!AN16="1",MultiLabel_R2!AN15="1"),1,0)+IF(OR(MultiLabel_R1!AO16="1",MultiLabel_R2!AO15="1"),1,0)+IF(OR(MultiLabel_R1!AP16="1",MultiLabel_R2!AP15="1"),1,0)+IF(OR(MultiLabel_R1!AQ16="1",MultiLabel_R2!AQ15="1"),1,0)+IF(OR(MultiLabel_R1!AR16="1",MultiLabel_R2!AR15="1"),1,0))=0,"NA",(IF(AND(MultiLabel_R1!AG16="1",MultiLabel_R2!AG15="1"),1,0)+IF(AND(MultiLabel_R1!AH16="1",MultiLabel_R2!AH15="1"),1,0)+IF(AND(MultiLabel_R1!AI16="1",MultiLabel_R2!AI15="1"),1,0)+IF(AND(MultiLabel_R1!AJ16="1",MultiLabel_R2!AJ15="1"),1,0)+IF(AND(MultiLabel_R1!AK16="1",MultiLabel_R2!AK15="1"),1,0)+IF(AND(MultiLabel_R1!AL16="1",MultiLabel_R2!AL15="1"),1,0)+IF(AND(MultiLabel_R1!AM16="1",MultiLabel_R2!AM15="1"),1,0)+IF(AND(MultiLabel_R1!AN16="1",MultiLabel_R2!AN15="1"),1,0)+IF(AND(MultiLabel_R1!AO16="1",MultiLabel_R2!AO15="1"),1,0)+IF(AND(MultiLabel_R1!AP16="1",MultiLabel_R2!AP15="1"),1,0)+IF(AND(MultiLabel_R1!AQ16="1",MultiLabel_R2!AQ15="1"),1,0)+IF(AND(MultiLabel_R1!AR16="1",MultiLabel_R2!AR15="1"),1,0))/(IF(OR(MultiLabel_R1!AG16="1",MultiLabel_R2!AG15="1"),1,0)+IF(OR(MultiLabel_R1!AH16="1",MultiLabel_R2!AH15="1"),1,0)+IF(OR(MultiLabel_R1!AI16="1",MultiLabel_R2!AI15="1"),1,0)+IF(OR(MultiLabel_R1!AJ16="1",MultiLabel_R2!AJ15="1"),1,0)+IF(OR(MultiLabel_R1!AK16="1",MultiLabel_R2!AK15="1"),1,0)+IF(OR(MultiLabel_R1!AL16="1",MultiLabel_R2!AL15="1"),1,0)+IF(OR(MultiLabel_R1!AM16="1",MultiLabel_R2!AM15="1"),1,0)+IF(OR(MultiLabel_R1!AN16="1",MultiLabel_R2!AN15="1"),1,0)+IF(OR(MultiLabel_R1!AO16="1",MultiLabel_R2!AO15="1"),1,0)+IF(OR(MultiLabel_R1!AP16="1",MultiLabel_R2!AP15="1"),1,0)+IF(OR(MultiLabel_R1!AQ16="1",MultiLabel_R2!AQ15="1"),1,0)+IF(OR(MultiLabel_R1!AR16="1",MultiLabel_R2!AR15="1"),1,0)))</f>
        <v>1</v>
      </c>
    </row>
    <row r="16" spans="1:12">
      <c r="A16" s="4" t="s">
        <v>146</v>
      </c>
      <c r="B16" s="4" t="s">
        <v>147</v>
      </c>
      <c r="C16" s="14">
        <f>IF((IF(OR(MultiLabel_R1!C17="1",MultiLabel_R2!C16="1"),1,0)+IF(OR(MultiLabel_R1!D17="1",MultiLabel_R2!D16="1"),1,0)+IF(OR(MultiLabel_R1!E17="1",MultiLabel_R2!E16="1"),1,0)+IF(OR(MultiLabel_R1!F17="1",MultiLabel_R2!F16="1"),1,0))=0,"NA",(IF(AND(MultiLabel_R1!C17="1",MultiLabel_R2!C16="1"),1,0)+IF(AND(MultiLabel_R1!D17="1",MultiLabel_R2!D16="1"),1,0)+IF(AND(MultiLabel_R1!E17="1",MultiLabel_R2!E16="1"),1,0)+IF(AND(MultiLabel_R1!F17="1",MultiLabel_R2!F16="1"),1,0))/(IF(OR(MultiLabel_R1!C17="1",MultiLabel_R2!C16="1"),1,0)+IF(OR(MultiLabel_R1!D17="1",MultiLabel_R2!D16="1"),1,0)+IF(OR(MultiLabel_R1!E17="1",MultiLabel_R2!E16="1"),1,0)+IF(OR(MultiLabel_R1!F17="1",MultiLabel_R2!F16="1"),1,0)))</f>
        <v>1</v>
      </c>
      <c r="D16" s="14">
        <f>IF((IF(OR(MultiLabel_R1!G17="1",MultiLabel_R2!G16="1"),1,0)+IF(OR(MultiLabel_R1!H17="1",MultiLabel_R2!H16="1"),1,0)+IF(OR(MultiLabel_R1!I17="1",MultiLabel_R2!I16="1"),1,0)+IF(OR(MultiLabel_R1!J17="1",MultiLabel_R2!J16="1"),1,0)+IF(OR(MultiLabel_R1!K17="1",MultiLabel_R2!K16="1"),1,0)+IF(OR(MultiLabel_R1!L17="1",MultiLabel_R2!L16="1"),1,0))=0,"NA",(IF(AND(MultiLabel_R1!G17="1",MultiLabel_R2!G16="1"),1,0)+IF(AND(MultiLabel_R1!H17="1",MultiLabel_R2!H16="1"),1,0)+IF(AND(MultiLabel_R1!I17="1",MultiLabel_R2!I16="1"),1,0)+IF(AND(MultiLabel_R1!J17="1",MultiLabel_R2!J16="1"),1,0)+IF(AND(MultiLabel_R1!K17="1",MultiLabel_R2!K16="1"),1,0)+IF(AND(MultiLabel_R1!L17="1",MultiLabel_R2!L16="1"),1,0))/(IF(OR(MultiLabel_R1!G17="1",MultiLabel_R2!G16="1"),1,0)+IF(OR(MultiLabel_R1!H17="1",MultiLabel_R2!H16="1"),1,0)+IF(OR(MultiLabel_R1!I17="1",MultiLabel_R2!I16="1"),1,0)+IF(OR(MultiLabel_R1!J17="1",MultiLabel_R2!J16="1"),1,0)+IF(OR(MultiLabel_R1!K17="1",MultiLabel_R2!K16="1"),1,0)+IF(OR(MultiLabel_R1!L17="1",MultiLabel_R2!L16="1"),1,0)))</f>
        <v>1</v>
      </c>
      <c r="E16" s="14">
        <f>IF((IF(OR(MultiLabel_R1!M17="1",MultiLabel_R2!M16="1"),1,0)+IF(OR(MultiLabel_R1!N17="1",MultiLabel_R2!N16="1"),1,0)+IF(OR(MultiLabel_R1!O17="1",MultiLabel_R2!O16="1"),1,0)+IF(OR(MultiLabel_R1!P17="1",MultiLabel_R2!P16="1"),1,0)+IF(OR(MultiLabel_R1!Q17="1",MultiLabel_R2!Q16="1"),1,0)+IF(OR(MultiLabel_R1!R17="1",MultiLabel_R2!R16="1"),1,0)+IF(OR(MultiLabel_R1!S17="1",MultiLabel_R2!S16="1"),1,0)+IF(OR(MultiLabel_R1!T17="1",MultiLabel_R2!T16="1"),1,0)+IF(OR(MultiLabel_R1!U17="1",MultiLabel_R2!U16="1"),1,0)+IF(OR(MultiLabel_R1!V17="1",MultiLabel_R2!V16="1"),1,0)+IF(OR(MultiLabel_R1!W17="1",MultiLabel_R2!W16="1"),1,0)+IF(OR(MultiLabel_R1!X17="1",MultiLabel_R2!X16="1"),1,0))=0,"NA",(IF(AND(MultiLabel_R1!M17="1",MultiLabel_R2!M16="1"),1,0)+IF(AND(MultiLabel_R1!N17="1",MultiLabel_R2!N16="1"),1,0)+IF(AND(MultiLabel_R1!O17="1",MultiLabel_R2!O16="1"),1,0)+IF(AND(MultiLabel_R1!P17="1",MultiLabel_R2!P16="1"),1,0)+IF(AND(MultiLabel_R1!Q17="1",MultiLabel_R2!Q16="1"),1,0)+IF(AND(MultiLabel_R1!R17="1",MultiLabel_R2!R16="1"),1,0)+IF(AND(MultiLabel_R1!S17="1",MultiLabel_R2!S16="1"),1,0)+IF(AND(MultiLabel_R1!T17="1",MultiLabel_R2!T16="1"),1,0)+IF(AND(MultiLabel_R1!U17="1",MultiLabel_R2!U16="1"),1,0)+IF(AND(MultiLabel_R1!V17="1",MultiLabel_R2!V16="1"),1,0)+IF(AND(MultiLabel_R1!W17="1",MultiLabel_R2!W16="1"),1,0)+IF(AND(MultiLabel_R1!X17="1",MultiLabel_R2!X16="1"),1,0))/(IF(OR(MultiLabel_R1!M17="1",MultiLabel_R2!M16="1"),1,0)+IF(OR(MultiLabel_R1!N17="1",MultiLabel_R2!N16="1"),1,0)+IF(OR(MultiLabel_R1!O17="1",MultiLabel_R2!O16="1"),1,0)+IF(OR(MultiLabel_R1!P17="1",MultiLabel_R2!P16="1"),1,0)+IF(OR(MultiLabel_R1!Q17="1",MultiLabel_R2!Q16="1"),1,0)+IF(OR(MultiLabel_R1!R17="1",MultiLabel_R2!R16="1"),1,0)+IF(OR(MultiLabel_R1!S17="1",MultiLabel_R2!S16="1"),1,0)+IF(OR(MultiLabel_R1!T17="1",MultiLabel_R2!T16="1"),1,0)+IF(OR(MultiLabel_R1!U17="1",MultiLabel_R2!U16="1"),1,0)+IF(OR(MultiLabel_R1!V17="1",MultiLabel_R2!V16="1"),1,0)+IF(OR(MultiLabel_R1!W17="1",MultiLabel_R2!W16="1"),1,0)+IF(OR(MultiLabel_R1!X17="1",MultiLabel_R2!X16="1"),1,0)))</f>
        <v>1</v>
      </c>
      <c r="F16" s="14">
        <f>IF((IF(OR(MultiLabel_R1!Y17="1",MultiLabel_R2!Y16="1"),1,0)+IF(OR(MultiLabel_R1!Z17="1",MultiLabel_R2!Z16="1"),1,0)+IF(OR(MultiLabel_R1!AA17="1",MultiLabel_R2!AA16="1"),1,0)+IF(OR(MultiLabel_R1!AB17="1",MultiLabel_R2!AB16="1"),1,0)+IF(OR(MultiLabel_R1!AC17="1",MultiLabel_R2!AC16="1"),1,0)+IF(OR(MultiLabel_R1!AD17="1",MultiLabel_R2!AD16="1"),1,0)+IF(OR(MultiLabel_R1!AE17="1",MultiLabel_R2!AE16="1"),1,0)+IF(OR(MultiLabel_R1!AF17="1",MultiLabel_R2!AF16="1"),1,0))=0,"NA",(IF(AND(MultiLabel_R1!Y17="1",MultiLabel_R2!Y16="1"),1,0)+IF(AND(MultiLabel_R1!Z17="1",MultiLabel_R2!Z16="1"),1,0)+IF(AND(MultiLabel_R1!AA17="1",MultiLabel_R2!AA16="1"),1,0)+IF(AND(MultiLabel_R1!AB17="1",MultiLabel_R2!AB16="1"),1,0)+IF(AND(MultiLabel_R1!AC17="1",MultiLabel_R2!AC16="1"),1,0)+IF(AND(MultiLabel_R1!AD17="1",MultiLabel_R2!AD16="1"),1,0)+IF(AND(MultiLabel_R1!AE17="1",MultiLabel_R2!AE16="1"),1,0)+IF(AND(MultiLabel_R1!AF17="1",MultiLabel_R2!AF16="1"),1,0))/(IF(OR(MultiLabel_R1!Y17="1",MultiLabel_R2!Y16="1"),1,0)+IF(OR(MultiLabel_R1!Z17="1",MultiLabel_R2!Z16="1"),1,0)+IF(OR(MultiLabel_R1!AA17="1",MultiLabel_R2!AA16="1"),1,0)+IF(OR(MultiLabel_R1!AB17="1",MultiLabel_R2!AB16="1"),1,0)+IF(OR(MultiLabel_R1!AC17="1",MultiLabel_R2!AC16="1"),1,0)+IF(OR(MultiLabel_R1!AD17="1",MultiLabel_R2!AD16="1"),1,0)+IF(OR(MultiLabel_R1!AE17="1",MultiLabel_R2!AE16="1"),1,0)+IF(OR(MultiLabel_R1!AF17="1",MultiLabel_R2!AF16="1"),1,0)))</f>
        <v>1</v>
      </c>
      <c r="G16" s="14">
        <f>IF((IF(OR(MultiLabel_R1!AG17="1",MultiLabel_R2!AG16="1"),1,0)+IF(OR(MultiLabel_R1!AH17="1",MultiLabel_R2!AH16="1"),1,0)+IF(OR(MultiLabel_R1!AI17="1",MultiLabel_R2!AI16="1"),1,0)+IF(OR(MultiLabel_R1!AJ17="1",MultiLabel_R2!AJ16="1"),1,0)+IF(OR(MultiLabel_R1!AK17="1",MultiLabel_R2!AK16="1"),1,0)+IF(OR(MultiLabel_R1!AL17="1",MultiLabel_R2!AL16="1"),1,0)+IF(OR(MultiLabel_R1!AM17="1",MultiLabel_R2!AM16="1"),1,0)+IF(OR(MultiLabel_R1!AN17="1",MultiLabel_R2!AN16="1"),1,0)+IF(OR(MultiLabel_R1!AO17="1",MultiLabel_R2!AO16="1"),1,0)+IF(OR(MultiLabel_R1!AP17="1",MultiLabel_R2!AP16="1"),1,0)+IF(OR(MultiLabel_R1!AQ17="1",MultiLabel_R2!AQ16="1"),1,0)+IF(OR(MultiLabel_R1!AR17="1",MultiLabel_R2!AR16="1"),1,0))=0,"NA",(IF(AND(MultiLabel_R1!AG17="1",MultiLabel_R2!AG16="1"),1,0)+IF(AND(MultiLabel_R1!AH17="1",MultiLabel_R2!AH16="1"),1,0)+IF(AND(MultiLabel_R1!AI17="1",MultiLabel_R2!AI16="1"),1,0)+IF(AND(MultiLabel_R1!AJ17="1",MultiLabel_R2!AJ16="1"),1,0)+IF(AND(MultiLabel_R1!AK17="1",MultiLabel_R2!AK16="1"),1,0)+IF(AND(MultiLabel_R1!AL17="1",MultiLabel_R2!AL16="1"),1,0)+IF(AND(MultiLabel_R1!AM17="1",MultiLabel_R2!AM16="1"),1,0)+IF(AND(MultiLabel_R1!AN17="1",MultiLabel_R2!AN16="1"),1,0)+IF(AND(MultiLabel_R1!AO17="1",MultiLabel_R2!AO16="1"),1,0)+IF(AND(MultiLabel_R1!AP17="1",MultiLabel_R2!AP16="1"),1,0)+IF(AND(MultiLabel_R1!AQ17="1",MultiLabel_R2!AQ16="1"),1,0)+IF(AND(MultiLabel_R1!AR17="1",MultiLabel_R2!AR16="1"),1,0))/(IF(OR(MultiLabel_R1!AG17="1",MultiLabel_R2!AG16="1"),1,0)+IF(OR(MultiLabel_R1!AH17="1",MultiLabel_R2!AH16="1"),1,0)+IF(OR(MultiLabel_R1!AI17="1",MultiLabel_R2!AI16="1"),1,0)+IF(OR(MultiLabel_R1!AJ17="1",MultiLabel_R2!AJ16="1"),1,0)+IF(OR(MultiLabel_R1!AK17="1",MultiLabel_R2!AK16="1"),1,0)+IF(OR(MultiLabel_R1!AL17="1",MultiLabel_R2!AL16="1"),1,0)+IF(OR(MultiLabel_R1!AM17="1",MultiLabel_R2!AM16="1"),1,0)+IF(OR(MultiLabel_R1!AN17="1",MultiLabel_R2!AN16="1"),1,0)+IF(OR(MultiLabel_R1!AO17="1",MultiLabel_R2!AO16="1"),1,0)+IF(OR(MultiLabel_R1!AP17="1",MultiLabel_R2!AP16="1"),1,0)+IF(OR(MultiLabel_R1!AQ17="1",MultiLabel_R2!AQ16="1"),1,0)+IF(OR(MultiLabel_R1!AR17="1",MultiLabel_R2!AR16="1"),1,0)))</f>
        <v>1</v>
      </c>
    </row>
    <row r="17" spans="1:7">
      <c r="A17" s="4" t="s">
        <v>153</v>
      </c>
      <c r="B17" s="4" t="s">
        <v>154</v>
      </c>
      <c r="C17" s="14">
        <f>IF((IF(OR(MultiLabel_R1!C18="1",MultiLabel_R2!C17="1"),1,0)+IF(OR(MultiLabel_R1!D18="1",MultiLabel_R2!D17="1"),1,0)+IF(OR(MultiLabel_R1!E18="1",MultiLabel_R2!E17="1"),1,0)+IF(OR(MultiLabel_R1!F18="1",MultiLabel_R2!F17="1"),1,0))=0,"NA",(IF(AND(MultiLabel_R1!C18="1",MultiLabel_R2!C17="1"),1,0)+IF(AND(MultiLabel_R1!D18="1",MultiLabel_R2!D17="1"),1,0)+IF(AND(MultiLabel_R1!E18="1",MultiLabel_R2!E17="1"),1,0)+IF(AND(MultiLabel_R1!F18="1",MultiLabel_R2!F17="1"),1,0))/(IF(OR(MultiLabel_R1!C18="1",MultiLabel_R2!C17="1"),1,0)+IF(OR(MultiLabel_R1!D18="1",MultiLabel_R2!D17="1"),1,0)+IF(OR(MultiLabel_R1!E18="1",MultiLabel_R2!E17="1"),1,0)+IF(OR(MultiLabel_R1!F18="1",MultiLabel_R2!F17="1"),1,0)))</f>
        <v>1</v>
      </c>
      <c r="D17" s="14">
        <f>IF((IF(OR(MultiLabel_R1!G18="1",MultiLabel_R2!G17="1"),1,0)+IF(OR(MultiLabel_R1!H18="1",MultiLabel_R2!H17="1"),1,0)+IF(OR(MultiLabel_R1!I18="1",MultiLabel_R2!I17="1"),1,0)+IF(OR(MultiLabel_R1!J18="1",MultiLabel_R2!J17="1"),1,0)+IF(OR(MultiLabel_R1!K18="1",MultiLabel_R2!K17="1"),1,0)+IF(OR(MultiLabel_R1!L18="1",MultiLabel_R2!L17="1"),1,0))=0,"NA",(IF(AND(MultiLabel_R1!G18="1",MultiLabel_R2!G17="1"),1,0)+IF(AND(MultiLabel_R1!H18="1",MultiLabel_R2!H17="1"),1,0)+IF(AND(MultiLabel_R1!I18="1",MultiLabel_R2!I17="1"),1,0)+IF(AND(MultiLabel_R1!J18="1",MultiLabel_R2!J17="1"),1,0)+IF(AND(MultiLabel_R1!K18="1",MultiLabel_R2!K17="1"),1,0)+IF(AND(MultiLabel_R1!L18="1",MultiLabel_R2!L17="1"),1,0))/(IF(OR(MultiLabel_R1!G18="1",MultiLabel_R2!G17="1"),1,0)+IF(OR(MultiLabel_R1!H18="1",MultiLabel_R2!H17="1"),1,0)+IF(OR(MultiLabel_R1!I18="1",MultiLabel_R2!I17="1"),1,0)+IF(OR(MultiLabel_R1!J18="1",MultiLabel_R2!J17="1"),1,0)+IF(OR(MultiLabel_R1!K18="1",MultiLabel_R2!K17="1"),1,0)+IF(OR(MultiLabel_R1!L18="1",MultiLabel_R2!L17="1"),1,0)))</f>
        <v>1</v>
      </c>
      <c r="E17" s="14">
        <f>IF((IF(OR(MultiLabel_R1!M18="1",MultiLabel_R2!M17="1"),1,0)+IF(OR(MultiLabel_R1!N18="1",MultiLabel_R2!N17="1"),1,0)+IF(OR(MultiLabel_R1!O18="1",MultiLabel_R2!O17="1"),1,0)+IF(OR(MultiLabel_R1!P18="1",MultiLabel_R2!P17="1"),1,0)+IF(OR(MultiLabel_R1!Q18="1",MultiLabel_R2!Q17="1"),1,0)+IF(OR(MultiLabel_R1!R18="1",MultiLabel_R2!R17="1"),1,0)+IF(OR(MultiLabel_R1!S18="1",MultiLabel_R2!S17="1"),1,0)+IF(OR(MultiLabel_R1!T18="1",MultiLabel_R2!T17="1"),1,0)+IF(OR(MultiLabel_R1!U18="1",MultiLabel_R2!U17="1"),1,0)+IF(OR(MultiLabel_R1!V18="1",MultiLabel_R2!V17="1"),1,0)+IF(OR(MultiLabel_R1!W18="1",MultiLabel_R2!W17="1"),1,0)+IF(OR(MultiLabel_R1!X18="1",MultiLabel_R2!X17="1"),1,0))=0,"NA",(IF(AND(MultiLabel_R1!M18="1",MultiLabel_R2!M17="1"),1,0)+IF(AND(MultiLabel_R1!N18="1",MultiLabel_R2!N17="1"),1,0)+IF(AND(MultiLabel_R1!O18="1",MultiLabel_R2!O17="1"),1,0)+IF(AND(MultiLabel_R1!P18="1",MultiLabel_R2!P17="1"),1,0)+IF(AND(MultiLabel_R1!Q18="1",MultiLabel_R2!Q17="1"),1,0)+IF(AND(MultiLabel_R1!R18="1",MultiLabel_R2!R17="1"),1,0)+IF(AND(MultiLabel_R1!S18="1",MultiLabel_R2!S17="1"),1,0)+IF(AND(MultiLabel_R1!T18="1",MultiLabel_R2!T17="1"),1,0)+IF(AND(MultiLabel_R1!U18="1",MultiLabel_R2!U17="1"),1,0)+IF(AND(MultiLabel_R1!V18="1",MultiLabel_R2!V17="1"),1,0)+IF(AND(MultiLabel_R1!W18="1",MultiLabel_R2!W17="1"),1,0)+IF(AND(MultiLabel_R1!X18="1",MultiLabel_R2!X17="1"),1,0))/(IF(OR(MultiLabel_R1!M18="1",MultiLabel_R2!M17="1"),1,0)+IF(OR(MultiLabel_R1!N18="1",MultiLabel_R2!N17="1"),1,0)+IF(OR(MultiLabel_R1!O18="1",MultiLabel_R2!O17="1"),1,0)+IF(OR(MultiLabel_R1!P18="1",MultiLabel_R2!P17="1"),1,0)+IF(OR(MultiLabel_R1!Q18="1",MultiLabel_R2!Q17="1"),1,0)+IF(OR(MultiLabel_R1!R18="1",MultiLabel_R2!R17="1"),1,0)+IF(OR(MultiLabel_R1!S18="1",MultiLabel_R2!S17="1"),1,0)+IF(OR(MultiLabel_R1!T18="1",MultiLabel_R2!T17="1"),1,0)+IF(OR(MultiLabel_R1!U18="1",MultiLabel_R2!U17="1"),1,0)+IF(OR(MultiLabel_R1!V18="1",MultiLabel_R2!V17="1"),1,0)+IF(OR(MultiLabel_R1!W18="1",MultiLabel_R2!W17="1"),1,0)+IF(OR(MultiLabel_R1!X18="1",MultiLabel_R2!X17="1"),1,0)))</f>
        <v>1</v>
      </c>
      <c r="F17" s="14">
        <f>IF((IF(OR(MultiLabel_R1!Y18="1",MultiLabel_R2!Y17="1"),1,0)+IF(OR(MultiLabel_R1!Z18="1",MultiLabel_R2!Z17="1"),1,0)+IF(OR(MultiLabel_R1!AA18="1",MultiLabel_R2!AA17="1"),1,0)+IF(OR(MultiLabel_R1!AB18="1",MultiLabel_R2!AB17="1"),1,0)+IF(OR(MultiLabel_R1!AC18="1",MultiLabel_R2!AC17="1"),1,0)+IF(OR(MultiLabel_R1!AD18="1",MultiLabel_R2!AD17="1"),1,0)+IF(OR(MultiLabel_R1!AE18="1",MultiLabel_R2!AE17="1"),1,0)+IF(OR(MultiLabel_R1!AF18="1",MultiLabel_R2!AF17="1"),1,0))=0,"NA",(IF(AND(MultiLabel_R1!Y18="1",MultiLabel_R2!Y17="1"),1,0)+IF(AND(MultiLabel_R1!Z18="1",MultiLabel_R2!Z17="1"),1,0)+IF(AND(MultiLabel_R1!AA18="1",MultiLabel_R2!AA17="1"),1,0)+IF(AND(MultiLabel_R1!AB18="1",MultiLabel_R2!AB17="1"),1,0)+IF(AND(MultiLabel_R1!AC18="1",MultiLabel_R2!AC17="1"),1,0)+IF(AND(MultiLabel_R1!AD18="1",MultiLabel_R2!AD17="1"),1,0)+IF(AND(MultiLabel_R1!AE18="1",MultiLabel_R2!AE17="1"),1,0)+IF(AND(MultiLabel_R1!AF18="1",MultiLabel_R2!AF17="1"),1,0))/(IF(OR(MultiLabel_R1!Y18="1",MultiLabel_R2!Y17="1"),1,0)+IF(OR(MultiLabel_R1!Z18="1",MultiLabel_R2!Z17="1"),1,0)+IF(OR(MultiLabel_R1!AA18="1",MultiLabel_R2!AA17="1"),1,0)+IF(OR(MultiLabel_R1!AB18="1",MultiLabel_R2!AB17="1"),1,0)+IF(OR(MultiLabel_R1!AC18="1",MultiLabel_R2!AC17="1"),1,0)+IF(OR(MultiLabel_R1!AD18="1",MultiLabel_R2!AD17="1"),1,0)+IF(OR(MultiLabel_R1!AE18="1",MultiLabel_R2!AE17="1"),1,0)+IF(OR(MultiLabel_R1!AF18="1",MultiLabel_R2!AF17="1"),1,0)))</f>
        <v>1</v>
      </c>
      <c r="G17" s="14">
        <f>IF((IF(OR(MultiLabel_R1!AG18="1",MultiLabel_R2!AG17="1"),1,0)+IF(OR(MultiLabel_R1!AH18="1",MultiLabel_R2!AH17="1"),1,0)+IF(OR(MultiLabel_R1!AI18="1",MultiLabel_R2!AI17="1"),1,0)+IF(OR(MultiLabel_R1!AJ18="1",MultiLabel_R2!AJ17="1"),1,0)+IF(OR(MultiLabel_R1!AK18="1",MultiLabel_R2!AK17="1"),1,0)+IF(OR(MultiLabel_R1!AL18="1",MultiLabel_R2!AL17="1"),1,0)+IF(OR(MultiLabel_R1!AM18="1",MultiLabel_R2!AM17="1"),1,0)+IF(OR(MultiLabel_R1!AN18="1",MultiLabel_R2!AN17="1"),1,0)+IF(OR(MultiLabel_R1!AO18="1",MultiLabel_R2!AO17="1"),1,0)+IF(OR(MultiLabel_R1!AP18="1",MultiLabel_R2!AP17="1"),1,0)+IF(OR(MultiLabel_R1!AQ18="1",MultiLabel_R2!AQ17="1"),1,0)+IF(OR(MultiLabel_R1!AR18="1",MultiLabel_R2!AR17="1"),1,0))=0,"NA",(IF(AND(MultiLabel_R1!AG18="1",MultiLabel_R2!AG17="1"),1,0)+IF(AND(MultiLabel_R1!AH18="1",MultiLabel_R2!AH17="1"),1,0)+IF(AND(MultiLabel_R1!AI18="1",MultiLabel_R2!AI17="1"),1,0)+IF(AND(MultiLabel_R1!AJ18="1",MultiLabel_R2!AJ17="1"),1,0)+IF(AND(MultiLabel_R1!AK18="1",MultiLabel_R2!AK17="1"),1,0)+IF(AND(MultiLabel_R1!AL18="1",MultiLabel_R2!AL17="1"),1,0)+IF(AND(MultiLabel_R1!AM18="1",MultiLabel_R2!AM17="1"),1,0)+IF(AND(MultiLabel_R1!AN18="1",MultiLabel_R2!AN17="1"),1,0)+IF(AND(MultiLabel_R1!AO18="1",MultiLabel_R2!AO17="1"),1,0)+IF(AND(MultiLabel_R1!AP18="1",MultiLabel_R2!AP17="1"),1,0)+IF(AND(MultiLabel_R1!AQ18="1",MultiLabel_R2!AQ17="1"),1,0)+IF(AND(MultiLabel_R1!AR18="1",MultiLabel_R2!AR17="1"),1,0))/(IF(OR(MultiLabel_R1!AG18="1",MultiLabel_R2!AG17="1"),1,0)+IF(OR(MultiLabel_R1!AH18="1",MultiLabel_R2!AH17="1"),1,0)+IF(OR(MultiLabel_R1!AI18="1",MultiLabel_R2!AI17="1"),1,0)+IF(OR(MultiLabel_R1!AJ18="1",MultiLabel_R2!AJ17="1"),1,0)+IF(OR(MultiLabel_R1!AK18="1",MultiLabel_R2!AK17="1"),1,0)+IF(OR(MultiLabel_R1!AL18="1",MultiLabel_R2!AL17="1"),1,0)+IF(OR(MultiLabel_R1!AM18="1",MultiLabel_R2!AM17="1"),1,0)+IF(OR(MultiLabel_R1!AN18="1",MultiLabel_R2!AN17="1"),1,0)+IF(OR(MultiLabel_R1!AO18="1",MultiLabel_R2!AO17="1"),1,0)+IF(OR(MultiLabel_R1!AP18="1",MultiLabel_R2!AP17="1"),1,0)+IF(OR(MultiLabel_R1!AQ18="1",MultiLabel_R2!AQ17="1"),1,0)+IF(OR(MultiLabel_R1!AR18="1",MultiLabel_R2!AR17="1"),1,0)))</f>
        <v>1</v>
      </c>
    </row>
    <row r="18" spans="1:7">
      <c r="A18" s="4" t="s">
        <v>160</v>
      </c>
      <c r="B18" s="4" t="s">
        <v>161</v>
      </c>
      <c r="C18" s="14">
        <f>IF((IF(OR(MultiLabel_R1!C19="1",MultiLabel_R2!C18="1"),1,0)+IF(OR(MultiLabel_R1!D19="1",MultiLabel_R2!D18="1"),1,0)+IF(OR(MultiLabel_R1!E19="1",MultiLabel_R2!E18="1"),1,0)+IF(OR(MultiLabel_R1!F19="1",MultiLabel_R2!F18="1"),1,0))=0,"NA",(IF(AND(MultiLabel_R1!C19="1",MultiLabel_R2!C18="1"),1,0)+IF(AND(MultiLabel_R1!D19="1",MultiLabel_R2!D18="1"),1,0)+IF(AND(MultiLabel_R1!E19="1",MultiLabel_R2!E18="1"),1,0)+IF(AND(MultiLabel_R1!F19="1",MultiLabel_R2!F18="1"),1,0))/(IF(OR(MultiLabel_R1!C19="1",MultiLabel_R2!C18="1"),1,0)+IF(OR(MultiLabel_R1!D19="1",MultiLabel_R2!D18="1"),1,0)+IF(OR(MultiLabel_R1!E19="1",MultiLabel_R2!E18="1"),1,0)+IF(OR(MultiLabel_R1!F19="1",MultiLabel_R2!F18="1"),1,0)))</f>
        <v>1</v>
      </c>
      <c r="D18" s="14">
        <f>IF((IF(OR(MultiLabel_R1!G19="1",MultiLabel_R2!G18="1"),1,0)+IF(OR(MultiLabel_R1!H19="1",MultiLabel_R2!H18="1"),1,0)+IF(OR(MultiLabel_R1!I19="1",MultiLabel_R2!I18="1"),1,0)+IF(OR(MultiLabel_R1!J19="1",MultiLabel_R2!J18="1"),1,0)+IF(OR(MultiLabel_R1!K19="1",MultiLabel_R2!K18="1"),1,0)+IF(OR(MultiLabel_R1!L19="1",MultiLabel_R2!L18="1"),1,0))=0,"NA",(IF(AND(MultiLabel_R1!G19="1",MultiLabel_R2!G18="1"),1,0)+IF(AND(MultiLabel_R1!H19="1",MultiLabel_R2!H18="1"),1,0)+IF(AND(MultiLabel_R1!I19="1",MultiLabel_R2!I18="1"),1,0)+IF(AND(MultiLabel_R1!J19="1",MultiLabel_R2!J18="1"),1,0)+IF(AND(MultiLabel_R1!K19="1",MultiLabel_R2!K18="1"),1,0)+IF(AND(MultiLabel_R1!L19="1",MultiLabel_R2!L18="1"),1,0))/(IF(OR(MultiLabel_R1!G19="1",MultiLabel_R2!G18="1"),1,0)+IF(OR(MultiLabel_R1!H19="1",MultiLabel_R2!H18="1"),1,0)+IF(OR(MultiLabel_R1!I19="1",MultiLabel_R2!I18="1"),1,0)+IF(OR(MultiLabel_R1!J19="1",MultiLabel_R2!J18="1"),1,0)+IF(OR(MultiLabel_R1!K19="1",MultiLabel_R2!K18="1"),1,0)+IF(OR(MultiLabel_R1!L19="1",MultiLabel_R2!L18="1"),1,0)))</f>
        <v>1</v>
      </c>
      <c r="E18" s="14">
        <f>IF((IF(OR(MultiLabel_R1!M19="1",MultiLabel_R2!M18="1"),1,0)+IF(OR(MultiLabel_R1!N19="1",MultiLabel_R2!N18="1"),1,0)+IF(OR(MultiLabel_R1!O19="1",MultiLabel_R2!O18="1"),1,0)+IF(OR(MultiLabel_R1!P19="1",MultiLabel_R2!P18="1"),1,0)+IF(OR(MultiLabel_R1!Q19="1",MultiLabel_R2!Q18="1"),1,0)+IF(OR(MultiLabel_R1!R19="1",MultiLabel_R2!R18="1"),1,0)+IF(OR(MultiLabel_R1!S19="1",MultiLabel_R2!S18="1"),1,0)+IF(OR(MultiLabel_R1!T19="1",MultiLabel_R2!T18="1"),1,0)+IF(OR(MultiLabel_R1!U19="1",MultiLabel_R2!U18="1"),1,0)+IF(OR(MultiLabel_R1!V19="1",MultiLabel_R2!V18="1"),1,0)+IF(OR(MultiLabel_R1!W19="1",MultiLabel_R2!W18="1"),1,0)+IF(OR(MultiLabel_R1!X19="1",MultiLabel_R2!X18="1"),1,0))=0,"NA",(IF(AND(MultiLabel_R1!M19="1",MultiLabel_R2!M18="1"),1,0)+IF(AND(MultiLabel_R1!N19="1",MultiLabel_R2!N18="1"),1,0)+IF(AND(MultiLabel_R1!O19="1",MultiLabel_R2!O18="1"),1,0)+IF(AND(MultiLabel_R1!P19="1",MultiLabel_R2!P18="1"),1,0)+IF(AND(MultiLabel_R1!Q19="1",MultiLabel_R2!Q18="1"),1,0)+IF(AND(MultiLabel_R1!R19="1",MultiLabel_R2!R18="1"),1,0)+IF(AND(MultiLabel_R1!S19="1",MultiLabel_R2!S18="1"),1,0)+IF(AND(MultiLabel_R1!T19="1",MultiLabel_R2!T18="1"),1,0)+IF(AND(MultiLabel_R1!U19="1",MultiLabel_R2!U18="1"),1,0)+IF(AND(MultiLabel_R1!V19="1",MultiLabel_R2!V18="1"),1,0)+IF(AND(MultiLabel_R1!W19="1",MultiLabel_R2!W18="1"),1,0)+IF(AND(MultiLabel_R1!X19="1",MultiLabel_R2!X18="1"),1,0))/(IF(OR(MultiLabel_R1!M19="1",MultiLabel_R2!M18="1"),1,0)+IF(OR(MultiLabel_R1!N19="1",MultiLabel_R2!N18="1"),1,0)+IF(OR(MultiLabel_R1!O19="1",MultiLabel_R2!O18="1"),1,0)+IF(OR(MultiLabel_R1!P19="1",MultiLabel_R2!P18="1"),1,0)+IF(OR(MultiLabel_R1!Q19="1",MultiLabel_R2!Q18="1"),1,0)+IF(OR(MultiLabel_R1!R19="1",MultiLabel_R2!R18="1"),1,0)+IF(OR(MultiLabel_R1!S19="1",MultiLabel_R2!S18="1"),1,0)+IF(OR(MultiLabel_R1!T19="1",MultiLabel_R2!T18="1"),1,0)+IF(OR(MultiLabel_R1!U19="1",MultiLabel_R2!U18="1"),1,0)+IF(OR(MultiLabel_R1!V19="1",MultiLabel_R2!V18="1"),1,0)+IF(OR(MultiLabel_R1!W19="1",MultiLabel_R2!W18="1"),1,0)+IF(OR(MultiLabel_R1!X19="1",MultiLabel_R2!X18="1"),1,0)))</f>
        <v>1</v>
      </c>
      <c r="F18" s="14">
        <f>IF((IF(OR(MultiLabel_R1!Y19="1",MultiLabel_R2!Y18="1"),1,0)+IF(OR(MultiLabel_R1!Z19="1",MultiLabel_R2!Z18="1"),1,0)+IF(OR(MultiLabel_R1!AA19="1",MultiLabel_R2!AA18="1"),1,0)+IF(OR(MultiLabel_R1!AB19="1",MultiLabel_R2!AB18="1"),1,0)+IF(OR(MultiLabel_R1!AC19="1",MultiLabel_R2!AC18="1"),1,0)+IF(OR(MultiLabel_R1!AD19="1",MultiLabel_R2!AD18="1"),1,0)+IF(OR(MultiLabel_R1!AE19="1",MultiLabel_R2!AE18="1"),1,0)+IF(OR(MultiLabel_R1!AF19="1",MultiLabel_R2!AF18="1"),1,0))=0,"NA",(IF(AND(MultiLabel_R1!Y19="1",MultiLabel_R2!Y18="1"),1,0)+IF(AND(MultiLabel_R1!Z19="1",MultiLabel_R2!Z18="1"),1,0)+IF(AND(MultiLabel_R1!AA19="1",MultiLabel_R2!AA18="1"),1,0)+IF(AND(MultiLabel_R1!AB19="1",MultiLabel_R2!AB18="1"),1,0)+IF(AND(MultiLabel_R1!AC19="1",MultiLabel_R2!AC18="1"),1,0)+IF(AND(MultiLabel_R1!AD19="1",MultiLabel_R2!AD18="1"),1,0)+IF(AND(MultiLabel_R1!AE19="1",MultiLabel_R2!AE18="1"),1,0)+IF(AND(MultiLabel_R1!AF19="1",MultiLabel_R2!AF18="1"),1,0))/(IF(OR(MultiLabel_R1!Y19="1",MultiLabel_R2!Y18="1"),1,0)+IF(OR(MultiLabel_R1!Z19="1",MultiLabel_R2!Z18="1"),1,0)+IF(OR(MultiLabel_R1!AA19="1",MultiLabel_R2!AA18="1"),1,0)+IF(OR(MultiLabel_R1!AB19="1",MultiLabel_R2!AB18="1"),1,0)+IF(OR(MultiLabel_R1!AC19="1",MultiLabel_R2!AC18="1"),1,0)+IF(OR(MultiLabel_R1!AD19="1",MultiLabel_R2!AD18="1"),1,0)+IF(OR(MultiLabel_R1!AE19="1",MultiLabel_R2!AE18="1"),1,0)+IF(OR(MultiLabel_R1!AF19="1",MultiLabel_R2!AF18="1"),1,0)))</f>
        <v>1</v>
      </c>
      <c r="G18" s="14">
        <f>IF((IF(OR(MultiLabel_R1!AG19="1",MultiLabel_R2!AG18="1"),1,0)+IF(OR(MultiLabel_R1!AH19="1",MultiLabel_R2!AH18="1"),1,0)+IF(OR(MultiLabel_R1!AI19="1",MultiLabel_R2!AI18="1"),1,0)+IF(OR(MultiLabel_R1!AJ19="1",MultiLabel_R2!AJ18="1"),1,0)+IF(OR(MultiLabel_R1!AK19="1",MultiLabel_R2!AK18="1"),1,0)+IF(OR(MultiLabel_R1!AL19="1",MultiLabel_R2!AL18="1"),1,0)+IF(OR(MultiLabel_R1!AM19="1",MultiLabel_R2!AM18="1"),1,0)+IF(OR(MultiLabel_R1!AN19="1",MultiLabel_R2!AN18="1"),1,0)+IF(OR(MultiLabel_R1!AO19="1",MultiLabel_R2!AO18="1"),1,0)+IF(OR(MultiLabel_R1!AP19="1",MultiLabel_R2!AP18="1"),1,0)+IF(OR(MultiLabel_R1!AQ19="1",MultiLabel_R2!AQ18="1"),1,0)+IF(OR(MultiLabel_R1!AR19="1",MultiLabel_R2!AR18="1"),1,0))=0,"NA",(IF(AND(MultiLabel_R1!AG19="1",MultiLabel_R2!AG18="1"),1,0)+IF(AND(MultiLabel_R1!AH19="1",MultiLabel_R2!AH18="1"),1,0)+IF(AND(MultiLabel_R1!AI19="1",MultiLabel_R2!AI18="1"),1,0)+IF(AND(MultiLabel_R1!AJ19="1",MultiLabel_R2!AJ18="1"),1,0)+IF(AND(MultiLabel_R1!AK19="1",MultiLabel_R2!AK18="1"),1,0)+IF(AND(MultiLabel_R1!AL19="1",MultiLabel_R2!AL18="1"),1,0)+IF(AND(MultiLabel_R1!AM19="1",MultiLabel_R2!AM18="1"),1,0)+IF(AND(MultiLabel_R1!AN19="1",MultiLabel_R2!AN18="1"),1,0)+IF(AND(MultiLabel_R1!AO19="1",MultiLabel_R2!AO18="1"),1,0)+IF(AND(MultiLabel_R1!AP19="1",MultiLabel_R2!AP18="1"),1,0)+IF(AND(MultiLabel_R1!AQ19="1",MultiLabel_R2!AQ18="1"),1,0)+IF(AND(MultiLabel_R1!AR19="1",MultiLabel_R2!AR18="1"),1,0))/(IF(OR(MultiLabel_R1!AG19="1",MultiLabel_R2!AG18="1"),1,0)+IF(OR(MultiLabel_R1!AH19="1",MultiLabel_R2!AH18="1"),1,0)+IF(OR(MultiLabel_R1!AI19="1",MultiLabel_R2!AI18="1"),1,0)+IF(OR(MultiLabel_R1!AJ19="1",MultiLabel_R2!AJ18="1"),1,0)+IF(OR(MultiLabel_R1!AK19="1",MultiLabel_R2!AK18="1"),1,0)+IF(OR(MultiLabel_R1!AL19="1",MultiLabel_R2!AL18="1"),1,0)+IF(OR(MultiLabel_R1!AM19="1",MultiLabel_R2!AM18="1"),1,0)+IF(OR(MultiLabel_R1!AN19="1",MultiLabel_R2!AN18="1"),1,0)+IF(OR(MultiLabel_R1!AO19="1",MultiLabel_R2!AO18="1"),1,0)+IF(OR(MultiLabel_R1!AP19="1",MultiLabel_R2!AP18="1"),1,0)+IF(OR(MultiLabel_R1!AQ19="1",MultiLabel_R2!AQ18="1"),1,0)+IF(OR(MultiLabel_R1!AR19="1",MultiLabel_R2!AR18="1"),1,0)))</f>
        <v>1</v>
      </c>
    </row>
    <row r="19" spans="1:7">
      <c r="A19" s="4" t="s">
        <v>168</v>
      </c>
      <c r="B19" s="4" t="s">
        <v>169</v>
      </c>
      <c r="C19" s="14">
        <f>IF((IF(OR(MultiLabel_R1!C20="1",MultiLabel_R2!C19="1"),1,0)+IF(OR(MultiLabel_R1!D20="1",MultiLabel_R2!D19="1"),1,0)+IF(OR(MultiLabel_R1!E20="1",MultiLabel_R2!E19="1"),1,0)+IF(OR(MultiLabel_R1!F20="1",MultiLabel_R2!F19="1"),1,0))=0,"NA",(IF(AND(MultiLabel_R1!C20="1",MultiLabel_R2!C19="1"),1,0)+IF(AND(MultiLabel_R1!D20="1",MultiLabel_R2!D19="1"),1,0)+IF(AND(MultiLabel_R1!E20="1",MultiLabel_R2!E19="1"),1,0)+IF(AND(MultiLabel_R1!F20="1",MultiLabel_R2!F19="1"),1,0))/(IF(OR(MultiLabel_R1!C20="1",MultiLabel_R2!C19="1"),1,0)+IF(OR(MultiLabel_R1!D20="1",MultiLabel_R2!D19="1"),1,0)+IF(OR(MultiLabel_R1!E20="1",MultiLabel_R2!E19="1"),1,0)+IF(OR(MultiLabel_R1!F20="1",MultiLabel_R2!F19="1"),1,0)))</f>
        <v>1</v>
      </c>
      <c r="D19" s="14">
        <f>IF((IF(OR(MultiLabel_R1!G20="1",MultiLabel_R2!G19="1"),1,0)+IF(OR(MultiLabel_R1!H20="1",MultiLabel_R2!H19="1"),1,0)+IF(OR(MultiLabel_R1!I20="1",MultiLabel_R2!I19="1"),1,0)+IF(OR(MultiLabel_R1!J20="1",MultiLabel_R2!J19="1"),1,0)+IF(OR(MultiLabel_R1!K20="1",MultiLabel_R2!K19="1"),1,0)+IF(OR(MultiLabel_R1!L20="1",MultiLabel_R2!L19="1"),1,0))=0,"NA",(IF(AND(MultiLabel_R1!G20="1",MultiLabel_R2!G19="1"),1,0)+IF(AND(MultiLabel_R1!H20="1",MultiLabel_R2!H19="1"),1,0)+IF(AND(MultiLabel_R1!I20="1",MultiLabel_R2!I19="1"),1,0)+IF(AND(MultiLabel_R1!J20="1",MultiLabel_R2!J19="1"),1,0)+IF(AND(MultiLabel_R1!K20="1",MultiLabel_R2!K19="1"),1,0)+IF(AND(MultiLabel_R1!L20="1",MultiLabel_R2!L19="1"),1,0))/(IF(OR(MultiLabel_R1!G20="1",MultiLabel_R2!G19="1"),1,0)+IF(OR(MultiLabel_R1!H20="1",MultiLabel_R2!H19="1"),1,0)+IF(OR(MultiLabel_R1!I20="1",MultiLabel_R2!I19="1"),1,0)+IF(OR(MultiLabel_R1!J20="1",MultiLabel_R2!J19="1"),1,0)+IF(OR(MultiLabel_R1!K20="1",MultiLabel_R2!K19="1"),1,0)+IF(OR(MultiLabel_R1!L20="1",MultiLabel_R2!L19="1"),1,0)))</f>
        <v>1</v>
      </c>
      <c r="E19" s="14">
        <f>IF((IF(OR(MultiLabel_R1!M20="1",MultiLabel_R2!M19="1"),1,0)+IF(OR(MultiLabel_R1!N20="1",MultiLabel_R2!N19="1"),1,0)+IF(OR(MultiLabel_R1!O20="1",MultiLabel_R2!O19="1"),1,0)+IF(OR(MultiLabel_R1!P20="1",MultiLabel_R2!P19="1"),1,0)+IF(OR(MultiLabel_R1!Q20="1",MultiLabel_R2!Q19="1"),1,0)+IF(OR(MultiLabel_R1!R20="1",MultiLabel_R2!R19="1"),1,0)+IF(OR(MultiLabel_R1!S20="1",MultiLabel_R2!S19="1"),1,0)+IF(OR(MultiLabel_R1!T20="1",MultiLabel_R2!T19="1"),1,0)+IF(OR(MultiLabel_R1!U20="1",MultiLabel_R2!U19="1"),1,0)+IF(OR(MultiLabel_R1!V20="1",MultiLabel_R2!V19="1"),1,0)+IF(OR(MultiLabel_R1!W20="1",MultiLabel_R2!W19="1"),1,0)+IF(OR(MultiLabel_R1!X20="1",MultiLabel_R2!X19="1"),1,0))=0,"NA",(IF(AND(MultiLabel_R1!M20="1",MultiLabel_R2!M19="1"),1,0)+IF(AND(MultiLabel_R1!N20="1",MultiLabel_R2!N19="1"),1,0)+IF(AND(MultiLabel_R1!O20="1",MultiLabel_R2!O19="1"),1,0)+IF(AND(MultiLabel_R1!P20="1",MultiLabel_R2!P19="1"),1,0)+IF(AND(MultiLabel_R1!Q20="1",MultiLabel_R2!Q19="1"),1,0)+IF(AND(MultiLabel_R1!R20="1",MultiLabel_R2!R19="1"),1,0)+IF(AND(MultiLabel_R1!S20="1",MultiLabel_R2!S19="1"),1,0)+IF(AND(MultiLabel_R1!T20="1",MultiLabel_R2!T19="1"),1,0)+IF(AND(MultiLabel_R1!U20="1",MultiLabel_R2!U19="1"),1,0)+IF(AND(MultiLabel_R1!V20="1",MultiLabel_R2!V19="1"),1,0)+IF(AND(MultiLabel_R1!W20="1",MultiLabel_R2!W19="1"),1,0)+IF(AND(MultiLabel_R1!X20="1",MultiLabel_R2!X19="1"),1,0))/(IF(OR(MultiLabel_R1!M20="1",MultiLabel_R2!M19="1"),1,0)+IF(OR(MultiLabel_R1!N20="1",MultiLabel_R2!N19="1"),1,0)+IF(OR(MultiLabel_R1!O20="1",MultiLabel_R2!O19="1"),1,0)+IF(OR(MultiLabel_R1!P20="1",MultiLabel_R2!P19="1"),1,0)+IF(OR(MultiLabel_R1!Q20="1",MultiLabel_R2!Q19="1"),1,0)+IF(OR(MultiLabel_R1!R20="1",MultiLabel_R2!R19="1"),1,0)+IF(OR(MultiLabel_R1!S20="1",MultiLabel_R2!S19="1"),1,0)+IF(OR(MultiLabel_R1!T20="1",MultiLabel_R2!T19="1"),1,0)+IF(OR(MultiLabel_R1!U20="1",MultiLabel_R2!U19="1"),1,0)+IF(OR(MultiLabel_R1!V20="1",MultiLabel_R2!V19="1"),1,0)+IF(OR(MultiLabel_R1!W20="1",MultiLabel_R2!W19="1"),1,0)+IF(OR(MultiLabel_R1!X20="1",MultiLabel_R2!X19="1"),1,0)))</f>
        <v>1</v>
      </c>
      <c r="F19" s="14">
        <f>IF((IF(OR(MultiLabel_R1!Y20="1",MultiLabel_R2!Y19="1"),1,0)+IF(OR(MultiLabel_R1!Z20="1",MultiLabel_R2!Z19="1"),1,0)+IF(OR(MultiLabel_R1!AA20="1",MultiLabel_R2!AA19="1"),1,0)+IF(OR(MultiLabel_R1!AB20="1",MultiLabel_R2!AB19="1"),1,0)+IF(OR(MultiLabel_R1!AC20="1",MultiLabel_R2!AC19="1"),1,0)+IF(OR(MultiLabel_R1!AD20="1",MultiLabel_R2!AD19="1"),1,0)+IF(OR(MultiLabel_R1!AE20="1",MultiLabel_R2!AE19="1"),1,0)+IF(OR(MultiLabel_R1!AF20="1",MultiLabel_R2!AF19="1"),1,0))=0,"NA",(IF(AND(MultiLabel_R1!Y20="1",MultiLabel_R2!Y19="1"),1,0)+IF(AND(MultiLabel_R1!Z20="1",MultiLabel_R2!Z19="1"),1,0)+IF(AND(MultiLabel_R1!AA20="1",MultiLabel_R2!AA19="1"),1,0)+IF(AND(MultiLabel_R1!AB20="1",MultiLabel_R2!AB19="1"),1,0)+IF(AND(MultiLabel_R1!AC20="1",MultiLabel_R2!AC19="1"),1,0)+IF(AND(MultiLabel_R1!AD20="1",MultiLabel_R2!AD19="1"),1,0)+IF(AND(MultiLabel_R1!AE20="1",MultiLabel_R2!AE19="1"),1,0)+IF(AND(MultiLabel_R1!AF20="1",MultiLabel_R2!AF19="1"),1,0))/(IF(OR(MultiLabel_R1!Y20="1",MultiLabel_R2!Y19="1"),1,0)+IF(OR(MultiLabel_R1!Z20="1",MultiLabel_R2!Z19="1"),1,0)+IF(OR(MultiLabel_R1!AA20="1",MultiLabel_R2!AA19="1"),1,0)+IF(OR(MultiLabel_R1!AB20="1",MultiLabel_R2!AB19="1"),1,0)+IF(OR(MultiLabel_R1!AC20="1",MultiLabel_R2!AC19="1"),1,0)+IF(OR(MultiLabel_R1!AD20="1",MultiLabel_R2!AD19="1"),1,0)+IF(OR(MultiLabel_R1!AE20="1",MultiLabel_R2!AE19="1"),1,0)+IF(OR(MultiLabel_R1!AF20="1",MultiLabel_R2!AF19="1"),1,0)))</f>
        <v>1</v>
      </c>
      <c r="G19" s="14">
        <f>IF((IF(OR(MultiLabel_R1!AG20="1",MultiLabel_R2!AG19="1"),1,0)+IF(OR(MultiLabel_R1!AH20="1",MultiLabel_R2!AH19="1"),1,0)+IF(OR(MultiLabel_R1!AI20="1",MultiLabel_R2!AI19="1"),1,0)+IF(OR(MultiLabel_R1!AJ20="1",MultiLabel_R2!AJ19="1"),1,0)+IF(OR(MultiLabel_R1!AK20="1",MultiLabel_R2!AK19="1"),1,0)+IF(OR(MultiLabel_R1!AL20="1",MultiLabel_R2!AL19="1"),1,0)+IF(OR(MultiLabel_R1!AM20="1",MultiLabel_R2!AM19="1"),1,0)+IF(OR(MultiLabel_R1!AN20="1",MultiLabel_R2!AN19="1"),1,0)+IF(OR(MultiLabel_R1!AO20="1",MultiLabel_R2!AO19="1"),1,0)+IF(OR(MultiLabel_R1!AP20="1",MultiLabel_R2!AP19="1"),1,0)+IF(OR(MultiLabel_R1!AQ20="1",MultiLabel_R2!AQ19="1"),1,0)+IF(OR(MultiLabel_R1!AR20="1",MultiLabel_R2!AR19="1"),1,0))=0,"NA",(IF(AND(MultiLabel_R1!AG20="1",MultiLabel_R2!AG19="1"),1,0)+IF(AND(MultiLabel_R1!AH20="1",MultiLabel_R2!AH19="1"),1,0)+IF(AND(MultiLabel_R1!AI20="1",MultiLabel_R2!AI19="1"),1,0)+IF(AND(MultiLabel_R1!AJ20="1",MultiLabel_R2!AJ19="1"),1,0)+IF(AND(MultiLabel_R1!AK20="1",MultiLabel_R2!AK19="1"),1,0)+IF(AND(MultiLabel_R1!AL20="1",MultiLabel_R2!AL19="1"),1,0)+IF(AND(MultiLabel_R1!AM20="1",MultiLabel_R2!AM19="1"),1,0)+IF(AND(MultiLabel_R1!AN20="1",MultiLabel_R2!AN19="1"),1,0)+IF(AND(MultiLabel_R1!AO20="1",MultiLabel_R2!AO19="1"),1,0)+IF(AND(MultiLabel_R1!AP20="1",MultiLabel_R2!AP19="1"),1,0)+IF(AND(MultiLabel_R1!AQ20="1",MultiLabel_R2!AQ19="1"),1,0)+IF(AND(MultiLabel_R1!AR20="1",MultiLabel_R2!AR19="1"),1,0))/(IF(OR(MultiLabel_R1!AG20="1",MultiLabel_R2!AG19="1"),1,0)+IF(OR(MultiLabel_R1!AH20="1",MultiLabel_R2!AH19="1"),1,0)+IF(OR(MultiLabel_R1!AI20="1",MultiLabel_R2!AI19="1"),1,0)+IF(OR(MultiLabel_R1!AJ20="1",MultiLabel_R2!AJ19="1"),1,0)+IF(OR(MultiLabel_R1!AK20="1",MultiLabel_R2!AK19="1"),1,0)+IF(OR(MultiLabel_R1!AL20="1",MultiLabel_R2!AL19="1"),1,0)+IF(OR(MultiLabel_R1!AM20="1",MultiLabel_R2!AM19="1"),1,0)+IF(OR(MultiLabel_R1!AN20="1",MultiLabel_R2!AN19="1"),1,0)+IF(OR(MultiLabel_R1!AO20="1",MultiLabel_R2!AO19="1"),1,0)+IF(OR(MultiLabel_R1!AP20="1",MultiLabel_R2!AP19="1"),1,0)+IF(OR(MultiLabel_R1!AQ20="1",MultiLabel_R2!AQ19="1"),1,0)+IF(OR(MultiLabel_R1!AR20="1",MultiLabel_R2!AR19="1"),1,0)))</f>
        <v>1</v>
      </c>
    </row>
    <row r="20" spans="1:7">
      <c r="A20" s="4" t="s">
        <v>175</v>
      </c>
      <c r="B20" s="4" t="s">
        <v>176</v>
      </c>
      <c r="C20" s="14">
        <f>IF((IF(OR(MultiLabel_R1!C21="1",MultiLabel_R2!C20="1"),1,0)+IF(OR(MultiLabel_R1!D21="1",MultiLabel_R2!D20="1"),1,0)+IF(OR(MultiLabel_R1!E21="1",MultiLabel_R2!E20="1"),1,0)+IF(OR(MultiLabel_R1!F21="1",MultiLabel_R2!F20="1"),1,0))=0,"NA",(IF(AND(MultiLabel_R1!C21="1",MultiLabel_R2!C20="1"),1,0)+IF(AND(MultiLabel_R1!D21="1",MultiLabel_R2!D20="1"),1,0)+IF(AND(MultiLabel_R1!E21="1",MultiLabel_R2!E20="1"),1,0)+IF(AND(MultiLabel_R1!F21="1",MultiLabel_R2!F20="1"),1,0))/(IF(OR(MultiLabel_R1!C21="1",MultiLabel_R2!C20="1"),1,0)+IF(OR(MultiLabel_R1!D21="1",MultiLabel_R2!D20="1"),1,0)+IF(OR(MultiLabel_R1!E21="1",MultiLabel_R2!E20="1"),1,0)+IF(OR(MultiLabel_R1!F21="1",MultiLabel_R2!F20="1"),1,0)))</f>
        <v>1</v>
      </c>
      <c r="D20" s="14">
        <f>IF((IF(OR(MultiLabel_R1!G21="1",MultiLabel_R2!G20="1"),1,0)+IF(OR(MultiLabel_R1!H21="1",MultiLabel_R2!H20="1"),1,0)+IF(OR(MultiLabel_R1!I21="1",MultiLabel_R2!I20="1"),1,0)+IF(OR(MultiLabel_R1!J21="1",MultiLabel_R2!J20="1"),1,0)+IF(OR(MultiLabel_R1!K21="1",MultiLabel_R2!K20="1"),1,0)+IF(OR(MultiLabel_R1!L21="1",MultiLabel_R2!L20="1"),1,0))=0,"NA",(IF(AND(MultiLabel_R1!G21="1",MultiLabel_R2!G20="1"),1,0)+IF(AND(MultiLabel_R1!H21="1",MultiLabel_R2!H20="1"),1,0)+IF(AND(MultiLabel_R1!I21="1",MultiLabel_R2!I20="1"),1,0)+IF(AND(MultiLabel_R1!J21="1",MultiLabel_R2!J20="1"),1,0)+IF(AND(MultiLabel_R1!K21="1",MultiLabel_R2!K20="1"),1,0)+IF(AND(MultiLabel_R1!L21="1",MultiLabel_R2!L20="1"),1,0))/(IF(OR(MultiLabel_R1!G21="1",MultiLabel_R2!G20="1"),1,0)+IF(OR(MultiLabel_R1!H21="1",MultiLabel_R2!H20="1"),1,0)+IF(OR(MultiLabel_R1!I21="1",MultiLabel_R2!I20="1"),1,0)+IF(OR(MultiLabel_R1!J21="1",MultiLabel_R2!J20="1"),1,0)+IF(OR(MultiLabel_R1!K21="1",MultiLabel_R2!K20="1"),1,0)+IF(OR(MultiLabel_R1!L21="1",MultiLabel_R2!L20="1"),1,0)))</f>
        <v>1</v>
      </c>
      <c r="E20" s="14">
        <f>IF((IF(OR(MultiLabel_R1!M21="1",MultiLabel_R2!M20="1"),1,0)+IF(OR(MultiLabel_R1!N21="1",MultiLabel_R2!N20="1"),1,0)+IF(OR(MultiLabel_R1!O21="1",MultiLabel_R2!O20="1"),1,0)+IF(OR(MultiLabel_R1!P21="1",MultiLabel_R2!P20="1"),1,0)+IF(OR(MultiLabel_R1!Q21="1",MultiLabel_R2!Q20="1"),1,0)+IF(OR(MultiLabel_R1!R21="1",MultiLabel_R2!R20="1"),1,0)+IF(OR(MultiLabel_R1!S21="1",MultiLabel_R2!S20="1"),1,0)+IF(OR(MultiLabel_R1!T21="1",MultiLabel_R2!T20="1"),1,0)+IF(OR(MultiLabel_R1!U21="1",MultiLabel_R2!U20="1"),1,0)+IF(OR(MultiLabel_R1!V21="1",MultiLabel_R2!V20="1"),1,0)+IF(OR(MultiLabel_R1!W21="1",MultiLabel_R2!W20="1"),1,0)+IF(OR(MultiLabel_R1!X21="1",MultiLabel_R2!X20="1"),1,0))=0,"NA",(IF(AND(MultiLabel_R1!M21="1",MultiLabel_R2!M20="1"),1,0)+IF(AND(MultiLabel_R1!N21="1",MultiLabel_R2!N20="1"),1,0)+IF(AND(MultiLabel_R1!O21="1",MultiLabel_R2!O20="1"),1,0)+IF(AND(MultiLabel_R1!P21="1",MultiLabel_R2!P20="1"),1,0)+IF(AND(MultiLabel_R1!Q21="1",MultiLabel_R2!Q20="1"),1,0)+IF(AND(MultiLabel_R1!R21="1",MultiLabel_R2!R20="1"),1,0)+IF(AND(MultiLabel_R1!S21="1",MultiLabel_R2!S20="1"),1,0)+IF(AND(MultiLabel_R1!T21="1",MultiLabel_R2!T20="1"),1,0)+IF(AND(MultiLabel_R1!U21="1",MultiLabel_R2!U20="1"),1,0)+IF(AND(MultiLabel_R1!V21="1",MultiLabel_R2!V20="1"),1,0)+IF(AND(MultiLabel_R1!W21="1",MultiLabel_R2!W20="1"),1,0)+IF(AND(MultiLabel_R1!X21="1",MultiLabel_R2!X20="1"),1,0))/(IF(OR(MultiLabel_R1!M21="1",MultiLabel_R2!M20="1"),1,0)+IF(OR(MultiLabel_R1!N21="1",MultiLabel_R2!N20="1"),1,0)+IF(OR(MultiLabel_R1!O21="1",MultiLabel_R2!O20="1"),1,0)+IF(OR(MultiLabel_R1!P21="1",MultiLabel_R2!P20="1"),1,0)+IF(OR(MultiLabel_R1!Q21="1",MultiLabel_R2!Q20="1"),1,0)+IF(OR(MultiLabel_R1!R21="1",MultiLabel_R2!R20="1"),1,0)+IF(OR(MultiLabel_R1!S21="1",MultiLabel_R2!S20="1"),1,0)+IF(OR(MultiLabel_R1!T21="1",MultiLabel_R2!T20="1"),1,0)+IF(OR(MultiLabel_R1!U21="1",MultiLabel_R2!U20="1"),1,0)+IF(OR(MultiLabel_R1!V21="1",MultiLabel_R2!V20="1"),1,0)+IF(OR(MultiLabel_R1!W21="1",MultiLabel_R2!W20="1"),1,0)+IF(OR(MultiLabel_R1!X21="1",MultiLabel_R2!X20="1"),1,0)))</f>
        <v>1</v>
      </c>
      <c r="F20" s="14">
        <f>IF((IF(OR(MultiLabel_R1!Y21="1",MultiLabel_R2!Y20="1"),1,0)+IF(OR(MultiLabel_R1!Z21="1",MultiLabel_R2!Z20="1"),1,0)+IF(OR(MultiLabel_R1!AA21="1",MultiLabel_R2!AA20="1"),1,0)+IF(OR(MultiLabel_R1!AB21="1",MultiLabel_R2!AB20="1"),1,0)+IF(OR(MultiLabel_R1!AC21="1",MultiLabel_R2!AC20="1"),1,0)+IF(OR(MultiLabel_R1!AD21="1",MultiLabel_R2!AD20="1"),1,0)+IF(OR(MultiLabel_R1!AE21="1",MultiLabel_R2!AE20="1"),1,0)+IF(OR(MultiLabel_R1!AF21="1",MultiLabel_R2!AF20="1"),1,0))=0,"NA",(IF(AND(MultiLabel_R1!Y21="1",MultiLabel_R2!Y20="1"),1,0)+IF(AND(MultiLabel_R1!Z21="1",MultiLabel_R2!Z20="1"),1,0)+IF(AND(MultiLabel_R1!AA21="1",MultiLabel_R2!AA20="1"),1,0)+IF(AND(MultiLabel_R1!AB21="1",MultiLabel_R2!AB20="1"),1,0)+IF(AND(MultiLabel_R1!AC21="1",MultiLabel_R2!AC20="1"),1,0)+IF(AND(MultiLabel_R1!AD21="1",MultiLabel_R2!AD20="1"),1,0)+IF(AND(MultiLabel_R1!AE21="1",MultiLabel_R2!AE20="1"),1,0)+IF(AND(MultiLabel_R1!AF21="1",MultiLabel_R2!AF20="1"),1,0))/(IF(OR(MultiLabel_R1!Y21="1",MultiLabel_R2!Y20="1"),1,0)+IF(OR(MultiLabel_R1!Z21="1",MultiLabel_R2!Z20="1"),1,0)+IF(OR(MultiLabel_R1!AA21="1",MultiLabel_R2!AA20="1"),1,0)+IF(OR(MultiLabel_R1!AB21="1",MultiLabel_R2!AB20="1"),1,0)+IF(OR(MultiLabel_R1!AC21="1",MultiLabel_R2!AC20="1"),1,0)+IF(OR(MultiLabel_R1!AD21="1",MultiLabel_R2!AD20="1"),1,0)+IF(OR(MultiLabel_R1!AE21="1",MultiLabel_R2!AE20="1"),1,0)+IF(OR(MultiLabel_R1!AF21="1",MultiLabel_R2!AF20="1"),1,0)))</f>
        <v>1</v>
      </c>
      <c r="G20" s="14">
        <f>IF((IF(OR(MultiLabel_R1!AG21="1",MultiLabel_R2!AG20="1"),1,0)+IF(OR(MultiLabel_R1!AH21="1",MultiLabel_R2!AH20="1"),1,0)+IF(OR(MultiLabel_R1!AI21="1",MultiLabel_R2!AI20="1"),1,0)+IF(OR(MultiLabel_R1!AJ21="1",MultiLabel_R2!AJ20="1"),1,0)+IF(OR(MultiLabel_R1!AK21="1",MultiLabel_R2!AK20="1"),1,0)+IF(OR(MultiLabel_R1!AL21="1",MultiLabel_R2!AL20="1"),1,0)+IF(OR(MultiLabel_R1!AM21="1",MultiLabel_R2!AM20="1"),1,0)+IF(OR(MultiLabel_R1!AN21="1",MultiLabel_R2!AN20="1"),1,0)+IF(OR(MultiLabel_R1!AO21="1",MultiLabel_R2!AO20="1"),1,0)+IF(OR(MultiLabel_R1!AP21="1",MultiLabel_R2!AP20="1"),1,0)+IF(OR(MultiLabel_R1!AQ21="1",MultiLabel_R2!AQ20="1"),1,0)+IF(OR(MultiLabel_R1!AR21="1",MultiLabel_R2!AR20="1"),1,0))=0,"NA",(IF(AND(MultiLabel_R1!AG21="1",MultiLabel_R2!AG20="1"),1,0)+IF(AND(MultiLabel_R1!AH21="1",MultiLabel_R2!AH20="1"),1,0)+IF(AND(MultiLabel_R1!AI21="1",MultiLabel_R2!AI20="1"),1,0)+IF(AND(MultiLabel_R1!AJ21="1",MultiLabel_R2!AJ20="1"),1,0)+IF(AND(MultiLabel_R1!AK21="1",MultiLabel_R2!AK20="1"),1,0)+IF(AND(MultiLabel_R1!AL21="1",MultiLabel_R2!AL20="1"),1,0)+IF(AND(MultiLabel_R1!AM21="1",MultiLabel_R2!AM20="1"),1,0)+IF(AND(MultiLabel_R1!AN21="1",MultiLabel_R2!AN20="1"),1,0)+IF(AND(MultiLabel_R1!AO21="1",MultiLabel_R2!AO20="1"),1,0)+IF(AND(MultiLabel_R1!AP21="1",MultiLabel_R2!AP20="1"),1,0)+IF(AND(MultiLabel_R1!AQ21="1",MultiLabel_R2!AQ20="1"),1,0)+IF(AND(MultiLabel_R1!AR21="1",MultiLabel_R2!AR20="1"),1,0))/(IF(OR(MultiLabel_R1!AG21="1",MultiLabel_R2!AG20="1"),1,0)+IF(OR(MultiLabel_R1!AH21="1",MultiLabel_R2!AH20="1"),1,0)+IF(OR(MultiLabel_R1!AI21="1",MultiLabel_R2!AI20="1"),1,0)+IF(OR(MultiLabel_R1!AJ21="1",MultiLabel_R2!AJ20="1"),1,0)+IF(OR(MultiLabel_R1!AK21="1",MultiLabel_R2!AK20="1"),1,0)+IF(OR(MultiLabel_R1!AL21="1",MultiLabel_R2!AL20="1"),1,0)+IF(OR(MultiLabel_R1!AM21="1",MultiLabel_R2!AM20="1"),1,0)+IF(OR(MultiLabel_R1!AN21="1",MultiLabel_R2!AN20="1"),1,0)+IF(OR(MultiLabel_R1!AO21="1",MultiLabel_R2!AO20="1"),1,0)+IF(OR(MultiLabel_R1!AP21="1",MultiLabel_R2!AP20="1"),1,0)+IF(OR(MultiLabel_R1!AQ21="1",MultiLabel_R2!AQ20="1"),1,0)+IF(OR(MultiLabel_R1!AR21="1",MultiLabel_R2!AR20="1"),1,0)))</f>
        <v>1</v>
      </c>
    </row>
    <row r="21" spans="1:7">
      <c r="A21" s="4" t="s">
        <v>182</v>
      </c>
      <c r="B21" s="4" t="s">
        <v>183</v>
      </c>
      <c r="C21" s="14">
        <f>IF((IF(OR(MultiLabel_R1!C22="1",MultiLabel_R2!C21="1"),1,0)+IF(OR(MultiLabel_R1!D22="1",MultiLabel_R2!D21="1"),1,0)+IF(OR(MultiLabel_R1!E22="1",MultiLabel_R2!E21="1"),1,0)+IF(OR(MultiLabel_R1!F22="1",MultiLabel_R2!F21="1"),1,0))=0,"NA",(IF(AND(MultiLabel_R1!C22="1",MultiLabel_R2!C21="1"),1,0)+IF(AND(MultiLabel_R1!D22="1",MultiLabel_R2!D21="1"),1,0)+IF(AND(MultiLabel_R1!E22="1",MultiLabel_R2!E21="1"),1,0)+IF(AND(MultiLabel_R1!F22="1",MultiLabel_R2!F21="1"),1,0))/(IF(OR(MultiLabel_R1!C22="1",MultiLabel_R2!C21="1"),1,0)+IF(OR(MultiLabel_R1!D22="1",MultiLabel_R2!D21="1"),1,0)+IF(OR(MultiLabel_R1!E22="1",MultiLabel_R2!E21="1"),1,0)+IF(OR(MultiLabel_R1!F22="1",MultiLabel_R2!F21="1"),1,0)))</f>
        <v>1</v>
      </c>
      <c r="D21" s="14">
        <f>IF((IF(OR(MultiLabel_R1!G22="1",MultiLabel_R2!G21="1"),1,0)+IF(OR(MultiLabel_R1!H22="1",MultiLabel_R2!H21="1"),1,0)+IF(OR(MultiLabel_R1!I22="1",MultiLabel_R2!I21="1"),1,0)+IF(OR(MultiLabel_R1!J22="1",MultiLabel_R2!J21="1"),1,0)+IF(OR(MultiLabel_R1!K22="1",MultiLabel_R2!K21="1"),1,0)+IF(OR(MultiLabel_R1!L22="1",MultiLabel_R2!L21="1"),1,0))=0,"NA",(IF(AND(MultiLabel_R1!G22="1",MultiLabel_R2!G21="1"),1,0)+IF(AND(MultiLabel_R1!H22="1",MultiLabel_R2!H21="1"),1,0)+IF(AND(MultiLabel_R1!I22="1",MultiLabel_R2!I21="1"),1,0)+IF(AND(MultiLabel_R1!J22="1",MultiLabel_R2!J21="1"),1,0)+IF(AND(MultiLabel_R1!K22="1",MultiLabel_R2!K21="1"),1,0)+IF(AND(MultiLabel_R1!L22="1",MultiLabel_R2!L21="1"),1,0))/(IF(OR(MultiLabel_R1!G22="1",MultiLabel_R2!G21="1"),1,0)+IF(OR(MultiLabel_R1!H22="1",MultiLabel_R2!H21="1"),1,0)+IF(OR(MultiLabel_R1!I22="1",MultiLabel_R2!I21="1"),1,0)+IF(OR(MultiLabel_R1!J22="1",MultiLabel_R2!J21="1"),1,0)+IF(OR(MultiLabel_R1!K22="1",MultiLabel_R2!K21="1"),1,0)+IF(OR(MultiLabel_R1!L22="1",MultiLabel_R2!L21="1"),1,0)))</f>
        <v>1</v>
      </c>
      <c r="E21" s="14">
        <f>IF((IF(OR(MultiLabel_R1!M22="1",MultiLabel_R2!M21="1"),1,0)+IF(OR(MultiLabel_R1!N22="1",MultiLabel_R2!N21="1"),1,0)+IF(OR(MultiLabel_R1!O22="1",MultiLabel_R2!O21="1"),1,0)+IF(OR(MultiLabel_R1!P22="1",MultiLabel_R2!P21="1"),1,0)+IF(OR(MultiLabel_R1!Q22="1",MultiLabel_R2!Q21="1"),1,0)+IF(OR(MultiLabel_R1!R22="1",MultiLabel_R2!R21="1"),1,0)+IF(OR(MultiLabel_R1!S22="1",MultiLabel_R2!S21="1"),1,0)+IF(OR(MultiLabel_R1!T22="1",MultiLabel_R2!T21="1"),1,0)+IF(OR(MultiLabel_R1!U22="1",MultiLabel_R2!U21="1"),1,0)+IF(OR(MultiLabel_R1!V22="1",MultiLabel_R2!V21="1"),1,0)+IF(OR(MultiLabel_R1!W22="1",MultiLabel_R2!W21="1"),1,0)+IF(OR(MultiLabel_R1!X22="1",MultiLabel_R2!X21="1"),1,0))=0,"NA",(IF(AND(MultiLabel_R1!M22="1",MultiLabel_R2!M21="1"),1,0)+IF(AND(MultiLabel_R1!N22="1",MultiLabel_R2!N21="1"),1,0)+IF(AND(MultiLabel_R1!O22="1",MultiLabel_R2!O21="1"),1,0)+IF(AND(MultiLabel_R1!P22="1",MultiLabel_R2!P21="1"),1,0)+IF(AND(MultiLabel_R1!Q22="1",MultiLabel_R2!Q21="1"),1,0)+IF(AND(MultiLabel_R1!R22="1",MultiLabel_R2!R21="1"),1,0)+IF(AND(MultiLabel_R1!S22="1",MultiLabel_R2!S21="1"),1,0)+IF(AND(MultiLabel_R1!T22="1",MultiLabel_R2!T21="1"),1,0)+IF(AND(MultiLabel_R1!U22="1",MultiLabel_R2!U21="1"),1,0)+IF(AND(MultiLabel_R1!V22="1",MultiLabel_R2!V21="1"),1,0)+IF(AND(MultiLabel_R1!W22="1",MultiLabel_R2!W21="1"),1,0)+IF(AND(MultiLabel_R1!X22="1",MultiLabel_R2!X21="1"),1,0))/(IF(OR(MultiLabel_R1!M22="1",MultiLabel_R2!M21="1"),1,0)+IF(OR(MultiLabel_R1!N22="1",MultiLabel_R2!N21="1"),1,0)+IF(OR(MultiLabel_R1!O22="1",MultiLabel_R2!O21="1"),1,0)+IF(OR(MultiLabel_R1!P22="1",MultiLabel_R2!P21="1"),1,0)+IF(OR(MultiLabel_R1!Q22="1",MultiLabel_R2!Q21="1"),1,0)+IF(OR(MultiLabel_R1!R22="1",MultiLabel_R2!R21="1"),1,0)+IF(OR(MultiLabel_R1!S22="1",MultiLabel_R2!S21="1"),1,0)+IF(OR(MultiLabel_R1!T22="1",MultiLabel_R2!T21="1"),1,0)+IF(OR(MultiLabel_R1!U22="1",MultiLabel_R2!U21="1"),1,0)+IF(OR(MultiLabel_R1!V22="1",MultiLabel_R2!V21="1"),1,0)+IF(OR(MultiLabel_R1!W22="1",MultiLabel_R2!W21="1"),1,0)+IF(OR(MultiLabel_R1!X22="1",MultiLabel_R2!X21="1"),1,0)))</f>
        <v>1</v>
      </c>
      <c r="F21" s="14">
        <f>IF((IF(OR(MultiLabel_R1!Y22="1",MultiLabel_R2!Y21="1"),1,0)+IF(OR(MultiLabel_R1!Z22="1",MultiLabel_R2!Z21="1"),1,0)+IF(OR(MultiLabel_R1!AA22="1",MultiLabel_R2!AA21="1"),1,0)+IF(OR(MultiLabel_R1!AB22="1",MultiLabel_R2!AB21="1"),1,0)+IF(OR(MultiLabel_R1!AC22="1",MultiLabel_R2!AC21="1"),1,0)+IF(OR(MultiLabel_R1!AD22="1",MultiLabel_R2!AD21="1"),1,0)+IF(OR(MultiLabel_R1!AE22="1",MultiLabel_R2!AE21="1"),1,0)+IF(OR(MultiLabel_R1!AF22="1",MultiLabel_R2!AF21="1"),1,0))=0,"NA",(IF(AND(MultiLabel_R1!Y22="1",MultiLabel_R2!Y21="1"),1,0)+IF(AND(MultiLabel_R1!Z22="1",MultiLabel_R2!Z21="1"),1,0)+IF(AND(MultiLabel_R1!AA22="1",MultiLabel_R2!AA21="1"),1,0)+IF(AND(MultiLabel_R1!AB22="1",MultiLabel_R2!AB21="1"),1,0)+IF(AND(MultiLabel_R1!AC22="1",MultiLabel_R2!AC21="1"),1,0)+IF(AND(MultiLabel_R1!AD22="1",MultiLabel_R2!AD21="1"),1,0)+IF(AND(MultiLabel_R1!AE22="1",MultiLabel_R2!AE21="1"),1,0)+IF(AND(MultiLabel_R1!AF22="1",MultiLabel_R2!AF21="1"),1,0))/(IF(OR(MultiLabel_R1!Y22="1",MultiLabel_R2!Y21="1"),1,0)+IF(OR(MultiLabel_R1!Z22="1",MultiLabel_R2!Z21="1"),1,0)+IF(OR(MultiLabel_R1!AA22="1",MultiLabel_R2!AA21="1"),1,0)+IF(OR(MultiLabel_R1!AB22="1",MultiLabel_R2!AB21="1"),1,0)+IF(OR(MultiLabel_R1!AC22="1",MultiLabel_R2!AC21="1"),1,0)+IF(OR(MultiLabel_R1!AD22="1",MultiLabel_R2!AD21="1"),1,0)+IF(OR(MultiLabel_R1!AE22="1",MultiLabel_R2!AE21="1"),1,0)+IF(OR(MultiLabel_R1!AF22="1",MultiLabel_R2!AF21="1"),1,0)))</f>
        <v>1</v>
      </c>
      <c r="G21" s="14">
        <f>IF((IF(OR(MultiLabel_R1!AG22="1",MultiLabel_R2!AG21="1"),1,0)+IF(OR(MultiLabel_R1!AH22="1",MultiLabel_R2!AH21="1"),1,0)+IF(OR(MultiLabel_R1!AI22="1",MultiLabel_R2!AI21="1"),1,0)+IF(OR(MultiLabel_R1!AJ22="1",MultiLabel_R2!AJ21="1"),1,0)+IF(OR(MultiLabel_R1!AK22="1",MultiLabel_R2!AK21="1"),1,0)+IF(OR(MultiLabel_R1!AL22="1",MultiLabel_R2!AL21="1"),1,0)+IF(OR(MultiLabel_R1!AM22="1",MultiLabel_R2!AM21="1"),1,0)+IF(OR(MultiLabel_R1!AN22="1",MultiLabel_R2!AN21="1"),1,0)+IF(OR(MultiLabel_R1!AO22="1",MultiLabel_R2!AO21="1"),1,0)+IF(OR(MultiLabel_R1!AP22="1",MultiLabel_R2!AP21="1"),1,0)+IF(OR(MultiLabel_R1!AQ22="1",MultiLabel_R2!AQ21="1"),1,0)+IF(OR(MultiLabel_R1!AR22="1",MultiLabel_R2!AR21="1"),1,0))=0,"NA",(IF(AND(MultiLabel_R1!AG22="1",MultiLabel_R2!AG21="1"),1,0)+IF(AND(MultiLabel_R1!AH22="1",MultiLabel_R2!AH21="1"),1,0)+IF(AND(MultiLabel_R1!AI22="1",MultiLabel_R2!AI21="1"),1,0)+IF(AND(MultiLabel_R1!AJ22="1",MultiLabel_R2!AJ21="1"),1,0)+IF(AND(MultiLabel_R1!AK22="1",MultiLabel_R2!AK21="1"),1,0)+IF(AND(MultiLabel_R1!AL22="1",MultiLabel_R2!AL21="1"),1,0)+IF(AND(MultiLabel_R1!AM22="1",MultiLabel_R2!AM21="1"),1,0)+IF(AND(MultiLabel_R1!AN22="1",MultiLabel_R2!AN21="1"),1,0)+IF(AND(MultiLabel_R1!AO22="1",MultiLabel_R2!AO21="1"),1,0)+IF(AND(MultiLabel_R1!AP22="1",MultiLabel_R2!AP21="1"),1,0)+IF(AND(MultiLabel_R1!AQ22="1",MultiLabel_R2!AQ21="1"),1,0)+IF(AND(MultiLabel_R1!AR22="1",MultiLabel_R2!AR21="1"),1,0))/(IF(OR(MultiLabel_R1!AG22="1",MultiLabel_R2!AG21="1"),1,0)+IF(OR(MultiLabel_R1!AH22="1",MultiLabel_R2!AH21="1"),1,0)+IF(OR(MultiLabel_R1!AI22="1",MultiLabel_R2!AI21="1"),1,0)+IF(OR(MultiLabel_R1!AJ22="1",MultiLabel_R2!AJ21="1"),1,0)+IF(OR(MultiLabel_R1!AK22="1",MultiLabel_R2!AK21="1"),1,0)+IF(OR(MultiLabel_R1!AL22="1",MultiLabel_R2!AL21="1"),1,0)+IF(OR(MultiLabel_R1!AM22="1",MultiLabel_R2!AM21="1"),1,0)+IF(OR(MultiLabel_R1!AN22="1",MultiLabel_R2!AN21="1"),1,0)+IF(OR(MultiLabel_R1!AO22="1",MultiLabel_R2!AO21="1"),1,0)+IF(OR(MultiLabel_R1!AP22="1",MultiLabel_R2!AP21="1"),1,0)+IF(OR(MultiLabel_R1!AQ22="1",MultiLabel_R2!AQ21="1"),1,0)+IF(OR(MultiLabel_R1!AR22="1",MultiLabel_R2!AR21="1"),1,0)))</f>
        <v>1</v>
      </c>
    </row>
    <row r="22" spans="1:7">
      <c r="A22" s="4" t="s">
        <v>189</v>
      </c>
      <c r="B22" s="4" t="s">
        <v>190</v>
      </c>
      <c r="C22" s="14">
        <f>IF((IF(OR(MultiLabel_R1!C23="1",MultiLabel_R2!C22="1"),1,0)+IF(OR(MultiLabel_R1!D23="1",MultiLabel_R2!D22="1"),1,0)+IF(OR(MultiLabel_R1!E23="1",MultiLabel_R2!E22="1"),1,0)+IF(OR(MultiLabel_R1!F23="1",MultiLabel_R2!F22="1"),1,0))=0,"NA",(IF(AND(MultiLabel_R1!C23="1",MultiLabel_R2!C22="1"),1,0)+IF(AND(MultiLabel_R1!D23="1",MultiLabel_R2!D22="1"),1,0)+IF(AND(MultiLabel_R1!E23="1",MultiLabel_R2!E22="1"),1,0)+IF(AND(MultiLabel_R1!F23="1",MultiLabel_R2!F22="1"),1,0))/(IF(OR(MultiLabel_R1!C23="1",MultiLabel_R2!C22="1"),1,0)+IF(OR(MultiLabel_R1!D23="1",MultiLabel_R2!D22="1"),1,0)+IF(OR(MultiLabel_R1!E23="1",MultiLabel_R2!E22="1"),1,0)+IF(OR(MultiLabel_R1!F23="1",MultiLabel_R2!F22="1"),1,0)))</f>
        <v>1</v>
      </c>
      <c r="D22" s="14">
        <f>IF((IF(OR(MultiLabel_R1!G23="1",MultiLabel_R2!G22="1"),1,0)+IF(OR(MultiLabel_R1!H23="1",MultiLabel_R2!H22="1"),1,0)+IF(OR(MultiLabel_R1!I23="1",MultiLabel_R2!I22="1"),1,0)+IF(OR(MultiLabel_R1!J23="1",MultiLabel_R2!J22="1"),1,0)+IF(OR(MultiLabel_R1!K23="1",MultiLabel_R2!K22="1"),1,0)+IF(OR(MultiLabel_R1!L23="1",MultiLabel_R2!L22="1"),1,0))=0,"NA",(IF(AND(MultiLabel_R1!G23="1",MultiLabel_R2!G22="1"),1,0)+IF(AND(MultiLabel_R1!H23="1",MultiLabel_R2!H22="1"),1,0)+IF(AND(MultiLabel_R1!I23="1",MultiLabel_R2!I22="1"),1,0)+IF(AND(MultiLabel_R1!J23="1",MultiLabel_R2!J22="1"),1,0)+IF(AND(MultiLabel_R1!K23="1",MultiLabel_R2!K22="1"),1,0)+IF(AND(MultiLabel_R1!L23="1",MultiLabel_R2!L22="1"),1,0))/(IF(OR(MultiLabel_R1!G23="1",MultiLabel_R2!G22="1"),1,0)+IF(OR(MultiLabel_R1!H23="1",MultiLabel_R2!H22="1"),1,0)+IF(OR(MultiLabel_R1!I23="1",MultiLabel_R2!I22="1"),1,0)+IF(OR(MultiLabel_R1!J23="1",MultiLabel_R2!J22="1"),1,0)+IF(OR(MultiLabel_R1!K23="1",MultiLabel_R2!K22="1"),1,0)+IF(OR(MultiLabel_R1!L23="1",MultiLabel_R2!L22="1"),1,0)))</f>
        <v>1</v>
      </c>
      <c r="E22" s="14">
        <f>IF((IF(OR(MultiLabel_R1!M23="1",MultiLabel_R2!M22="1"),1,0)+IF(OR(MultiLabel_R1!N23="1",MultiLabel_R2!N22="1"),1,0)+IF(OR(MultiLabel_R1!O23="1",MultiLabel_R2!O22="1"),1,0)+IF(OR(MultiLabel_R1!P23="1",MultiLabel_R2!P22="1"),1,0)+IF(OR(MultiLabel_R1!Q23="1",MultiLabel_R2!Q22="1"),1,0)+IF(OR(MultiLabel_R1!R23="1",MultiLabel_R2!R22="1"),1,0)+IF(OR(MultiLabel_R1!S23="1",MultiLabel_R2!S22="1"),1,0)+IF(OR(MultiLabel_R1!T23="1",MultiLabel_R2!T22="1"),1,0)+IF(OR(MultiLabel_R1!U23="1",MultiLabel_R2!U22="1"),1,0)+IF(OR(MultiLabel_R1!V23="1",MultiLabel_R2!V22="1"),1,0)+IF(OR(MultiLabel_R1!W23="1",MultiLabel_R2!W22="1"),1,0)+IF(OR(MultiLabel_R1!X23="1",MultiLabel_R2!X22="1"),1,0))=0,"NA",(IF(AND(MultiLabel_R1!M23="1",MultiLabel_R2!M22="1"),1,0)+IF(AND(MultiLabel_R1!N23="1",MultiLabel_R2!N22="1"),1,0)+IF(AND(MultiLabel_R1!O23="1",MultiLabel_R2!O22="1"),1,0)+IF(AND(MultiLabel_R1!P23="1",MultiLabel_R2!P22="1"),1,0)+IF(AND(MultiLabel_R1!Q23="1",MultiLabel_R2!Q22="1"),1,0)+IF(AND(MultiLabel_R1!R23="1",MultiLabel_R2!R22="1"),1,0)+IF(AND(MultiLabel_R1!S23="1",MultiLabel_R2!S22="1"),1,0)+IF(AND(MultiLabel_R1!T23="1",MultiLabel_R2!T22="1"),1,0)+IF(AND(MultiLabel_R1!U23="1",MultiLabel_R2!U22="1"),1,0)+IF(AND(MultiLabel_R1!V23="1",MultiLabel_R2!V22="1"),1,0)+IF(AND(MultiLabel_R1!W23="1",MultiLabel_R2!W22="1"),1,0)+IF(AND(MultiLabel_R1!X23="1",MultiLabel_R2!X22="1"),1,0))/(IF(OR(MultiLabel_R1!M23="1",MultiLabel_R2!M22="1"),1,0)+IF(OR(MultiLabel_R1!N23="1",MultiLabel_R2!N22="1"),1,0)+IF(OR(MultiLabel_R1!O23="1",MultiLabel_R2!O22="1"),1,0)+IF(OR(MultiLabel_R1!P23="1",MultiLabel_R2!P22="1"),1,0)+IF(OR(MultiLabel_R1!Q23="1",MultiLabel_R2!Q22="1"),1,0)+IF(OR(MultiLabel_R1!R23="1",MultiLabel_R2!R22="1"),1,0)+IF(OR(MultiLabel_R1!S23="1",MultiLabel_R2!S22="1"),1,0)+IF(OR(MultiLabel_R1!T23="1",MultiLabel_R2!T22="1"),1,0)+IF(OR(MultiLabel_R1!U23="1",MultiLabel_R2!U22="1"),1,0)+IF(OR(MultiLabel_R1!V23="1",MultiLabel_R2!V22="1"),1,0)+IF(OR(MultiLabel_R1!W23="1",MultiLabel_R2!W22="1"),1,0)+IF(OR(MultiLabel_R1!X23="1",MultiLabel_R2!X22="1"),1,0)))</f>
        <v>1</v>
      </c>
      <c r="F22" s="14">
        <f>IF((IF(OR(MultiLabel_R1!Y23="1",MultiLabel_R2!Y22="1"),1,0)+IF(OR(MultiLabel_R1!Z23="1",MultiLabel_R2!Z22="1"),1,0)+IF(OR(MultiLabel_R1!AA23="1",MultiLabel_R2!AA22="1"),1,0)+IF(OR(MultiLabel_R1!AB23="1",MultiLabel_R2!AB22="1"),1,0)+IF(OR(MultiLabel_R1!AC23="1",MultiLabel_R2!AC22="1"),1,0)+IF(OR(MultiLabel_R1!AD23="1",MultiLabel_R2!AD22="1"),1,0)+IF(OR(MultiLabel_R1!AE23="1",MultiLabel_R2!AE22="1"),1,0)+IF(OR(MultiLabel_R1!AF23="1",MultiLabel_R2!AF22="1"),1,0))=0,"NA",(IF(AND(MultiLabel_R1!Y23="1",MultiLabel_R2!Y22="1"),1,0)+IF(AND(MultiLabel_R1!Z23="1",MultiLabel_R2!Z22="1"),1,0)+IF(AND(MultiLabel_R1!AA23="1",MultiLabel_R2!AA22="1"),1,0)+IF(AND(MultiLabel_R1!AB23="1",MultiLabel_R2!AB22="1"),1,0)+IF(AND(MultiLabel_R1!AC23="1",MultiLabel_R2!AC22="1"),1,0)+IF(AND(MultiLabel_R1!AD23="1",MultiLabel_R2!AD22="1"),1,0)+IF(AND(MultiLabel_R1!AE23="1",MultiLabel_R2!AE22="1"),1,0)+IF(AND(MultiLabel_R1!AF23="1",MultiLabel_R2!AF22="1"),1,0))/(IF(OR(MultiLabel_R1!Y23="1",MultiLabel_R2!Y22="1"),1,0)+IF(OR(MultiLabel_R1!Z23="1",MultiLabel_R2!Z22="1"),1,0)+IF(OR(MultiLabel_R1!AA23="1",MultiLabel_R2!AA22="1"),1,0)+IF(OR(MultiLabel_R1!AB23="1",MultiLabel_R2!AB22="1"),1,0)+IF(OR(MultiLabel_R1!AC23="1",MultiLabel_R2!AC22="1"),1,0)+IF(OR(MultiLabel_R1!AD23="1",MultiLabel_R2!AD22="1"),1,0)+IF(OR(MultiLabel_R1!AE23="1",MultiLabel_R2!AE22="1"),1,0)+IF(OR(MultiLabel_R1!AF23="1",MultiLabel_R2!AF22="1"),1,0)))</f>
        <v>1</v>
      </c>
      <c r="G22" s="14">
        <f>IF((IF(OR(MultiLabel_R1!AG23="1",MultiLabel_R2!AG22="1"),1,0)+IF(OR(MultiLabel_R1!AH23="1",MultiLabel_R2!AH22="1"),1,0)+IF(OR(MultiLabel_R1!AI23="1",MultiLabel_R2!AI22="1"),1,0)+IF(OR(MultiLabel_R1!AJ23="1",MultiLabel_R2!AJ22="1"),1,0)+IF(OR(MultiLabel_R1!AK23="1",MultiLabel_R2!AK22="1"),1,0)+IF(OR(MultiLabel_R1!AL23="1",MultiLabel_R2!AL22="1"),1,0)+IF(OR(MultiLabel_R1!AM23="1",MultiLabel_R2!AM22="1"),1,0)+IF(OR(MultiLabel_R1!AN23="1",MultiLabel_R2!AN22="1"),1,0)+IF(OR(MultiLabel_R1!AO23="1",MultiLabel_R2!AO22="1"),1,0)+IF(OR(MultiLabel_R1!AP23="1",MultiLabel_R2!AP22="1"),1,0)+IF(OR(MultiLabel_R1!AQ23="1",MultiLabel_R2!AQ22="1"),1,0)+IF(OR(MultiLabel_R1!AR23="1",MultiLabel_R2!AR22="1"),1,0))=0,"NA",(IF(AND(MultiLabel_R1!AG23="1",MultiLabel_R2!AG22="1"),1,0)+IF(AND(MultiLabel_R1!AH23="1",MultiLabel_R2!AH22="1"),1,0)+IF(AND(MultiLabel_R1!AI23="1",MultiLabel_R2!AI22="1"),1,0)+IF(AND(MultiLabel_R1!AJ23="1",MultiLabel_R2!AJ22="1"),1,0)+IF(AND(MultiLabel_R1!AK23="1",MultiLabel_R2!AK22="1"),1,0)+IF(AND(MultiLabel_R1!AL23="1",MultiLabel_R2!AL22="1"),1,0)+IF(AND(MultiLabel_R1!AM23="1",MultiLabel_R2!AM22="1"),1,0)+IF(AND(MultiLabel_R1!AN23="1",MultiLabel_R2!AN22="1"),1,0)+IF(AND(MultiLabel_R1!AO23="1",MultiLabel_R2!AO22="1"),1,0)+IF(AND(MultiLabel_R1!AP23="1",MultiLabel_R2!AP22="1"),1,0)+IF(AND(MultiLabel_R1!AQ23="1",MultiLabel_R2!AQ22="1"),1,0)+IF(AND(MultiLabel_R1!AR23="1",MultiLabel_R2!AR22="1"),1,0))/(IF(OR(MultiLabel_R1!AG23="1",MultiLabel_R2!AG22="1"),1,0)+IF(OR(MultiLabel_R1!AH23="1",MultiLabel_R2!AH22="1"),1,0)+IF(OR(MultiLabel_R1!AI23="1",MultiLabel_R2!AI22="1"),1,0)+IF(OR(MultiLabel_R1!AJ23="1",MultiLabel_R2!AJ22="1"),1,0)+IF(OR(MultiLabel_R1!AK23="1",MultiLabel_R2!AK22="1"),1,0)+IF(OR(MultiLabel_R1!AL23="1",MultiLabel_R2!AL22="1"),1,0)+IF(OR(MultiLabel_R1!AM23="1",MultiLabel_R2!AM22="1"),1,0)+IF(OR(MultiLabel_R1!AN23="1",MultiLabel_R2!AN22="1"),1,0)+IF(OR(MultiLabel_R1!AO23="1",MultiLabel_R2!AO22="1"),1,0)+IF(OR(MultiLabel_R1!AP23="1",MultiLabel_R2!AP22="1"),1,0)+IF(OR(MultiLabel_R1!AQ23="1",MultiLabel_R2!AQ22="1"),1,0)+IF(OR(MultiLabel_R1!AR23="1",MultiLabel_R2!AR22="1"),1,0)))</f>
        <v>1</v>
      </c>
    </row>
    <row r="23" spans="1:7">
      <c r="A23" s="4" t="s">
        <v>195</v>
      </c>
      <c r="B23" s="4" t="s">
        <v>196</v>
      </c>
      <c r="C23" s="14">
        <f>IF((IF(OR(MultiLabel_R1!C24="1",MultiLabel_R2!C23="1"),1,0)+IF(OR(MultiLabel_R1!D24="1",MultiLabel_R2!D23="1"),1,0)+IF(OR(MultiLabel_R1!E24="1",MultiLabel_R2!E23="1"),1,0)+IF(OR(MultiLabel_R1!F24="1",MultiLabel_R2!F23="1"),1,0))=0,"NA",(IF(AND(MultiLabel_R1!C24="1",MultiLabel_R2!C23="1"),1,0)+IF(AND(MultiLabel_R1!D24="1",MultiLabel_R2!D23="1"),1,0)+IF(AND(MultiLabel_R1!E24="1",MultiLabel_R2!E23="1"),1,0)+IF(AND(MultiLabel_R1!F24="1",MultiLabel_R2!F23="1"),1,0))/(IF(OR(MultiLabel_R1!C24="1",MultiLabel_R2!C23="1"),1,0)+IF(OR(MultiLabel_R1!D24="1",MultiLabel_R2!D23="1"),1,0)+IF(OR(MultiLabel_R1!E24="1",MultiLabel_R2!E23="1"),1,0)+IF(OR(MultiLabel_R1!F24="1",MultiLabel_R2!F23="1"),1,0)))</f>
        <v>1</v>
      </c>
      <c r="D23" s="14">
        <f>IF((IF(OR(MultiLabel_R1!G24="1",MultiLabel_R2!G23="1"),1,0)+IF(OR(MultiLabel_R1!H24="1",MultiLabel_R2!H23="1"),1,0)+IF(OR(MultiLabel_R1!I24="1",MultiLabel_R2!I23="1"),1,0)+IF(OR(MultiLabel_R1!J24="1",MultiLabel_R2!J23="1"),1,0)+IF(OR(MultiLabel_R1!K24="1",MultiLabel_R2!K23="1"),1,0)+IF(OR(MultiLabel_R1!L24="1",MultiLabel_R2!L23="1"),1,0))=0,"NA",(IF(AND(MultiLabel_R1!G24="1",MultiLabel_R2!G23="1"),1,0)+IF(AND(MultiLabel_R1!H24="1",MultiLabel_R2!H23="1"),1,0)+IF(AND(MultiLabel_R1!I24="1",MultiLabel_R2!I23="1"),1,0)+IF(AND(MultiLabel_R1!J24="1",MultiLabel_R2!J23="1"),1,0)+IF(AND(MultiLabel_R1!K24="1",MultiLabel_R2!K23="1"),1,0)+IF(AND(MultiLabel_R1!L24="1",MultiLabel_R2!L23="1"),1,0))/(IF(OR(MultiLabel_R1!G24="1",MultiLabel_R2!G23="1"),1,0)+IF(OR(MultiLabel_R1!H24="1",MultiLabel_R2!H23="1"),1,0)+IF(OR(MultiLabel_R1!I24="1",MultiLabel_R2!I23="1"),1,0)+IF(OR(MultiLabel_R1!J24="1",MultiLabel_R2!J23="1"),1,0)+IF(OR(MultiLabel_R1!K24="1",MultiLabel_R2!K23="1"),1,0)+IF(OR(MultiLabel_R1!L24="1",MultiLabel_R2!L23="1"),1,0)))</f>
        <v>1</v>
      </c>
      <c r="E23" s="14">
        <f>IF((IF(OR(MultiLabel_R1!M24="1",MultiLabel_R2!M23="1"),1,0)+IF(OR(MultiLabel_R1!N24="1",MultiLabel_R2!N23="1"),1,0)+IF(OR(MultiLabel_R1!O24="1",MultiLabel_R2!O23="1"),1,0)+IF(OR(MultiLabel_R1!P24="1",MultiLabel_R2!P23="1"),1,0)+IF(OR(MultiLabel_R1!Q24="1",MultiLabel_R2!Q23="1"),1,0)+IF(OR(MultiLabel_R1!R24="1",MultiLabel_R2!R23="1"),1,0)+IF(OR(MultiLabel_R1!S24="1",MultiLabel_R2!S23="1"),1,0)+IF(OR(MultiLabel_R1!T24="1",MultiLabel_R2!T23="1"),1,0)+IF(OR(MultiLabel_R1!U24="1",MultiLabel_R2!U23="1"),1,0)+IF(OR(MultiLabel_R1!V24="1",MultiLabel_R2!V23="1"),1,0)+IF(OR(MultiLabel_R1!W24="1",MultiLabel_R2!W23="1"),1,0)+IF(OR(MultiLabel_R1!X24="1",MultiLabel_R2!X23="1"),1,0))=0,"NA",(IF(AND(MultiLabel_R1!M24="1",MultiLabel_R2!M23="1"),1,0)+IF(AND(MultiLabel_R1!N24="1",MultiLabel_R2!N23="1"),1,0)+IF(AND(MultiLabel_R1!O24="1",MultiLabel_R2!O23="1"),1,0)+IF(AND(MultiLabel_R1!P24="1",MultiLabel_R2!P23="1"),1,0)+IF(AND(MultiLabel_R1!Q24="1",MultiLabel_R2!Q23="1"),1,0)+IF(AND(MultiLabel_R1!R24="1",MultiLabel_R2!R23="1"),1,0)+IF(AND(MultiLabel_R1!S24="1",MultiLabel_R2!S23="1"),1,0)+IF(AND(MultiLabel_R1!T24="1",MultiLabel_R2!T23="1"),1,0)+IF(AND(MultiLabel_R1!U24="1",MultiLabel_R2!U23="1"),1,0)+IF(AND(MultiLabel_R1!V24="1",MultiLabel_R2!V23="1"),1,0)+IF(AND(MultiLabel_R1!W24="1",MultiLabel_R2!W23="1"),1,0)+IF(AND(MultiLabel_R1!X24="1",MultiLabel_R2!X23="1"),1,0))/(IF(OR(MultiLabel_R1!M24="1",MultiLabel_R2!M23="1"),1,0)+IF(OR(MultiLabel_R1!N24="1",MultiLabel_R2!N23="1"),1,0)+IF(OR(MultiLabel_R1!O24="1",MultiLabel_R2!O23="1"),1,0)+IF(OR(MultiLabel_R1!P24="1",MultiLabel_R2!P23="1"),1,0)+IF(OR(MultiLabel_R1!Q24="1",MultiLabel_R2!Q23="1"),1,0)+IF(OR(MultiLabel_R1!R24="1",MultiLabel_R2!R23="1"),1,0)+IF(OR(MultiLabel_R1!S24="1",MultiLabel_R2!S23="1"),1,0)+IF(OR(MultiLabel_R1!T24="1",MultiLabel_R2!T23="1"),1,0)+IF(OR(MultiLabel_R1!U24="1",MultiLabel_R2!U23="1"),1,0)+IF(OR(MultiLabel_R1!V24="1",MultiLabel_R2!V23="1"),1,0)+IF(OR(MultiLabel_R1!W24="1",MultiLabel_R2!W23="1"),1,0)+IF(OR(MultiLabel_R1!X24="1",MultiLabel_R2!X23="1"),1,0)))</f>
        <v>1</v>
      </c>
      <c r="F23" s="14">
        <f>IF((IF(OR(MultiLabel_R1!Y24="1",MultiLabel_R2!Y23="1"),1,0)+IF(OR(MultiLabel_R1!Z24="1",MultiLabel_R2!Z23="1"),1,0)+IF(OR(MultiLabel_R1!AA24="1",MultiLabel_R2!AA23="1"),1,0)+IF(OR(MultiLabel_R1!AB24="1",MultiLabel_R2!AB23="1"),1,0)+IF(OR(MultiLabel_R1!AC24="1",MultiLabel_R2!AC23="1"),1,0)+IF(OR(MultiLabel_R1!AD24="1",MultiLabel_R2!AD23="1"),1,0)+IF(OR(MultiLabel_R1!AE24="1",MultiLabel_R2!AE23="1"),1,0)+IF(OR(MultiLabel_R1!AF24="1",MultiLabel_R2!AF23="1"),1,0))=0,"NA",(IF(AND(MultiLabel_R1!Y24="1",MultiLabel_R2!Y23="1"),1,0)+IF(AND(MultiLabel_R1!Z24="1",MultiLabel_R2!Z23="1"),1,0)+IF(AND(MultiLabel_R1!AA24="1",MultiLabel_R2!AA23="1"),1,0)+IF(AND(MultiLabel_R1!AB24="1",MultiLabel_R2!AB23="1"),1,0)+IF(AND(MultiLabel_R1!AC24="1",MultiLabel_R2!AC23="1"),1,0)+IF(AND(MultiLabel_R1!AD24="1",MultiLabel_R2!AD23="1"),1,0)+IF(AND(MultiLabel_R1!AE24="1",MultiLabel_R2!AE23="1"),1,0)+IF(AND(MultiLabel_R1!AF24="1",MultiLabel_R2!AF23="1"),1,0))/(IF(OR(MultiLabel_R1!Y24="1",MultiLabel_R2!Y23="1"),1,0)+IF(OR(MultiLabel_R1!Z24="1",MultiLabel_R2!Z23="1"),1,0)+IF(OR(MultiLabel_R1!AA24="1",MultiLabel_R2!AA23="1"),1,0)+IF(OR(MultiLabel_R1!AB24="1",MultiLabel_R2!AB23="1"),1,0)+IF(OR(MultiLabel_R1!AC24="1",MultiLabel_R2!AC23="1"),1,0)+IF(OR(MultiLabel_R1!AD24="1",MultiLabel_R2!AD23="1"),1,0)+IF(OR(MultiLabel_R1!AE24="1",MultiLabel_R2!AE23="1"),1,0)+IF(OR(MultiLabel_R1!AF24="1",MultiLabel_R2!AF23="1"),1,0)))</f>
        <v>1</v>
      </c>
      <c r="G23" s="14">
        <f>IF((IF(OR(MultiLabel_R1!AG24="1",MultiLabel_R2!AG23="1"),1,0)+IF(OR(MultiLabel_R1!AH24="1",MultiLabel_R2!AH23="1"),1,0)+IF(OR(MultiLabel_R1!AI24="1",MultiLabel_R2!AI23="1"),1,0)+IF(OR(MultiLabel_R1!AJ24="1",MultiLabel_R2!AJ23="1"),1,0)+IF(OR(MultiLabel_R1!AK24="1",MultiLabel_R2!AK23="1"),1,0)+IF(OR(MultiLabel_R1!AL24="1",MultiLabel_R2!AL23="1"),1,0)+IF(OR(MultiLabel_R1!AM24="1",MultiLabel_R2!AM23="1"),1,0)+IF(OR(MultiLabel_R1!AN24="1",MultiLabel_R2!AN23="1"),1,0)+IF(OR(MultiLabel_R1!AO24="1",MultiLabel_R2!AO23="1"),1,0)+IF(OR(MultiLabel_R1!AP24="1",MultiLabel_R2!AP23="1"),1,0)+IF(OR(MultiLabel_R1!AQ24="1",MultiLabel_R2!AQ23="1"),1,0)+IF(OR(MultiLabel_R1!AR24="1",MultiLabel_R2!AR23="1"),1,0))=0,"NA",(IF(AND(MultiLabel_R1!AG24="1",MultiLabel_R2!AG23="1"),1,0)+IF(AND(MultiLabel_R1!AH24="1",MultiLabel_R2!AH23="1"),1,0)+IF(AND(MultiLabel_R1!AI24="1",MultiLabel_R2!AI23="1"),1,0)+IF(AND(MultiLabel_R1!AJ24="1",MultiLabel_R2!AJ23="1"),1,0)+IF(AND(MultiLabel_R1!AK24="1",MultiLabel_R2!AK23="1"),1,0)+IF(AND(MultiLabel_R1!AL24="1",MultiLabel_R2!AL23="1"),1,0)+IF(AND(MultiLabel_R1!AM24="1",MultiLabel_R2!AM23="1"),1,0)+IF(AND(MultiLabel_R1!AN24="1",MultiLabel_R2!AN23="1"),1,0)+IF(AND(MultiLabel_R1!AO24="1",MultiLabel_R2!AO23="1"),1,0)+IF(AND(MultiLabel_R1!AP24="1",MultiLabel_R2!AP23="1"),1,0)+IF(AND(MultiLabel_R1!AQ24="1",MultiLabel_R2!AQ23="1"),1,0)+IF(AND(MultiLabel_R1!AR24="1",MultiLabel_R2!AR23="1"),1,0))/(IF(OR(MultiLabel_R1!AG24="1",MultiLabel_R2!AG23="1"),1,0)+IF(OR(MultiLabel_R1!AH24="1",MultiLabel_R2!AH23="1"),1,0)+IF(OR(MultiLabel_R1!AI24="1",MultiLabel_R2!AI23="1"),1,0)+IF(OR(MultiLabel_R1!AJ24="1",MultiLabel_R2!AJ23="1"),1,0)+IF(OR(MultiLabel_R1!AK24="1",MultiLabel_R2!AK23="1"),1,0)+IF(OR(MultiLabel_R1!AL24="1",MultiLabel_R2!AL23="1"),1,0)+IF(OR(MultiLabel_R1!AM24="1",MultiLabel_R2!AM23="1"),1,0)+IF(OR(MultiLabel_R1!AN24="1",MultiLabel_R2!AN23="1"),1,0)+IF(OR(MultiLabel_R1!AO24="1",MultiLabel_R2!AO23="1"),1,0)+IF(OR(MultiLabel_R1!AP24="1",MultiLabel_R2!AP23="1"),1,0)+IF(OR(MultiLabel_R1!AQ24="1",MultiLabel_R2!AQ23="1"),1,0)+IF(OR(MultiLabel_R1!AR24="1",MultiLabel_R2!AR23="1"),1,0)))</f>
        <v>1</v>
      </c>
    </row>
    <row r="24" spans="1:7">
      <c r="A24" s="4" t="s">
        <v>202</v>
      </c>
      <c r="B24" s="4" t="s">
        <v>203</v>
      </c>
      <c r="C24" s="14">
        <f>IF((IF(OR(MultiLabel_R1!C25="1",MultiLabel_R2!C24="1"),1,0)+IF(OR(MultiLabel_R1!D25="1",MultiLabel_R2!D24="1"),1,0)+IF(OR(MultiLabel_R1!E25="1",MultiLabel_R2!E24="1"),1,0)+IF(OR(MultiLabel_R1!F25="1",MultiLabel_R2!F24="1"),1,0))=0,"NA",(IF(AND(MultiLabel_R1!C25="1",MultiLabel_R2!C24="1"),1,0)+IF(AND(MultiLabel_R1!D25="1",MultiLabel_R2!D24="1"),1,0)+IF(AND(MultiLabel_R1!E25="1",MultiLabel_R2!E24="1"),1,0)+IF(AND(MultiLabel_R1!F25="1",MultiLabel_R2!F24="1"),1,0))/(IF(OR(MultiLabel_R1!C25="1",MultiLabel_R2!C24="1"),1,0)+IF(OR(MultiLabel_R1!D25="1",MultiLabel_R2!D24="1"),1,0)+IF(OR(MultiLabel_R1!E25="1",MultiLabel_R2!E24="1"),1,0)+IF(OR(MultiLabel_R1!F25="1",MultiLabel_R2!F24="1"),1,0)))</f>
        <v>1</v>
      </c>
      <c r="D24" s="14">
        <f>IF((IF(OR(MultiLabel_R1!G25="1",MultiLabel_R2!G24="1"),1,0)+IF(OR(MultiLabel_R1!H25="1",MultiLabel_R2!H24="1"),1,0)+IF(OR(MultiLabel_R1!I25="1",MultiLabel_R2!I24="1"),1,0)+IF(OR(MultiLabel_R1!J25="1",MultiLabel_R2!J24="1"),1,0)+IF(OR(MultiLabel_R1!K25="1",MultiLabel_R2!K24="1"),1,0)+IF(OR(MultiLabel_R1!L25="1",MultiLabel_R2!L24="1"),1,0))=0,"NA",(IF(AND(MultiLabel_R1!G25="1",MultiLabel_R2!G24="1"),1,0)+IF(AND(MultiLabel_R1!H25="1",MultiLabel_R2!H24="1"),1,0)+IF(AND(MultiLabel_R1!I25="1",MultiLabel_R2!I24="1"),1,0)+IF(AND(MultiLabel_R1!J25="1",MultiLabel_R2!J24="1"),1,0)+IF(AND(MultiLabel_R1!K25="1",MultiLabel_R2!K24="1"),1,0)+IF(AND(MultiLabel_R1!L25="1",MultiLabel_R2!L24="1"),1,0))/(IF(OR(MultiLabel_R1!G25="1",MultiLabel_R2!G24="1"),1,0)+IF(OR(MultiLabel_R1!H25="1",MultiLabel_R2!H24="1"),1,0)+IF(OR(MultiLabel_R1!I25="1",MultiLabel_R2!I24="1"),1,0)+IF(OR(MultiLabel_R1!J25="1",MultiLabel_R2!J24="1"),1,0)+IF(OR(MultiLabel_R1!K25="1",MultiLabel_R2!K24="1"),1,0)+IF(OR(MultiLabel_R1!L25="1",MultiLabel_R2!L24="1"),1,0)))</f>
        <v>1</v>
      </c>
      <c r="E24" s="14">
        <f>IF((IF(OR(MultiLabel_R1!M25="1",MultiLabel_R2!M24="1"),1,0)+IF(OR(MultiLabel_R1!N25="1",MultiLabel_R2!N24="1"),1,0)+IF(OR(MultiLabel_R1!O25="1",MultiLabel_R2!O24="1"),1,0)+IF(OR(MultiLabel_R1!P25="1",MultiLabel_R2!P24="1"),1,0)+IF(OR(MultiLabel_R1!Q25="1",MultiLabel_R2!Q24="1"),1,0)+IF(OR(MultiLabel_R1!R25="1",MultiLabel_R2!R24="1"),1,0)+IF(OR(MultiLabel_R1!S25="1",MultiLabel_R2!S24="1"),1,0)+IF(OR(MultiLabel_R1!T25="1",MultiLabel_R2!T24="1"),1,0)+IF(OR(MultiLabel_R1!U25="1",MultiLabel_R2!U24="1"),1,0)+IF(OR(MultiLabel_R1!V25="1",MultiLabel_R2!V24="1"),1,0)+IF(OR(MultiLabel_R1!W25="1",MultiLabel_R2!W24="1"),1,0)+IF(OR(MultiLabel_R1!X25="1",MultiLabel_R2!X24="1"),1,0))=0,"NA",(IF(AND(MultiLabel_R1!M25="1",MultiLabel_R2!M24="1"),1,0)+IF(AND(MultiLabel_R1!N25="1",MultiLabel_R2!N24="1"),1,0)+IF(AND(MultiLabel_R1!O25="1",MultiLabel_R2!O24="1"),1,0)+IF(AND(MultiLabel_R1!P25="1",MultiLabel_R2!P24="1"),1,0)+IF(AND(MultiLabel_R1!Q25="1",MultiLabel_R2!Q24="1"),1,0)+IF(AND(MultiLabel_R1!R25="1",MultiLabel_R2!R24="1"),1,0)+IF(AND(MultiLabel_R1!S25="1",MultiLabel_R2!S24="1"),1,0)+IF(AND(MultiLabel_R1!T25="1",MultiLabel_R2!T24="1"),1,0)+IF(AND(MultiLabel_R1!U25="1",MultiLabel_R2!U24="1"),1,0)+IF(AND(MultiLabel_R1!V25="1",MultiLabel_R2!V24="1"),1,0)+IF(AND(MultiLabel_R1!W25="1",MultiLabel_R2!W24="1"),1,0)+IF(AND(MultiLabel_R1!X25="1",MultiLabel_R2!X24="1"),1,0))/(IF(OR(MultiLabel_R1!M25="1",MultiLabel_R2!M24="1"),1,0)+IF(OR(MultiLabel_R1!N25="1",MultiLabel_R2!N24="1"),1,0)+IF(OR(MultiLabel_R1!O25="1",MultiLabel_R2!O24="1"),1,0)+IF(OR(MultiLabel_R1!P25="1",MultiLabel_R2!P24="1"),1,0)+IF(OR(MultiLabel_R1!Q25="1",MultiLabel_R2!Q24="1"),1,0)+IF(OR(MultiLabel_R1!R25="1",MultiLabel_R2!R24="1"),1,0)+IF(OR(MultiLabel_R1!S25="1",MultiLabel_R2!S24="1"),1,0)+IF(OR(MultiLabel_R1!T25="1",MultiLabel_R2!T24="1"),1,0)+IF(OR(MultiLabel_R1!U25="1",MultiLabel_R2!U24="1"),1,0)+IF(OR(MultiLabel_R1!V25="1",MultiLabel_R2!V24="1"),1,0)+IF(OR(MultiLabel_R1!W25="1",MultiLabel_R2!W24="1"),1,0)+IF(OR(MultiLabel_R1!X25="1",MultiLabel_R2!X24="1"),1,0)))</f>
        <v>1</v>
      </c>
      <c r="F24" s="14">
        <f>IF((IF(OR(MultiLabel_R1!Y25="1",MultiLabel_R2!Y24="1"),1,0)+IF(OR(MultiLabel_R1!Z25="1",MultiLabel_R2!Z24="1"),1,0)+IF(OR(MultiLabel_R1!AA25="1",MultiLabel_R2!AA24="1"),1,0)+IF(OR(MultiLabel_R1!AB25="1",MultiLabel_R2!AB24="1"),1,0)+IF(OR(MultiLabel_R1!AC25="1",MultiLabel_R2!AC24="1"),1,0)+IF(OR(MultiLabel_R1!AD25="1",MultiLabel_R2!AD24="1"),1,0)+IF(OR(MultiLabel_R1!AE25="1",MultiLabel_R2!AE24="1"),1,0)+IF(OR(MultiLabel_R1!AF25="1",MultiLabel_R2!AF24="1"),1,0))=0,"NA",(IF(AND(MultiLabel_R1!Y25="1",MultiLabel_R2!Y24="1"),1,0)+IF(AND(MultiLabel_R1!Z25="1",MultiLabel_R2!Z24="1"),1,0)+IF(AND(MultiLabel_R1!AA25="1",MultiLabel_R2!AA24="1"),1,0)+IF(AND(MultiLabel_R1!AB25="1",MultiLabel_R2!AB24="1"),1,0)+IF(AND(MultiLabel_R1!AC25="1",MultiLabel_R2!AC24="1"),1,0)+IF(AND(MultiLabel_R1!AD25="1",MultiLabel_R2!AD24="1"),1,0)+IF(AND(MultiLabel_R1!AE25="1",MultiLabel_R2!AE24="1"),1,0)+IF(AND(MultiLabel_R1!AF25="1",MultiLabel_R2!AF24="1"),1,0))/(IF(OR(MultiLabel_R1!Y25="1",MultiLabel_R2!Y24="1"),1,0)+IF(OR(MultiLabel_R1!Z25="1",MultiLabel_R2!Z24="1"),1,0)+IF(OR(MultiLabel_R1!AA25="1",MultiLabel_R2!AA24="1"),1,0)+IF(OR(MultiLabel_R1!AB25="1",MultiLabel_R2!AB24="1"),1,0)+IF(OR(MultiLabel_R1!AC25="1",MultiLabel_R2!AC24="1"),1,0)+IF(OR(MultiLabel_R1!AD25="1",MultiLabel_R2!AD24="1"),1,0)+IF(OR(MultiLabel_R1!AE25="1",MultiLabel_R2!AE24="1"),1,0)+IF(OR(MultiLabel_R1!AF25="1",MultiLabel_R2!AF24="1"),1,0)))</f>
        <v>1</v>
      </c>
      <c r="G24" s="14">
        <f>IF((IF(OR(MultiLabel_R1!AG25="1",MultiLabel_R2!AG24="1"),1,0)+IF(OR(MultiLabel_R1!AH25="1",MultiLabel_R2!AH24="1"),1,0)+IF(OR(MultiLabel_R1!AI25="1",MultiLabel_R2!AI24="1"),1,0)+IF(OR(MultiLabel_R1!AJ25="1",MultiLabel_R2!AJ24="1"),1,0)+IF(OR(MultiLabel_R1!AK25="1",MultiLabel_R2!AK24="1"),1,0)+IF(OR(MultiLabel_R1!AL25="1",MultiLabel_R2!AL24="1"),1,0)+IF(OR(MultiLabel_R1!AM25="1",MultiLabel_R2!AM24="1"),1,0)+IF(OR(MultiLabel_R1!AN25="1",MultiLabel_R2!AN24="1"),1,0)+IF(OR(MultiLabel_R1!AO25="1",MultiLabel_R2!AO24="1"),1,0)+IF(OR(MultiLabel_R1!AP25="1",MultiLabel_R2!AP24="1"),1,0)+IF(OR(MultiLabel_R1!AQ25="1",MultiLabel_R2!AQ24="1"),1,0)+IF(OR(MultiLabel_R1!AR25="1",MultiLabel_R2!AR24="1"),1,0))=0,"NA",(IF(AND(MultiLabel_R1!AG25="1",MultiLabel_R2!AG24="1"),1,0)+IF(AND(MultiLabel_R1!AH25="1",MultiLabel_R2!AH24="1"),1,0)+IF(AND(MultiLabel_R1!AI25="1",MultiLabel_R2!AI24="1"),1,0)+IF(AND(MultiLabel_R1!AJ25="1",MultiLabel_R2!AJ24="1"),1,0)+IF(AND(MultiLabel_R1!AK25="1",MultiLabel_R2!AK24="1"),1,0)+IF(AND(MultiLabel_R1!AL25="1",MultiLabel_R2!AL24="1"),1,0)+IF(AND(MultiLabel_R1!AM25="1",MultiLabel_R2!AM24="1"),1,0)+IF(AND(MultiLabel_R1!AN25="1",MultiLabel_R2!AN24="1"),1,0)+IF(AND(MultiLabel_R1!AO25="1",MultiLabel_R2!AO24="1"),1,0)+IF(AND(MultiLabel_R1!AP25="1",MultiLabel_R2!AP24="1"),1,0)+IF(AND(MultiLabel_R1!AQ25="1",MultiLabel_R2!AQ24="1"),1,0)+IF(AND(MultiLabel_R1!AR25="1",MultiLabel_R2!AR24="1"),1,0))/(IF(OR(MultiLabel_R1!AG25="1",MultiLabel_R2!AG24="1"),1,0)+IF(OR(MultiLabel_R1!AH25="1",MultiLabel_R2!AH24="1"),1,0)+IF(OR(MultiLabel_R1!AI25="1",MultiLabel_R2!AI24="1"),1,0)+IF(OR(MultiLabel_R1!AJ25="1",MultiLabel_R2!AJ24="1"),1,0)+IF(OR(MultiLabel_R1!AK25="1",MultiLabel_R2!AK24="1"),1,0)+IF(OR(MultiLabel_R1!AL25="1",MultiLabel_R2!AL24="1"),1,0)+IF(OR(MultiLabel_R1!AM25="1",MultiLabel_R2!AM24="1"),1,0)+IF(OR(MultiLabel_R1!AN25="1",MultiLabel_R2!AN24="1"),1,0)+IF(OR(MultiLabel_R1!AO25="1",MultiLabel_R2!AO24="1"),1,0)+IF(OR(MultiLabel_R1!AP25="1",MultiLabel_R2!AP24="1"),1,0)+IF(OR(MultiLabel_R1!AQ25="1",MultiLabel_R2!AQ24="1"),1,0)+IF(OR(MultiLabel_R1!AR25="1",MultiLabel_R2!AR24="1"),1,0)))</f>
        <v>1</v>
      </c>
    </row>
    <row r="25" spans="1:7">
      <c r="A25" s="4" t="s">
        <v>209</v>
      </c>
      <c r="B25" s="4" t="s">
        <v>210</v>
      </c>
      <c r="C25" s="14">
        <f>IF((IF(OR(MultiLabel_R1!C26="1",MultiLabel_R2!C25="1"),1,0)+IF(OR(MultiLabel_R1!D26="1",MultiLabel_R2!D25="1"),1,0)+IF(OR(MultiLabel_R1!E26="1",MultiLabel_R2!E25="1"),1,0)+IF(OR(MultiLabel_R1!F26="1",MultiLabel_R2!F25="1"),1,0))=0,"NA",(IF(AND(MultiLabel_R1!C26="1",MultiLabel_R2!C25="1"),1,0)+IF(AND(MultiLabel_R1!D26="1",MultiLabel_R2!D25="1"),1,0)+IF(AND(MultiLabel_R1!E26="1",MultiLabel_R2!E25="1"),1,0)+IF(AND(MultiLabel_R1!F26="1",MultiLabel_R2!F25="1"),1,0))/(IF(OR(MultiLabel_R1!C26="1",MultiLabel_R2!C25="1"),1,0)+IF(OR(MultiLabel_R1!D26="1",MultiLabel_R2!D25="1"),1,0)+IF(OR(MultiLabel_R1!E26="1",MultiLabel_R2!E25="1"),1,0)+IF(OR(MultiLabel_R1!F26="1",MultiLabel_R2!F25="1"),1,0)))</f>
        <v>1</v>
      </c>
      <c r="D25" s="14">
        <f>IF((IF(OR(MultiLabel_R1!G26="1",MultiLabel_R2!G25="1"),1,0)+IF(OR(MultiLabel_R1!H26="1",MultiLabel_R2!H25="1"),1,0)+IF(OR(MultiLabel_R1!I26="1",MultiLabel_R2!I25="1"),1,0)+IF(OR(MultiLabel_R1!J26="1",MultiLabel_R2!J25="1"),1,0)+IF(OR(MultiLabel_R1!K26="1",MultiLabel_R2!K25="1"),1,0)+IF(OR(MultiLabel_R1!L26="1",MultiLabel_R2!L25="1"),1,0))=0,"NA",(IF(AND(MultiLabel_R1!G26="1",MultiLabel_R2!G25="1"),1,0)+IF(AND(MultiLabel_R1!H26="1",MultiLabel_R2!H25="1"),1,0)+IF(AND(MultiLabel_R1!I26="1",MultiLabel_R2!I25="1"),1,0)+IF(AND(MultiLabel_R1!J26="1",MultiLabel_R2!J25="1"),1,0)+IF(AND(MultiLabel_R1!K26="1",MultiLabel_R2!K25="1"),1,0)+IF(AND(MultiLabel_R1!L26="1",MultiLabel_R2!L25="1"),1,0))/(IF(OR(MultiLabel_R1!G26="1",MultiLabel_R2!G25="1"),1,0)+IF(OR(MultiLabel_R1!H26="1",MultiLabel_R2!H25="1"),1,0)+IF(OR(MultiLabel_R1!I26="1",MultiLabel_R2!I25="1"),1,0)+IF(OR(MultiLabel_R1!J26="1",MultiLabel_R2!J25="1"),1,0)+IF(OR(MultiLabel_R1!K26="1",MultiLabel_R2!K25="1"),1,0)+IF(OR(MultiLabel_R1!L26="1",MultiLabel_R2!L25="1"),1,0)))</f>
        <v>1</v>
      </c>
      <c r="E25" s="14">
        <f>IF((IF(OR(MultiLabel_R1!M26="1",MultiLabel_R2!M25="1"),1,0)+IF(OR(MultiLabel_R1!N26="1",MultiLabel_R2!N25="1"),1,0)+IF(OR(MultiLabel_R1!O26="1",MultiLabel_R2!O25="1"),1,0)+IF(OR(MultiLabel_R1!P26="1",MultiLabel_R2!P25="1"),1,0)+IF(OR(MultiLabel_R1!Q26="1",MultiLabel_R2!Q25="1"),1,0)+IF(OR(MultiLabel_R1!R26="1",MultiLabel_R2!R25="1"),1,0)+IF(OR(MultiLabel_R1!S26="1",MultiLabel_R2!S25="1"),1,0)+IF(OR(MultiLabel_R1!T26="1",MultiLabel_R2!T25="1"),1,0)+IF(OR(MultiLabel_R1!U26="1",MultiLabel_R2!U25="1"),1,0)+IF(OR(MultiLabel_R1!V26="1",MultiLabel_R2!V25="1"),1,0)+IF(OR(MultiLabel_R1!W26="1",MultiLabel_R2!W25="1"),1,0)+IF(OR(MultiLabel_R1!X26="1",MultiLabel_R2!X25="1"),1,0))=0,"NA",(IF(AND(MultiLabel_R1!M26="1",MultiLabel_R2!M25="1"),1,0)+IF(AND(MultiLabel_R1!N26="1",MultiLabel_R2!N25="1"),1,0)+IF(AND(MultiLabel_R1!O26="1",MultiLabel_R2!O25="1"),1,0)+IF(AND(MultiLabel_R1!P26="1",MultiLabel_R2!P25="1"),1,0)+IF(AND(MultiLabel_R1!Q26="1",MultiLabel_R2!Q25="1"),1,0)+IF(AND(MultiLabel_R1!R26="1",MultiLabel_R2!R25="1"),1,0)+IF(AND(MultiLabel_R1!S26="1",MultiLabel_R2!S25="1"),1,0)+IF(AND(MultiLabel_R1!T26="1",MultiLabel_R2!T25="1"),1,0)+IF(AND(MultiLabel_R1!U26="1",MultiLabel_R2!U25="1"),1,0)+IF(AND(MultiLabel_R1!V26="1",MultiLabel_R2!V25="1"),1,0)+IF(AND(MultiLabel_R1!W26="1",MultiLabel_R2!W25="1"),1,0)+IF(AND(MultiLabel_R1!X26="1",MultiLabel_R2!X25="1"),1,0))/(IF(OR(MultiLabel_R1!M26="1",MultiLabel_R2!M25="1"),1,0)+IF(OR(MultiLabel_R1!N26="1",MultiLabel_R2!N25="1"),1,0)+IF(OR(MultiLabel_R1!O26="1",MultiLabel_R2!O25="1"),1,0)+IF(OR(MultiLabel_R1!P26="1",MultiLabel_R2!P25="1"),1,0)+IF(OR(MultiLabel_R1!Q26="1",MultiLabel_R2!Q25="1"),1,0)+IF(OR(MultiLabel_R1!R26="1",MultiLabel_R2!R25="1"),1,0)+IF(OR(MultiLabel_R1!S26="1",MultiLabel_R2!S25="1"),1,0)+IF(OR(MultiLabel_R1!T26="1",MultiLabel_R2!T25="1"),1,0)+IF(OR(MultiLabel_R1!U26="1",MultiLabel_R2!U25="1"),1,0)+IF(OR(MultiLabel_R1!V26="1",MultiLabel_R2!V25="1"),1,0)+IF(OR(MultiLabel_R1!W26="1",MultiLabel_R2!W25="1"),1,0)+IF(OR(MultiLabel_R1!X26="1",MultiLabel_R2!X25="1"),1,0)))</f>
        <v>1</v>
      </c>
      <c r="F25" s="14">
        <f>IF((IF(OR(MultiLabel_R1!Y26="1",MultiLabel_R2!Y25="1"),1,0)+IF(OR(MultiLabel_R1!Z26="1",MultiLabel_R2!Z25="1"),1,0)+IF(OR(MultiLabel_R1!AA26="1",MultiLabel_R2!AA25="1"),1,0)+IF(OR(MultiLabel_R1!AB26="1",MultiLabel_R2!AB25="1"),1,0)+IF(OR(MultiLabel_R1!AC26="1",MultiLabel_R2!AC25="1"),1,0)+IF(OR(MultiLabel_R1!AD26="1",MultiLabel_R2!AD25="1"),1,0)+IF(OR(MultiLabel_R1!AE26="1",MultiLabel_R2!AE25="1"),1,0)+IF(OR(MultiLabel_R1!AF26="1",MultiLabel_R2!AF25="1"),1,0))=0,"NA",(IF(AND(MultiLabel_R1!Y26="1",MultiLabel_R2!Y25="1"),1,0)+IF(AND(MultiLabel_R1!Z26="1",MultiLabel_R2!Z25="1"),1,0)+IF(AND(MultiLabel_R1!AA26="1",MultiLabel_R2!AA25="1"),1,0)+IF(AND(MultiLabel_R1!AB26="1",MultiLabel_R2!AB25="1"),1,0)+IF(AND(MultiLabel_R1!AC26="1",MultiLabel_R2!AC25="1"),1,0)+IF(AND(MultiLabel_R1!AD26="1",MultiLabel_R2!AD25="1"),1,0)+IF(AND(MultiLabel_R1!AE26="1",MultiLabel_R2!AE25="1"),1,0)+IF(AND(MultiLabel_R1!AF26="1",MultiLabel_R2!AF25="1"),1,0))/(IF(OR(MultiLabel_R1!Y26="1",MultiLabel_R2!Y25="1"),1,0)+IF(OR(MultiLabel_R1!Z26="1",MultiLabel_R2!Z25="1"),1,0)+IF(OR(MultiLabel_R1!AA26="1",MultiLabel_R2!AA25="1"),1,0)+IF(OR(MultiLabel_R1!AB26="1",MultiLabel_R2!AB25="1"),1,0)+IF(OR(MultiLabel_R1!AC26="1",MultiLabel_R2!AC25="1"),1,0)+IF(OR(MultiLabel_R1!AD26="1",MultiLabel_R2!AD25="1"),1,0)+IF(OR(MultiLabel_R1!AE26="1",MultiLabel_R2!AE25="1"),1,0)+IF(OR(MultiLabel_R1!AF26="1",MultiLabel_R2!AF25="1"),1,0)))</f>
        <v>1</v>
      </c>
      <c r="G25" s="14">
        <f>IF((IF(OR(MultiLabel_R1!AG26="1",MultiLabel_R2!AG25="1"),1,0)+IF(OR(MultiLabel_R1!AH26="1",MultiLabel_R2!AH25="1"),1,0)+IF(OR(MultiLabel_R1!AI26="1",MultiLabel_R2!AI25="1"),1,0)+IF(OR(MultiLabel_R1!AJ26="1",MultiLabel_R2!AJ25="1"),1,0)+IF(OR(MultiLabel_R1!AK26="1",MultiLabel_R2!AK25="1"),1,0)+IF(OR(MultiLabel_R1!AL26="1",MultiLabel_R2!AL25="1"),1,0)+IF(OR(MultiLabel_R1!AM26="1",MultiLabel_R2!AM25="1"),1,0)+IF(OR(MultiLabel_R1!AN26="1",MultiLabel_R2!AN25="1"),1,0)+IF(OR(MultiLabel_R1!AO26="1",MultiLabel_R2!AO25="1"),1,0)+IF(OR(MultiLabel_R1!AP26="1",MultiLabel_R2!AP25="1"),1,0)+IF(OR(MultiLabel_R1!AQ26="1",MultiLabel_R2!AQ25="1"),1,0)+IF(OR(MultiLabel_R1!AR26="1",MultiLabel_R2!AR25="1"),1,0))=0,"NA",(IF(AND(MultiLabel_R1!AG26="1",MultiLabel_R2!AG25="1"),1,0)+IF(AND(MultiLabel_R1!AH26="1",MultiLabel_R2!AH25="1"),1,0)+IF(AND(MultiLabel_R1!AI26="1",MultiLabel_R2!AI25="1"),1,0)+IF(AND(MultiLabel_R1!AJ26="1",MultiLabel_R2!AJ25="1"),1,0)+IF(AND(MultiLabel_R1!AK26="1",MultiLabel_R2!AK25="1"),1,0)+IF(AND(MultiLabel_R1!AL26="1",MultiLabel_R2!AL25="1"),1,0)+IF(AND(MultiLabel_R1!AM26="1",MultiLabel_R2!AM25="1"),1,0)+IF(AND(MultiLabel_R1!AN26="1",MultiLabel_R2!AN25="1"),1,0)+IF(AND(MultiLabel_R1!AO26="1",MultiLabel_R2!AO25="1"),1,0)+IF(AND(MultiLabel_R1!AP26="1",MultiLabel_R2!AP25="1"),1,0)+IF(AND(MultiLabel_R1!AQ26="1",MultiLabel_R2!AQ25="1"),1,0)+IF(AND(MultiLabel_R1!AR26="1",MultiLabel_R2!AR25="1"),1,0))/(IF(OR(MultiLabel_R1!AG26="1",MultiLabel_R2!AG25="1"),1,0)+IF(OR(MultiLabel_R1!AH26="1",MultiLabel_R2!AH25="1"),1,0)+IF(OR(MultiLabel_R1!AI26="1",MultiLabel_R2!AI25="1"),1,0)+IF(OR(MultiLabel_R1!AJ26="1",MultiLabel_R2!AJ25="1"),1,0)+IF(OR(MultiLabel_R1!AK26="1",MultiLabel_R2!AK25="1"),1,0)+IF(OR(MultiLabel_R1!AL26="1",MultiLabel_R2!AL25="1"),1,0)+IF(OR(MultiLabel_R1!AM26="1",MultiLabel_R2!AM25="1"),1,0)+IF(OR(MultiLabel_R1!AN26="1",MultiLabel_R2!AN25="1"),1,0)+IF(OR(MultiLabel_R1!AO26="1",MultiLabel_R2!AO25="1"),1,0)+IF(OR(MultiLabel_R1!AP26="1",MultiLabel_R2!AP25="1"),1,0)+IF(OR(MultiLabel_R1!AQ26="1",MultiLabel_R2!AQ25="1"),1,0)+IF(OR(MultiLabel_R1!AR26="1",MultiLabel_R2!AR25="1"),1,0)))</f>
        <v>1</v>
      </c>
    </row>
    <row r="26" spans="1:7">
      <c r="A26" s="4" t="s">
        <v>216</v>
      </c>
      <c r="B26" s="4" t="s">
        <v>217</v>
      </c>
      <c r="C26" s="14">
        <f>IF((IF(OR(MultiLabel_R1!C27="1",MultiLabel_R2!C26="1"),1,0)+IF(OR(MultiLabel_R1!D27="1",MultiLabel_R2!D26="1"),1,0)+IF(OR(MultiLabel_R1!E27="1",MultiLabel_R2!E26="1"),1,0)+IF(OR(MultiLabel_R1!F27="1",MultiLabel_R2!F26="1"),1,0))=0,"NA",(IF(AND(MultiLabel_R1!C27="1",MultiLabel_R2!C26="1"),1,0)+IF(AND(MultiLabel_R1!D27="1",MultiLabel_R2!D26="1"),1,0)+IF(AND(MultiLabel_R1!E27="1",MultiLabel_R2!E26="1"),1,0)+IF(AND(MultiLabel_R1!F27="1",MultiLabel_R2!F26="1"),1,0))/(IF(OR(MultiLabel_R1!C27="1",MultiLabel_R2!C26="1"),1,0)+IF(OR(MultiLabel_R1!D27="1",MultiLabel_R2!D26="1"),1,0)+IF(OR(MultiLabel_R1!E27="1",MultiLabel_R2!E26="1"),1,0)+IF(OR(MultiLabel_R1!F27="1",MultiLabel_R2!F26="1"),1,0)))</f>
        <v>1</v>
      </c>
      <c r="D26" s="14">
        <f>IF((IF(OR(MultiLabel_R1!G27="1",MultiLabel_R2!G26="1"),1,0)+IF(OR(MultiLabel_R1!H27="1",MultiLabel_R2!H26="1"),1,0)+IF(OR(MultiLabel_R1!I27="1",MultiLabel_R2!I26="1"),1,0)+IF(OR(MultiLabel_R1!J27="1",MultiLabel_R2!J26="1"),1,0)+IF(OR(MultiLabel_R1!K27="1",MultiLabel_R2!K26="1"),1,0)+IF(OR(MultiLabel_R1!L27="1",MultiLabel_R2!L26="1"),1,0))=0,"NA",(IF(AND(MultiLabel_R1!G27="1",MultiLabel_R2!G26="1"),1,0)+IF(AND(MultiLabel_R1!H27="1",MultiLabel_R2!H26="1"),1,0)+IF(AND(MultiLabel_R1!I27="1",MultiLabel_R2!I26="1"),1,0)+IF(AND(MultiLabel_R1!J27="1",MultiLabel_R2!J26="1"),1,0)+IF(AND(MultiLabel_R1!K27="1",MultiLabel_R2!K26="1"),1,0)+IF(AND(MultiLabel_R1!L27="1",MultiLabel_R2!L26="1"),1,0))/(IF(OR(MultiLabel_R1!G27="1",MultiLabel_R2!G26="1"),1,0)+IF(OR(MultiLabel_R1!H27="1",MultiLabel_R2!H26="1"),1,0)+IF(OR(MultiLabel_R1!I27="1",MultiLabel_R2!I26="1"),1,0)+IF(OR(MultiLabel_R1!J27="1",MultiLabel_R2!J26="1"),1,0)+IF(OR(MultiLabel_R1!K27="1",MultiLabel_R2!K26="1"),1,0)+IF(OR(MultiLabel_R1!L27="1",MultiLabel_R2!L26="1"),1,0)))</f>
        <v>1</v>
      </c>
      <c r="E26" s="14">
        <f>IF((IF(OR(MultiLabel_R1!M27="1",MultiLabel_R2!M26="1"),1,0)+IF(OR(MultiLabel_R1!N27="1",MultiLabel_R2!N26="1"),1,0)+IF(OR(MultiLabel_R1!O27="1",MultiLabel_R2!O26="1"),1,0)+IF(OR(MultiLabel_R1!P27="1",MultiLabel_R2!P26="1"),1,0)+IF(OR(MultiLabel_R1!Q27="1",MultiLabel_R2!Q26="1"),1,0)+IF(OR(MultiLabel_R1!R27="1",MultiLabel_R2!R26="1"),1,0)+IF(OR(MultiLabel_R1!S27="1",MultiLabel_R2!S26="1"),1,0)+IF(OR(MultiLabel_R1!T27="1",MultiLabel_R2!T26="1"),1,0)+IF(OR(MultiLabel_R1!U27="1",MultiLabel_R2!U26="1"),1,0)+IF(OR(MultiLabel_R1!V27="1",MultiLabel_R2!V26="1"),1,0)+IF(OR(MultiLabel_R1!W27="1",MultiLabel_R2!W26="1"),1,0)+IF(OR(MultiLabel_R1!X27="1",MultiLabel_R2!X26="1"),1,0))=0,"NA",(IF(AND(MultiLabel_R1!M27="1",MultiLabel_R2!M26="1"),1,0)+IF(AND(MultiLabel_R1!N27="1",MultiLabel_R2!N26="1"),1,0)+IF(AND(MultiLabel_R1!O27="1",MultiLabel_R2!O26="1"),1,0)+IF(AND(MultiLabel_R1!P27="1",MultiLabel_R2!P26="1"),1,0)+IF(AND(MultiLabel_R1!Q27="1",MultiLabel_R2!Q26="1"),1,0)+IF(AND(MultiLabel_R1!R27="1",MultiLabel_R2!R26="1"),1,0)+IF(AND(MultiLabel_R1!S27="1",MultiLabel_R2!S26="1"),1,0)+IF(AND(MultiLabel_R1!T27="1",MultiLabel_R2!T26="1"),1,0)+IF(AND(MultiLabel_R1!U27="1",MultiLabel_R2!U26="1"),1,0)+IF(AND(MultiLabel_R1!V27="1",MultiLabel_R2!V26="1"),1,0)+IF(AND(MultiLabel_R1!W27="1",MultiLabel_R2!W26="1"),1,0)+IF(AND(MultiLabel_R1!X27="1",MultiLabel_R2!X26="1"),1,0))/(IF(OR(MultiLabel_R1!M27="1",MultiLabel_R2!M26="1"),1,0)+IF(OR(MultiLabel_R1!N27="1",MultiLabel_R2!N26="1"),1,0)+IF(OR(MultiLabel_R1!O27="1",MultiLabel_R2!O26="1"),1,0)+IF(OR(MultiLabel_R1!P27="1",MultiLabel_R2!P26="1"),1,0)+IF(OR(MultiLabel_R1!Q27="1",MultiLabel_R2!Q26="1"),1,0)+IF(OR(MultiLabel_R1!R27="1",MultiLabel_R2!R26="1"),1,0)+IF(OR(MultiLabel_R1!S27="1",MultiLabel_R2!S26="1"),1,0)+IF(OR(MultiLabel_R1!T27="1",MultiLabel_R2!T26="1"),1,0)+IF(OR(MultiLabel_R1!U27="1",MultiLabel_R2!U26="1"),1,0)+IF(OR(MultiLabel_R1!V27="1",MultiLabel_R2!V26="1"),1,0)+IF(OR(MultiLabel_R1!W27="1",MultiLabel_R2!W26="1"),1,0)+IF(OR(MultiLabel_R1!X27="1",MultiLabel_R2!X26="1"),1,0)))</f>
        <v>1</v>
      </c>
      <c r="F26" s="14">
        <f>IF((IF(OR(MultiLabel_R1!Y27="1",MultiLabel_R2!Y26="1"),1,0)+IF(OR(MultiLabel_R1!Z27="1",MultiLabel_R2!Z26="1"),1,0)+IF(OR(MultiLabel_R1!AA27="1",MultiLabel_R2!AA26="1"),1,0)+IF(OR(MultiLabel_R1!AB27="1",MultiLabel_R2!AB26="1"),1,0)+IF(OR(MultiLabel_R1!AC27="1",MultiLabel_R2!AC26="1"),1,0)+IF(OR(MultiLabel_R1!AD27="1",MultiLabel_R2!AD26="1"),1,0)+IF(OR(MultiLabel_R1!AE27="1",MultiLabel_R2!AE26="1"),1,0)+IF(OR(MultiLabel_R1!AF27="1",MultiLabel_R2!AF26="1"),1,0))=0,"NA",(IF(AND(MultiLabel_R1!Y27="1",MultiLabel_R2!Y26="1"),1,0)+IF(AND(MultiLabel_R1!Z27="1",MultiLabel_R2!Z26="1"),1,0)+IF(AND(MultiLabel_R1!AA27="1",MultiLabel_R2!AA26="1"),1,0)+IF(AND(MultiLabel_R1!AB27="1",MultiLabel_R2!AB26="1"),1,0)+IF(AND(MultiLabel_R1!AC27="1",MultiLabel_R2!AC26="1"),1,0)+IF(AND(MultiLabel_R1!AD27="1",MultiLabel_R2!AD26="1"),1,0)+IF(AND(MultiLabel_R1!AE27="1",MultiLabel_R2!AE26="1"),1,0)+IF(AND(MultiLabel_R1!AF27="1",MultiLabel_R2!AF26="1"),1,0))/(IF(OR(MultiLabel_R1!Y27="1",MultiLabel_R2!Y26="1"),1,0)+IF(OR(MultiLabel_R1!Z27="1",MultiLabel_R2!Z26="1"),1,0)+IF(OR(MultiLabel_R1!AA27="1",MultiLabel_R2!AA26="1"),1,0)+IF(OR(MultiLabel_R1!AB27="1",MultiLabel_R2!AB26="1"),1,0)+IF(OR(MultiLabel_R1!AC27="1",MultiLabel_R2!AC26="1"),1,0)+IF(OR(MultiLabel_R1!AD27="1",MultiLabel_R2!AD26="1"),1,0)+IF(OR(MultiLabel_R1!AE27="1",MultiLabel_R2!AE26="1"),1,0)+IF(OR(MultiLabel_R1!AF27="1",MultiLabel_R2!AF26="1"),1,0)))</f>
        <v>1</v>
      </c>
      <c r="G26" s="14">
        <f>IF((IF(OR(MultiLabel_R1!AG27="1",MultiLabel_R2!AG26="1"),1,0)+IF(OR(MultiLabel_R1!AH27="1",MultiLabel_R2!AH26="1"),1,0)+IF(OR(MultiLabel_R1!AI27="1",MultiLabel_R2!AI26="1"),1,0)+IF(OR(MultiLabel_R1!AJ27="1",MultiLabel_R2!AJ26="1"),1,0)+IF(OR(MultiLabel_R1!AK27="1",MultiLabel_R2!AK26="1"),1,0)+IF(OR(MultiLabel_R1!AL27="1",MultiLabel_R2!AL26="1"),1,0)+IF(OR(MultiLabel_R1!AM27="1",MultiLabel_R2!AM26="1"),1,0)+IF(OR(MultiLabel_R1!AN27="1",MultiLabel_R2!AN26="1"),1,0)+IF(OR(MultiLabel_R1!AO27="1",MultiLabel_R2!AO26="1"),1,0)+IF(OR(MultiLabel_R1!AP27="1",MultiLabel_R2!AP26="1"),1,0)+IF(OR(MultiLabel_R1!AQ27="1",MultiLabel_R2!AQ26="1"),1,0)+IF(OR(MultiLabel_R1!AR27="1",MultiLabel_R2!AR26="1"),1,0))=0,"NA",(IF(AND(MultiLabel_R1!AG27="1",MultiLabel_R2!AG26="1"),1,0)+IF(AND(MultiLabel_R1!AH27="1",MultiLabel_R2!AH26="1"),1,0)+IF(AND(MultiLabel_R1!AI27="1",MultiLabel_R2!AI26="1"),1,0)+IF(AND(MultiLabel_R1!AJ27="1",MultiLabel_R2!AJ26="1"),1,0)+IF(AND(MultiLabel_R1!AK27="1",MultiLabel_R2!AK26="1"),1,0)+IF(AND(MultiLabel_R1!AL27="1",MultiLabel_R2!AL26="1"),1,0)+IF(AND(MultiLabel_R1!AM27="1",MultiLabel_R2!AM26="1"),1,0)+IF(AND(MultiLabel_R1!AN27="1",MultiLabel_R2!AN26="1"),1,0)+IF(AND(MultiLabel_R1!AO27="1",MultiLabel_R2!AO26="1"),1,0)+IF(AND(MultiLabel_R1!AP27="1",MultiLabel_R2!AP26="1"),1,0)+IF(AND(MultiLabel_R1!AQ27="1",MultiLabel_R2!AQ26="1"),1,0)+IF(AND(MultiLabel_R1!AR27="1",MultiLabel_R2!AR26="1"),1,0))/(IF(OR(MultiLabel_R1!AG27="1",MultiLabel_R2!AG26="1"),1,0)+IF(OR(MultiLabel_R1!AH27="1",MultiLabel_R2!AH26="1"),1,0)+IF(OR(MultiLabel_R1!AI27="1",MultiLabel_R2!AI26="1"),1,0)+IF(OR(MultiLabel_R1!AJ27="1",MultiLabel_R2!AJ26="1"),1,0)+IF(OR(MultiLabel_R1!AK27="1",MultiLabel_R2!AK26="1"),1,0)+IF(OR(MultiLabel_R1!AL27="1",MultiLabel_R2!AL26="1"),1,0)+IF(OR(MultiLabel_R1!AM27="1",MultiLabel_R2!AM26="1"),1,0)+IF(OR(MultiLabel_R1!AN27="1",MultiLabel_R2!AN26="1"),1,0)+IF(OR(MultiLabel_R1!AO27="1",MultiLabel_R2!AO26="1"),1,0)+IF(OR(MultiLabel_R1!AP27="1",MultiLabel_R2!AP26="1"),1,0)+IF(OR(MultiLabel_R1!AQ27="1",MultiLabel_R2!AQ26="1"),1,0)+IF(OR(MultiLabel_R1!AR27="1",MultiLabel_R2!AR26="1"),1,0)))</f>
        <v>1</v>
      </c>
    </row>
    <row r="27" spans="1:7">
      <c r="A27" s="4" t="s">
        <v>223</v>
      </c>
      <c r="B27" s="4" t="s">
        <v>224</v>
      </c>
      <c r="C27" s="14">
        <f>IF((IF(OR(MultiLabel_R1!C28="1",MultiLabel_R2!C27="1"),1,0)+IF(OR(MultiLabel_R1!D28="1",MultiLabel_R2!D27="1"),1,0)+IF(OR(MultiLabel_R1!E28="1",MultiLabel_R2!E27="1"),1,0)+IF(OR(MultiLabel_R1!F28="1",MultiLabel_R2!F27="1"),1,0))=0,"NA",(IF(AND(MultiLabel_R1!C28="1",MultiLabel_R2!C27="1"),1,0)+IF(AND(MultiLabel_R1!D28="1",MultiLabel_R2!D27="1"),1,0)+IF(AND(MultiLabel_R1!E28="1",MultiLabel_R2!E27="1"),1,0)+IF(AND(MultiLabel_R1!F28="1",MultiLabel_R2!F27="1"),1,0))/(IF(OR(MultiLabel_R1!C28="1",MultiLabel_R2!C27="1"),1,0)+IF(OR(MultiLabel_R1!D28="1",MultiLabel_R2!D27="1"),1,0)+IF(OR(MultiLabel_R1!E28="1",MultiLabel_R2!E27="1"),1,0)+IF(OR(MultiLabel_R1!F28="1",MultiLabel_R2!F27="1"),1,0)))</f>
        <v>1</v>
      </c>
      <c r="D27" s="14">
        <f>IF((IF(OR(MultiLabel_R1!G28="1",MultiLabel_R2!G27="1"),1,0)+IF(OR(MultiLabel_R1!H28="1",MultiLabel_R2!H27="1"),1,0)+IF(OR(MultiLabel_R1!I28="1",MultiLabel_R2!I27="1"),1,0)+IF(OR(MultiLabel_R1!J28="1",MultiLabel_R2!J27="1"),1,0)+IF(OR(MultiLabel_R1!K28="1",MultiLabel_R2!K27="1"),1,0)+IF(OR(MultiLabel_R1!L28="1",MultiLabel_R2!L27="1"),1,0))=0,"NA",(IF(AND(MultiLabel_R1!G28="1",MultiLabel_R2!G27="1"),1,0)+IF(AND(MultiLabel_R1!H28="1",MultiLabel_R2!H27="1"),1,0)+IF(AND(MultiLabel_R1!I28="1",MultiLabel_R2!I27="1"),1,0)+IF(AND(MultiLabel_R1!J28="1",MultiLabel_R2!J27="1"),1,0)+IF(AND(MultiLabel_R1!K28="1",MultiLabel_R2!K27="1"),1,0)+IF(AND(MultiLabel_R1!L28="1",MultiLabel_R2!L27="1"),1,0))/(IF(OR(MultiLabel_R1!G28="1",MultiLabel_R2!G27="1"),1,0)+IF(OR(MultiLabel_R1!H28="1",MultiLabel_R2!H27="1"),1,0)+IF(OR(MultiLabel_R1!I28="1",MultiLabel_R2!I27="1"),1,0)+IF(OR(MultiLabel_R1!J28="1",MultiLabel_R2!J27="1"),1,0)+IF(OR(MultiLabel_R1!K28="1",MultiLabel_R2!K27="1"),1,0)+IF(OR(MultiLabel_R1!L28="1",MultiLabel_R2!L27="1"),1,0)))</f>
        <v>1</v>
      </c>
      <c r="E27" s="14">
        <f>IF((IF(OR(MultiLabel_R1!M28="1",MultiLabel_R2!M27="1"),1,0)+IF(OR(MultiLabel_R1!N28="1",MultiLabel_R2!N27="1"),1,0)+IF(OR(MultiLabel_R1!O28="1",MultiLabel_R2!O27="1"),1,0)+IF(OR(MultiLabel_R1!P28="1",MultiLabel_R2!P27="1"),1,0)+IF(OR(MultiLabel_R1!Q28="1",MultiLabel_R2!Q27="1"),1,0)+IF(OR(MultiLabel_R1!R28="1",MultiLabel_R2!R27="1"),1,0)+IF(OR(MultiLabel_R1!S28="1",MultiLabel_R2!S27="1"),1,0)+IF(OR(MultiLabel_R1!T28="1",MultiLabel_R2!T27="1"),1,0)+IF(OR(MultiLabel_R1!U28="1",MultiLabel_R2!U27="1"),1,0)+IF(OR(MultiLabel_R1!V28="1",MultiLabel_R2!V27="1"),1,0)+IF(OR(MultiLabel_R1!W28="1",MultiLabel_R2!W27="1"),1,0)+IF(OR(MultiLabel_R1!X28="1",MultiLabel_R2!X27="1"),1,0))=0,"NA",(IF(AND(MultiLabel_R1!M28="1",MultiLabel_R2!M27="1"),1,0)+IF(AND(MultiLabel_R1!N28="1",MultiLabel_R2!N27="1"),1,0)+IF(AND(MultiLabel_R1!O28="1",MultiLabel_R2!O27="1"),1,0)+IF(AND(MultiLabel_R1!P28="1",MultiLabel_R2!P27="1"),1,0)+IF(AND(MultiLabel_R1!Q28="1",MultiLabel_R2!Q27="1"),1,0)+IF(AND(MultiLabel_R1!R28="1",MultiLabel_R2!R27="1"),1,0)+IF(AND(MultiLabel_R1!S28="1",MultiLabel_R2!S27="1"),1,0)+IF(AND(MultiLabel_R1!T28="1",MultiLabel_R2!T27="1"),1,0)+IF(AND(MultiLabel_R1!U28="1",MultiLabel_R2!U27="1"),1,0)+IF(AND(MultiLabel_R1!V28="1",MultiLabel_R2!V27="1"),1,0)+IF(AND(MultiLabel_R1!W28="1",MultiLabel_R2!W27="1"),1,0)+IF(AND(MultiLabel_R1!X28="1",MultiLabel_R2!X27="1"),1,0))/(IF(OR(MultiLabel_R1!M28="1",MultiLabel_R2!M27="1"),1,0)+IF(OR(MultiLabel_R1!N28="1",MultiLabel_R2!N27="1"),1,0)+IF(OR(MultiLabel_R1!O28="1",MultiLabel_R2!O27="1"),1,0)+IF(OR(MultiLabel_R1!P28="1",MultiLabel_R2!P27="1"),1,0)+IF(OR(MultiLabel_R1!Q28="1",MultiLabel_R2!Q27="1"),1,0)+IF(OR(MultiLabel_R1!R28="1",MultiLabel_R2!R27="1"),1,0)+IF(OR(MultiLabel_R1!S28="1",MultiLabel_R2!S27="1"),1,0)+IF(OR(MultiLabel_R1!T28="1",MultiLabel_R2!T27="1"),1,0)+IF(OR(MultiLabel_R1!U28="1",MultiLabel_R2!U27="1"),1,0)+IF(OR(MultiLabel_R1!V28="1",MultiLabel_R2!V27="1"),1,0)+IF(OR(MultiLabel_R1!W28="1",MultiLabel_R2!W27="1"),1,0)+IF(OR(MultiLabel_R1!X28="1",MultiLabel_R2!X27="1"),1,0)))</f>
        <v>1</v>
      </c>
      <c r="F27" s="14">
        <f>IF((IF(OR(MultiLabel_R1!Y28="1",MultiLabel_R2!Y27="1"),1,0)+IF(OR(MultiLabel_R1!Z28="1",MultiLabel_R2!Z27="1"),1,0)+IF(OR(MultiLabel_R1!AA28="1",MultiLabel_R2!AA27="1"),1,0)+IF(OR(MultiLabel_R1!AB28="1",MultiLabel_R2!AB27="1"),1,0)+IF(OR(MultiLabel_R1!AC28="1",MultiLabel_R2!AC27="1"),1,0)+IF(OR(MultiLabel_R1!AD28="1",MultiLabel_R2!AD27="1"),1,0)+IF(OR(MultiLabel_R1!AE28="1",MultiLabel_R2!AE27="1"),1,0)+IF(OR(MultiLabel_R1!AF28="1",MultiLabel_R2!AF27="1"),1,0))=0,"NA",(IF(AND(MultiLabel_R1!Y28="1",MultiLabel_R2!Y27="1"),1,0)+IF(AND(MultiLabel_R1!Z28="1",MultiLabel_R2!Z27="1"),1,0)+IF(AND(MultiLabel_R1!AA28="1",MultiLabel_R2!AA27="1"),1,0)+IF(AND(MultiLabel_R1!AB28="1",MultiLabel_R2!AB27="1"),1,0)+IF(AND(MultiLabel_R1!AC28="1",MultiLabel_R2!AC27="1"),1,0)+IF(AND(MultiLabel_R1!AD28="1",MultiLabel_R2!AD27="1"),1,0)+IF(AND(MultiLabel_R1!AE28="1",MultiLabel_R2!AE27="1"),1,0)+IF(AND(MultiLabel_R1!AF28="1",MultiLabel_R2!AF27="1"),1,0))/(IF(OR(MultiLabel_R1!Y28="1",MultiLabel_R2!Y27="1"),1,0)+IF(OR(MultiLabel_R1!Z28="1",MultiLabel_R2!Z27="1"),1,0)+IF(OR(MultiLabel_R1!AA28="1",MultiLabel_R2!AA27="1"),1,0)+IF(OR(MultiLabel_R1!AB28="1",MultiLabel_R2!AB27="1"),1,0)+IF(OR(MultiLabel_R1!AC28="1",MultiLabel_R2!AC27="1"),1,0)+IF(OR(MultiLabel_R1!AD28="1",MultiLabel_R2!AD27="1"),1,0)+IF(OR(MultiLabel_R1!AE28="1",MultiLabel_R2!AE27="1"),1,0)+IF(OR(MultiLabel_R1!AF28="1",MultiLabel_R2!AF27="1"),1,0)))</f>
        <v>1</v>
      </c>
      <c r="G27" s="14">
        <f>IF((IF(OR(MultiLabel_R1!AG28="1",MultiLabel_R2!AG27="1"),1,0)+IF(OR(MultiLabel_R1!AH28="1",MultiLabel_R2!AH27="1"),1,0)+IF(OR(MultiLabel_R1!AI28="1",MultiLabel_R2!AI27="1"),1,0)+IF(OR(MultiLabel_R1!AJ28="1",MultiLabel_R2!AJ27="1"),1,0)+IF(OR(MultiLabel_R1!AK28="1",MultiLabel_R2!AK27="1"),1,0)+IF(OR(MultiLabel_R1!AL28="1",MultiLabel_R2!AL27="1"),1,0)+IF(OR(MultiLabel_R1!AM28="1",MultiLabel_R2!AM27="1"),1,0)+IF(OR(MultiLabel_R1!AN28="1",MultiLabel_R2!AN27="1"),1,0)+IF(OR(MultiLabel_R1!AO28="1",MultiLabel_R2!AO27="1"),1,0)+IF(OR(MultiLabel_R1!AP28="1",MultiLabel_R2!AP27="1"),1,0)+IF(OR(MultiLabel_R1!AQ28="1",MultiLabel_R2!AQ27="1"),1,0)+IF(OR(MultiLabel_R1!AR28="1",MultiLabel_R2!AR27="1"),1,0))=0,"NA",(IF(AND(MultiLabel_R1!AG28="1",MultiLabel_R2!AG27="1"),1,0)+IF(AND(MultiLabel_R1!AH28="1",MultiLabel_R2!AH27="1"),1,0)+IF(AND(MultiLabel_R1!AI28="1",MultiLabel_R2!AI27="1"),1,0)+IF(AND(MultiLabel_R1!AJ28="1",MultiLabel_R2!AJ27="1"),1,0)+IF(AND(MultiLabel_R1!AK28="1",MultiLabel_R2!AK27="1"),1,0)+IF(AND(MultiLabel_R1!AL28="1",MultiLabel_R2!AL27="1"),1,0)+IF(AND(MultiLabel_R1!AM28="1",MultiLabel_R2!AM27="1"),1,0)+IF(AND(MultiLabel_R1!AN28="1",MultiLabel_R2!AN27="1"),1,0)+IF(AND(MultiLabel_R1!AO28="1",MultiLabel_R2!AO27="1"),1,0)+IF(AND(MultiLabel_R1!AP28="1",MultiLabel_R2!AP27="1"),1,0)+IF(AND(MultiLabel_R1!AQ28="1",MultiLabel_R2!AQ27="1"),1,0)+IF(AND(MultiLabel_R1!AR28="1",MultiLabel_R2!AR27="1"),1,0))/(IF(OR(MultiLabel_R1!AG28="1",MultiLabel_R2!AG27="1"),1,0)+IF(OR(MultiLabel_R1!AH28="1",MultiLabel_R2!AH27="1"),1,0)+IF(OR(MultiLabel_R1!AI28="1",MultiLabel_R2!AI27="1"),1,0)+IF(OR(MultiLabel_R1!AJ28="1",MultiLabel_R2!AJ27="1"),1,0)+IF(OR(MultiLabel_R1!AK28="1",MultiLabel_R2!AK27="1"),1,0)+IF(OR(MultiLabel_R1!AL28="1",MultiLabel_R2!AL27="1"),1,0)+IF(OR(MultiLabel_R1!AM28="1",MultiLabel_R2!AM27="1"),1,0)+IF(OR(MultiLabel_R1!AN28="1",MultiLabel_R2!AN27="1"),1,0)+IF(OR(MultiLabel_R1!AO28="1",MultiLabel_R2!AO27="1"),1,0)+IF(OR(MultiLabel_R1!AP28="1",MultiLabel_R2!AP27="1"),1,0)+IF(OR(MultiLabel_R1!AQ28="1",MultiLabel_R2!AQ27="1"),1,0)+IF(OR(MultiLabel_R1!AR28="1",MultiLabel_R2!AR27="1"),1,0)))</f>
        <v>1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S5_ReadMe</vt:lpstr>
      <vt:lpstr>Pilot_Sample_25</vt:lpstr>
      <vt:lpstr>Controlled_Vocab</vt:lpstr>
      <vt:lpstr>Pilot_R1</vt:lpstr>
      <vt:lpstr>Pilot_R2</vt:lpstr>
      <vt:lpstr>Screening_Title_Abstract</vt:lpstr>
      <vt:lpstr>Screening_Full_Text</vt:lpstr>
      <vt:lpstr>MultiLabel_Reliability</vt:lpstr>
      <vt:lpstr>Ordinal_Reliability</vt:lpstr>
      <vt:lpstr>Codebook_Refinement_Log</vt:lpstr>
      <vt:lpstr>Adjudication_Log</vt:lpstr>
      <vt:lpstr>Reliability_Summary</vt:lpstr>
      <vt:lpstr>Reporting_Checklist</vt:lpstr>
      <vt:lpstr>MultiLabel_R1</vt:lpstr>
      <vt:lpstr>MultiLabel_R2</vt:lpstr>
      <vt:lpstr>Jaccard_By_Study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Muntasir Yakubu</cp:lastModifiedBy>
  <dcterms:modified xsi:type="dcterms:W3CDTF">2026-08-16T08:11:52Z</dcterms:modified>
</cp:coreProperties>
</file>